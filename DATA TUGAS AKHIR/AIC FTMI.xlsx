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8f7c1c5f87ad976/Dokumen/DATA TUGAS AKHIR/"/>
    </mc:Choice>
  </mc:AlternateContent>
  <xr:revisionPtr revIDLastSave="1" documentId="11_13CAF7712DF05C33ED90A6DE2F7782699F9908E4" xr6:coauthVersionLast="47" xr6:coauthVersionMax="47" xr10:uidLastSave="{451EA312-DA3A-4095-82E8-8AB777C94C38}"/>
  <bookViews>
    <workbookView xWindow="-98" yWindow="-98" windowWidth="21795" windowHeight="12975" tabRatio="500" xr2:uid="{00000000-000D-0000-FFFF-FFFF00000000}"/>
  </bookViews>
  <sheets>
    <sheet name="Data Residual" sheetId="1" r:id="rId1"/>
    <sheet name="Langkah Manua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0" i="1" l="1"/>
  <c r="D3" i="2"/>
  <c r="D2" i="2"/>
  <c r="C63" i="1"/>
  <c r="D10" i="2" s="1"/>
  <c r="C57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62" i="1" l="1"/>
  <c r="D9" i="2" s="1"/>
  <c r="D7" i="2"/>
  <c r="D4" i="2"/>
  <c r="C58" i="1"/>
  <c r="C59" i="1" l="1"/>
  <c r="D5" i="2"/>
  <c r="D6" i="2" l="1"/>
  <c r="C61" i="1"/>
  <c r="C64" i="1" l="1"/>
  <c r="D11" i="2" s="1"/>
  <c r="D8" i="2"/>
</calcChain>
</file>

<file path=xl/sharedStrings.xml><?xml version="1.0" encoding="utf-8"?>
<sst xmlns="http://schemas.openxmlformats.org/spreadsheetml/2006/main" count="47" uniqueCount="42">
  <si>
    <t>Obs</t>
  </si>
  <si>
    <t>Residual (eₜ)</t>
  </si>
  <si>
    <t>eₜ²</t>
  </si>
  <si>
    <t>n (jumlah observasi)</t>
  </si>
  <si>
    <t>k (jumlah parameter)</t>
  </si>
  <si>
    <t>SSE = Σ eₜ²</t>
  </si>
  <si>
    <t>σ̂² = SSE / n</t>
  </si>
  <si>
    <t>ln(σ̂²) = LN(σ̂²)</t>
  </si>
  <si>
    <t>ln(2π) = LN(2×PI())</t>
  </si>
  <si>
    <t>n · ln(σ̂²)</t>
  </si>
  <si>
    <t>n · ln(2π)</t>
  </si>
  <si>
    <t>2k</t>
  </si>
  <si>
    <t>AIC = n·ln(σ̂²) + n·ln(2π) + n + 2k</t>
  </si>
  <si>
    <t>Step</t>
  </si>
  <si>
    <t>Keterangan</t>
  </si>
  <si>
    <t>Formula Excel</t>
  </si>
  <si>
    <t>Hasil</t>
  </si>
  <si>
    <t>1</t>
  </si>
  <si>
    <t>Jumlah observasi (n)</t>
  </si>
  <si>
    <t>COUNTA(B2:B53) [obs 29-80]</t>
  </si>
  <si>
    <t>2</t>
  </si>
  <si>
    <t>Jumlah parameter (k)</t>
  </si>
  <si>
    <t>6 (MU, MA1,1, NUM1, NUM1,1, NUM1,2, NUM2)</t>
  </si>
  <si>
    <t>3</t>
  </si>
  <si>
    <t>SUM(C2:C53)</t>
  </si>
  <si>
    <t>4</t>
  </si>
  <si>
    <t>SSE / n</t>
  </si>
  <si>
    <t>5</t>
  </si>
  <si>
    <t>ln(σ̂²)</t>
  </si>
  <si>
    <t>LN(sigma^2)</t>
  </si>
  <si>
    <t>6</t>
  </si>
  <si>
    <t>ln(2π)</t>
  </si>
  <si>
    <t>LN(2 x PI())</t>
  </si>
  <si>
    <t>7</t>
  </si>
  <si>
    <t>n x ln(sigma^2)</t>
  </si>
  <si>
    <t>8</t>
  </si>
  <si>
    <t>n x ln(2pi)</t>
  </si>
  <si>
    <t>9</t>
  </si>
  <si>
    <t>2 x k</t>
  </si>
  <si>
    <t>10</t>
  </si>
  <si>
    <t>AIC = n·ln(σ̂²)+n·ln(2π)+n+2k</t>
  </si>
  <si>
    <t>n*ln(sigma^2) + n*ln(2pi) + n + 2k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</si>
</sst>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000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C0392B"/>
      <name val="Arial"/>
      <charset val="1"/>
    </font>
    <font>
      <i/>
      <sz val="10"/>
      <color rgb="FF44444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DEBD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" fontId="3" fillId="3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zoomScaleNormal="100" workbookViewId="0">
      <pane ySplit="1" topLeftCell="A43" activePane="bottomLeft" state="frozen"/>
      <selection pane="bottomLeft" activeCell="A64" sqref="A64:B64"/>
    </sheetView>
  </sheetViews>
  <sheetFormatPr defaultColWidth="8.6640625" defaultRowHeight="14.25" x14ac:dyDescent="0.45"/>
  <cols>
    <col min="1" max="1" width="8" customWidth="1"/>
    <col min="2" max="2" width="25.53125" customWidth="1"/>
    <col min="3" max="3" width="18" customWidth="1"/>
  </cols>
  <sheetData>
    <row r="1" spans="1:3" ht="19.5" customHeight="1" x14ac:dyDescent="0.45">
      <c r="A1" s="1" t="s">
        <v>0</v>
      </c>
      <c r="B1" s="1" t="s">
        <v>1</v>
      </c>
      <c r="C1" s="1" t="s">
        <v>2</v>
      </c>
    </row>
    <row r="2" spans="1:3" ht="15" customHeight="1" x14ac:dyDescent="0.45">
      <c r="A2" s="2">
        <v>29</v>
      </c>
      <c r="B2" s="3">
        <v>33.737299999999998</v>
      </c>
      <c r="C2" s="4">
        <f t="shared" ref="C2:C33" si="0">B2^2</f>
        <v>1138.2054112899998</v>
      </c>
    </row>
    <row r="3" spans="1:3" ht="15" customHeight="1" x14ac:dyDescent="0.45">
      <c r="A3" s="2">
        <v>30</v>
      </c>
      <c r="B3" s="3">
        <v>4.3311000000000002</v>
      </c>
      <c r="C3" s="4">
        <f t="shared" si="0"/>
        <v>18.758427210000001</v>
      </c>
    </row>
    <row r="4" spans="1:3" ht="15" customHeight="1" x14ac:dyDescent="0.45">
      <c r="A4" s="2">
        <v>31</v>
      </c>
      <c r="B4" s="3">
        <v>148.18520000000001</v>
      </c>
      <c r="C4" s="4">
        <f t="shared" si="0"/>
        <v>21958.853499040004</v>
      </c>
    </row>
    <row r="5" spans="1:3" ht="15" customHeight="1" x14ac:dyDescent="0.45">
      <c r="A5" s="2">
        <v>32</v>
      </c>
      <c r="B5" s="3">
        <v>-29.552</v>
      </c>
      <c r="C5" s="4">
        <f t="shared" si="0"/>
        <v>873.32070399999998</v>
      </c>
    </row>
    <row r="6" spans="1:3" ht="15" customHeight="1" x14ac:dyDescent="0.45">
      <c r="A6" s="2">
        <v>33</v>
      </c>
      <c r="B6" s="3">
        <v>-122.8664</v>
      </c>
      <c r="C6" s="4">
        <f t="shared" si="0"/>
        <v>15096.152248959999</v>
      </c>
    </row>
    <row r="7" spans="1:3" ht="15" customHeight="1" x14ac:dyDescent="0.45">
      <c r="A7" s="2">
        <v>34</v>
      </c>
      <c r="B7" s="3">
        <v>-66.205500000000001</v>
      </c>
      <c r="C7" s="4">
        <f t="shared" si="0"/>
        <v>4383.1682302500003</v>
      </c>
    </row>
    <row r="8" spans="1:3" ht="15" customHeight="1" x14ac:dyDescent="0.45">
      <c r="A8" s="2">
        <v>35</v>
      </c>
      <c r="B8" s="3">
        <v>-150.85380000000001</v>
      </c>
      <c r="C8" s="4">
        <f t="shared" si="0"/>
        <v>22756.868974440004</v>
      </c>
    </row>
    <row r="9" spans="1:3" ht="15" customHeight="1" x14ac:dyDescent="0.45">
      <c r="A9" s="2">
        <v>36</v>
      </c>
      <c r="B9" s="3">
        <v>24.800999999999998</v>
      </c>
      <c r="C9" s="4">
        <f t="shared" si="0"/>
        <v>615.0896009999999</v>
      </c>
    </row>
    <row r="10" spans="1:3" ht="15" customHeight="1" x14ac:dyDescent="0.45">
      <c r="A10" s="2">
        <v>37</v>
      </c>
      <c r="B10" s="3">
        <v>-68.082800000000006</v>
      </c>
      <c r="C10" s="4">
        <f t="shared" si="0"/>
        <v>4635.2676558400008</v>
      </c>
    </row>
    <row r="11" spans="1:3" ht="15" customHeight="1" x14ac:dyDescent="0.45">
      <c r="A11" s="2">
        <v>38</v>
      </c>
      <c r="B11" s="3">
        <v>-79.753100000000003</v>
      </c>
      <c r="C11" s="4">
        <f t="shared" si="0"/>
        <v>6360.5569596100004</v>
      </c>
    </row>
    <row r="12" spans="1:3" ht="15" customHeight="1" x14ac:dyDescent="0.45">
      <c r="A12" s="2">
        <v>39</v>
      </c>
      <c r="B12" s="3">
        <v>23.095099999999999</v>
      </c>
      <c r="C12" s="4">
        <f t="shared" si="0"/>
        <v>533.3836440099999</v>
      </c>
    </row>
    <row r="13" spans="1:3" ht="15" customHeight="1" x14ac:dyDescent="0.45">
      <c r="A13" s="2">
        <v>40</v>
      </c>
      <c r="B13" s="3">
        <v>42.010300000000001</v>
      </c>
      <c r="C13" s="4">
        <f t="shared" si="0"/>
        <v>1764.8653060900001</v>
      </c>
    </row>
    <row r="14" spans="1:3" ht="15" customHeight="1" x14ac:dyDescent="0.45">
      <c r="A14" s="2">
        <v>41</v>
      </c>
      <c r="B14" s="3">
        <v>75.075599999999994</v>
      </c>
      <c r="C14" s="4">
        <f t="shared" si="0"/>
        <v>5636.3457153599993</v>
      </c>
    </row>
    <row r="15" spans="1:3" ht="15" customHeight="1" x14ac:dyDescent="0.45">
      <c r="A15" s="2">
        <v>42</v>
      </c>
      <c r="B15" s="3">
        <v>-140.51570000000001</v>
      </c>
      <c r="C15" s="4">
        <f t="shared" si="0"/>
        <v>19744.661946490003</v>
      </c>
    </row>
    <row r="16" spans="1:3" ht="15" customHeight="1" x14ac:dyDescent="0.45">
      <c r="A16" s="2">
        <v>43</v>
      </c>
      <c r="B16" s="3">
        <v>9.5344999999999995</v>
      </c>
      <c r="C16" s="4">
        <f t="shared" si="0"/>
        <v>90.906690249999997</v>
      </c>
    </row>
    <row r="17" spans="1:3" ht="15" customHeight="1" x14ac:dyDescent="0.45">
      <c r="A17" s="2">
        <v>44</v>
      </c>
      <c r="B17" s="3">
        <v>-63.026800000000001</v>
      </c>
      <c r="C17" s="4">
        <f t="shared" si="0"/>
        <v>3972.37751824</v>
      </c>
    </row>
    <row r="18" spans="1:3" ht="15" customHeight="1" x14ac:dyDescent="0.45">
      <c r="A18" s="2">
        <v>45</v>
      </c>
      <c r="B18" s="3">
        <v>-74.332300000000004</v>
      </c>
      <c r="C18" s="4">
        <f t="shared" si="0"/>
        <v>5525.2908232900008</v>
      </c>
    </row>
    <row r="19" spans="1:3" ht="15" customHeight="1" x14ac:dyDescent="0.45">
      <c r="A19" s="2">
        <v>46</v>
      </c>
      <c r="B19" s="3">
        <v>-15.6546</v>
      </c>
      <c r="C19" s="4">
        <f t="shared" si="0"/>
        <v>245.06650116</v>
      </c>
    </row>
    <row r="20" spans="1:3" ht="15" customHeight="1" x14ac:dyDescent="0.45">
      <c r="A20" s="2">
        <v>47</v>
      </c>
      <c r="B20" s="3">
        <v>-22.325399999999998</v>
      </c>
      <c r="C20" s="4">
        <f t="shared" si="0"/>
        <v>498.42348515999993</v>
      </c>
    </row>
    <row r="21" spans="1:3" ht="15" customHeight="1" x14ac:dyDescent="0.45">
      <c r="A21" s="2">
        <v>48</v>
      </c>
      <c r="B21" s="3">
        <v>-0.90790000000000004</v>
      </c>
      <c r="C21" s="4">
        <f t="shared" si="0"/>
        <v>0.82428241000000002</v>
      </c>
    </row>
    <row r="22" spans="1:3" ht="15" customHeight="1" x14ac:dyDescent="0.45">
      <c r="A22" s="2">
        <v>49</v>
      </c>
      <c r="B22" s="3">
        <v>-28.090800000000002</v>
      </c>
      <c r="C22" s="4">
        <f t="shared" si="0"/>
        <v>789.09304464000013</v>
      </c>
    </row>
    <row r="23" spans="1:3" ht="15" customHeight="1" x14ac:dyDescent="0.45">
      <c r="A23" s="2">
        <v>50</v>
      </c>
      <c r="B23" s="3">
        <v>110.08320000000001</v>
      </c>
      <c r="C23" s="4">
        <f t="shared" si="0"/>
        <v>12118.310922240002</v>
      </c>
    </row>
    <row r="24" spans="1:3" ht="15" customHeight="1" x14ac:dyDescent="0.45">
      <c r="A24" s="2">
        <v>51</v>
      </c>
      <c r="B24" s="3">
        <v>-22.634899999999998</v>
      </c>
      <c r="C24" s="4">
        <f t="shared" si="0"/>
        <v>512.33869800999992</v>
      </c>
    </row>
    <row r="25" spans="1:3" ht="15" customHeight="1" x14ac:dyDescent="0.45">
      <c r="A25" s="2">
        <v>52</v>
      </c>
      <c r="B25" s="3">
        <v>-10.1944</v>
      </c>
      <c r="C25" s="4">
        <f t="shared" si="0"/>
        <v>103.92579136000001</v>
      </c>
    </row>
    <row r="26" spans="1:3" ht="15" customHeight="1" x14ac:dyDescent="0.45">
      <c r="A26" s="2">
        <v>53</v>
      </c>
      <c r="B26" s="3">
        <v>-19.238499999999998</v>
      </c>
      <c r="C26" s="4">
        <f t="shared" si="0"/>
        <v>370.11988224999993</v>
      </c>
    </row>
    <row r="27" spans="1:3" ht="15" customHeight="1" x14ac:dyDescent="0.45">
      <c r="A27" s="2">
        <v>54</v>
      </c>
      <c r="B27" s="3">
        <v>-3.9655</v>
      </c>
      <c r="C27" s="4">
        <f t="shared" si="0"/>
        <v>15.725190250000001</v>
      </c>
    </row>
    <row r="28" spans="1:3" ht="15" customHeight="1" x14ac:dyDescent="0.45">
      <c r="A28" s="2">
        <v>55</v>
      </c>
      <c r="B28" s="3">
        <v>-27.866</v>
      </c>
      <c r="C28" s="4">
        <f t="shared" si="0"/>
        <v>776.51395600000001</v>
      </c>
    </row>
    <row r="29" spans="1:3" ht="15" customHeight="1" x14ac:dyDescent="0.45">
      <c r="A29" s="2">
        <v>56</v>
      </c>
      <c r="B29" s="3">
        <v>63.043799999999997</v>
      </c>
      <c r="C29" s="4">
        <f t="shared" si="0"/>
        <v>3974.5207184399997</v>
      </c>
    </row>
    <row r="30" spans="1:3" ht="15" customHeight="1" x14ac:dyDescent="0.45">
      <c r="A30" s="2">
        <v>57</v>
      </c>
      <c r="B30" s="3">
        <v>-19.7532</v>
      </c>
      <c r="C30" s="4">
        <f t="shared" si="0"/>
        <v>390.18891023999998</v>
      </c>
    </row>
    <row r="31" spans="1:3" ht="15" customHeight="1" x14ac:dyDescent="0.45">
      <c r="A31" s="2">
        <v>58</v>
      </c>
      <c r="B31" s="3">
        <v>-52.995899999999999</v>
      </c>
      <c r="C31" s="4">
        <f t="shared" si="0"/>
        <v>2808.56541681</v>
      </c>
    </row>
    <row r="32" spans="1:3" ht="15" customHeight="1" x14ac:dyDescent="0.45">
      <c r="A32" s="2">
        <v>59</v>
      </c>
      <c r="B32" s="3">
        <v>106.62569999999999</v>
      </c>
      <c r="C32" s="4">
        <f t="shared" si="0"/>
        <v>11369.039900489999</v>
      </c>
    </row>
    <row r="33" spans="1:3" ht="15" customHeight="1" x14ac:dyDescent="0.45">
      <c r="A33" s="2">
        <v>60</v>
      </c>
      <c r="B33" s="3">
        <v>48.555900000000001</v>
      </c>
      <c r="C33" s="4">
        <f t="shared" si="0"/>
        <v>2357.6754248100001</v>
      </c>
    </row>
    <row r="34" spans="1:3" ht="15" customHeight="1" x14ac:dyDescent="0.45">
      <c r="A34" s="2">
        <v>61</v>
      </c>
      <c r="B34" s="3">
        <v>83.253</v>
      </c>
      <c r="C34" s="4">
        <f t="shared" ref="C34:C53" si="1">B34^2</f>
        <v>6931.0620090000002</v>
      </c>
    </row>
    <row r="35" spans="1:3" ht="15" customHeight="1" x14ac:dyDescent="0.45">
      <c r="A35" s="2">
        <v>62</v>
      </c>
      <c r="B35" s="3">
        <v>-42.077199999999998</v>
      </c>
      <c r="C35" s="4">
        <f t="shared" si="1"/>
        <v>1770.4907598399998</v>
      </c>
    </row>
    <row r="36" spans="1:3" ht="15" customHeight="1" x14ac:dyDescent="0.45">
      <c r="A36" s="2">
        <v>63</v>
      </c>
      <c r="B36" s="3">
        <v>116.17740000000001</v>
      </c>
      <c r="C36" s="4">
        <f t="shared" si="1"/>
        <v>13497.188270760002</v>
      </c>
    </row>
    <row r="37" spans="1:3" ht="15" customHeight="1" x14ac:dyDescent="0.45">
      <c r="A37" s="2">
        <v>64</v>
      </c>
      <c r="B37" s="3">
        <v>44.846400000000003</v>
      </c>
      <c r="C37" s="4">
        <f t="shared" si="1"/>
        <v>2011.1995929600002</v>
      </c>
    </row>
    <row r="38" spans="1:3" ht="15" customHeight="1" x14ac:dyDescent="0.45">
      <c r="A38" s="2">
        <v>65</v>
      </c>
      <c r="B38" s="3">
        <v>-21.774999999999999</v>
      </c>
      <c r="C38" s="4">
        <f t="shared" si="1"/>
        <v>474.15062499999993</v>
      </c>
    </row>
    <row r="39" spans="1:3" ht="15" customHeight="1" x14ac:dyDescent="0.45">
      <c r="A39" s="2">
        <v>66</v>
      </c>
      <c r="B39" s="3">
        <v>-24.532299999999999</v>
      </c>
      <c r="C39" s="4">
        <f t="shared" si="1"/>
        <v>601.83374328999992</v>
      </c>
    </row>
    <row r="40" spans="1:3" ht="15" customHeight="1" x14ac:dyDescent="0.45">
      <c r="A40" s="2">
        <v>67</v>
      </c>
      <c r="B40" s="3">
        <v>-13.624499999999999</v>
      </c>
      <c r="C40" s="4">
        <f t="shared" si="1"/>
        <v>185.62700024999998</v>
      </c>
    </row>
    <row r="41" spans="1:3" ht="15" customHeight="1" x14ac:dyDescent="0.45">
      <c r="A41" s="2">
        <v>68</v>
      </c>
      <c r="B41" s="3">
        <v>1.1904999999999999</v>
      </c>
      <c r="C41" s="4">
        <f t="shared" si="1"/>
        <v>1.4172902499999998</v>
      </c>
    </row>
    <row r="42" spans="1:3" ht="15" customHeight="1" x14ac:dyDescent="0.45">
      <c r="A42" s="2">
        <v>69</v>
      </c>
      <c r="B42" s="3">
        <v>-88.799000000000007</v>
      </c>
      <c r="C42" s="4">
        <f t="shared" si="1"/>
        <v>7885.2624010000009</v>
      </c>
    </row>
    <row r="43" spans="1:3" ht="15" customHeight="1" x14ac:dyDescent="0.45">
      <c r="A43" s="2">
        <v>70</v>
      </c>
      <c r="B43" s="3">
        <v>78.680400000000006</v>
      </c>
      <c r="C43" s="4">
        <f t="shared" si="1"/>
        <v>6190.6053441600006</v>
      </c>
    </row>
    <row r="44" spans="1:3" ht="15" customHeight="1" x14ac:dyDescent="0.45">
      <c r="A44" s="2">
        <v>71</v>
      </c>
      <c r="B44" s="3">
        <v>39.710099999999997</v>
      </c>
      <c r="C44" s="4">
        <f t="shared" si="1"/>
        <v>1576.8920420099998</v>
      </c>
    </row>
    <row r="45" spans="1:3" ht="15" customHeight="1" x14ac:dyDescent="0.45">
      <c r="A45" s="2">
        <v>72</v>
      </c>
      <c r="B45" s="3">
        <v>49.460099999999997</v>
      </c>
      <c r="C45" s="4">
        <f t="shared" si="1"/>
        <v>2446.3014920099995</v>
      </c>
    </row>
    <row r="46" spans="1:3" ht="15" customHeight="1" x14ac:dyDescent="0.45">
      <c r="A46" s="2">
        <v>73</v>
      </c>
      <c r="B46" s="3">
        <v>-67.265100000000004</v>
      </c>
      <c r="C46" s="4">
        <f t="shared" si="1"/>
        <v>4524.5936780100001</v>
      </c>
    </row>
    <row r="47" spans="1:3" ht="15" customHeight="1" x14ac:dyDescent="0.45">
      <c r="A47" s="2">
        <v>74</v>
      </c>
      <c r="B47" s="3">
        <v>43.518500000000003</v>
      </c>
      <c r="C47" s="4">
        <f t="shared" si="1"/>
        <v>1893.8598422500002</v>
      </c>
    </row>
    <row r="48" spans="1:3" ht="15" customHeight="1" x14ac:dyDescent="0.45">
      <c r="A48" s="2">
        <v>75</v>
      </c>
      <c r="B48" s="3">
        <v>119.55549999999999</v>
      </c>
      <c r="C48" s="4">
        <f t="shared" si="1"/>
        <v>14293.517580249998</v>
      </c>
    </row>
    <row r="49" spans="1:3" ht="15" customHeight="1" x14ac:dyDescent="0.45">
      <c r="A49" s="2">
        <v>76</v>
      </c>
      <c r="B49" s="3">
        <v>17.938099999999999</v>
      </c>
      <c r="C49" s="4">
        <f t="shared" si="1"/>
        <v>321.77543160999994</v>
      </c>
    </row>
    <row r="50" spans="1:3" ht="15" customHeight="1" x14ac:dyDescent="0.45">
      <c r="A50" s="2">
        <v>77</v>
      </c>
      <c r="B50" s="3">
        <v>-17.966699999999999</v>
      </c>
      <c r="C50" s="4">
        <f t="shared" si="1"/>
        <v>322.80230889000001</v>
      </c>
    </row>
    <row r="51" spans="1:3" ht="15" customHeight="1" x14ac:dyDescent="0.45">
      <c r="A51" s="2">
        <v>78</v>
      </c>
      <c r="B51" s="3">
        <v>-48.933500000000002</v>
      </c>
      <c r="C51" s="4">
        <f t="shared" si="1"/>
        <v>2394.4874222500002</v>
      </c>
    </row>
    <row r="52" spans="1:3" ht="15" customHeight="1" x14ac:dyDescent="0.45">
      <c r="A52" s="2">
        <v>79</v>
      </c>
      <c r="B52" s="3">
        <v>38.919600000000003</v>
      </c>
      <c r="C52" s="4">
        <f t="shared" si="1"/>
        <v>1514.7352641600003</v>
      </c>
    </row>
    <row r="53" spans="1:3" ht="15" customHeight="1" x14ac:dyDescent="0.45">
      <c r="A53" s="2">
        <v>80</v>
      </c>
      <c r="B53" s="3">
        <v>-16.804500000000001</v>
      </c>
      <c r="C53" s="4">
        <f t="shared" si="1"/>
        <v>282.39122025</v>
      </c>
    </row>
    <row r="55" spans="1:3" ht="15" customHeight="1" x14ac:dyDescent="0.45">
      <c r="A55" s="17" t="s">
        <v>3</v>
      </c>
      <c r="B55" s="17"/>
      <c r="C55" s="5">
        <v>52</v>
      </c>
    </row>
    <row r="56" spans="1:3" ht="15" customHeight="1" x14ac:dyDescent="0.45">
      <c r="A56" s="17" t="s">
        <v>4</v>
      </c>
      <c r="B56" s="17"/>
      <c r="C56" s="5">
        <v>6</v>
      </c>
    </row>
    <row r="57" spans="1:3" ht="15" customHeight="1" x14ac:dyDescent="0.45">
      <c r="A57" s="17" t="s">
        <v>5</v>
      </c>
      <c r="B57" s="17"/>
      <c r="C57" s="6">
        <f>SUM(C2:C53)</f>
        <v>220554.59879784004</v>
      </c>
    </row>
    <row r="58" spans="1:3" ht="15" customHeight="1" x14ac:dyDescent="0.45">
      <c r="A58" s="17" t="s">
        <v>6</v>
      </c>
      <c r="B58" s="17"/>
      <c r="C58" s="7">
        <f>C57/C55</f>
        <v>4241.4345922661541</v>
      </c>
    </row>
    <row r="59" spans="1:3" ht="15" customHeight="1" x14ac:dyDescent="0.45">
      <c r="A59" s="17" t="s">
        <v>7</v>
      </c>
      <c r="B59" s="17"/>
      <c r="C59" s="8">
        <f>LN(C58)</f>
        <v>8.3526568382320701</v>
      </c>
    </row>
    <row r="60" spans="1:3" ht="15" customHeight="1" x14ac:dyDescent="0.45">
      <c r="A60" s="17" t="s">
        <v>8</v>
      </c>
      <c r="B60" s="17"/>
      <c r="C60" s="8">
        <f>LN(2*PI())</f>
        <v>1.8378770664093453</v>
      </c>
    </row>
    <row r="61" spans="1:3" ht="15" customHeight="1" x14ac:dyDescent="0.45">
      <c r="A61" s="17" t="s">
        <v>9</v>
      </c>
      <c r="B61" s="17"/>
      <c r="C61" s="6">
        <f>C55*C59</f>
        <v>434.33815558806765</v>
      </c>
    </row>
    <row r="62" spans="1:3" ht="15" customHeight="1" x14ac:dyDescent="0.45">
      <c r="A62" s="17" t="s">
        <v>10</v>
      </c>
      <c r="B62" s="17"/>
      <c r="C62" s="6">
        <f>C55*C60</f>
        <v>95.569607453285954</v>
      </c>
    </row>
    <row r="63" spans="1:3" ht="15" customHeight="1" x14ac:dyDescent="0.45">
      <c r="A63" s="17" t="s">
        <v>11</v>
      </c>
      <c r="B63" s="17"/>
      <c r="C63" s="9">
        <f>2*C56</f>
        <v>12</v>
      </c>
    </row>
    <row r="64" spans="1:3" ht="15" customHeight="1" x14ac:dyDescent="0.45">
      <c r="A64" s="18" t="s">
        <v>12</v>
      </c>
      <c r="B64" s="18"/>
      <c r="C64" s="10">
        <f>C61+C62+C55+C63</f>
        <v>593.90776304135363</v>
      </c>
    </row>
  </sheetData>
  <mergeCells count="10"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/>
  </sheetViews>
  <sheetFormatPr defaultColWidth="8.6640625" defaultRowHeight="14.25" x14ac:dyDescent="0.45"/>
  <cols>
    <col min="1" max="1" width="7" customWidth="1"/>
    <col min="2" max="2" width="30" customWidth="1"/>
    <col min="3" max="3" width="38" customWidth="1"/>
    <col min="4" max="4" width="18" customWidth="1"/>
  </cols>
  <sheetData>
    <row r="1" spans="1:4" ht="19.5" customHeight="1" x14ac:dyDescent="0.45">
      <c r="A1" s="1" t="s">
        <v>13</v>
      </c>
      <c r="B1" s="1" t="s">
        <v>14</v>
      </c>
      <c r="C1" s="1" t="s">
        <v>15</v>
      </c>
      <c r="D1" s="1" t="s">
        <v>16</v>
      </c>
    </row>
    <row r="2" spans="1:4" ht="15" customHeight="1" x14ac:dyDescent="0.45">
      <c r="A2" s="11" t="s">
        <v>17</v>
      </c>
      <c r="B2" s="12" t="s">
        <v>18</v>
      </c>
      <c r="C2" s="13" t="s">
        <v>19</v>
      </c>
      <c r="D2" s="9">
        <f>'Data Residual'!C55</f>
        <v>52</v>
      </c>
    </row>
    <row r="3" spans="1:4" ht="15" customHeight="1" x14ac:dyDescent="0.45">
      <c r="A3" s="11" t="s">
        <v>20</v>
      </c>
      <c r="B3" s="12" t="s">
        <v>21</v>
      </c>
      <c r="C3" s="13" t="s">
        <v>22</v>
      </c>
      <c r="D3" s="9">
        <f>'Data Residual'!C56</f>
        <v>6</v>
      </c>
    </row>
    <row r="4" spans="1:4" ht="15" customHeight="1" x14ac:dyDescent="0.45">
      <c r="A4" s="11" t="s">
        <v>23</v>
      </c>
      <c r="B4" s="12" t="s">
        <v>5</v>
      </c>
      <c r="C4" s="13" t="s">
        <v>24</v>
      </c>
      <c r="D4" s="6">
        <f>'Data Residual'!C57</f>
        <v>220554.59879784004</v>
      </c>
    </row>
    <row r="5" spans="1:4" ht="15" customHeight="1" x14ac:dyDescent="0.45">
      <c r="A5" s="11" t="s">
        <v>25</v>
      </c>
      <c r="B5" s="12" t="s">
        <v>6</v>
      </c>
      <c r="C5" s="13" t="s">
        <v>26</v>
      </c>
      <c r="D5" s="7">
        <f>'Data Residual'!C58</f>
        <v>4241.4345922661541</v>
      </c>
    </row>
    <row r="6" spans="1:4" ht="15" customHeight="1" x14ac:dyDescent="0.45">
      <c r="A6" s="11" t="s">
        <v>27</v>
      </c>
      <c r="B6" s="12" t="s">
        <v>28</v>
      </c>
      <c r="C6" s="13" t="s">
        <v>29</v>
      </c>
      <c r="D6" s="8">
        <f>'Data Residual'!C59</f>
        <v>8.3526568382320701</v>
      </c>
    </row>
    <row r="7" spans="1:4" ht="15" customHeight="1" x14ac:dyDescent="0.45">
      <c r="A7" s="11" t="s">
        <v>30</v>
      </c>
      <c r="B7" s="12" t="s">
        <v>31</v>
      </c>
      <c r="C7" s="13" t="s">
        <v>32</v>
      </c>
      <c r="D7" s="8">
        <f>'Data Residual'!C60</f>
        <v>1.8378770664093453</v>
      </c>
    </row>
    <row r="8" spans="1:4" ht="15" customHeight="1" x14ac:dyDescent="0.45">
      <c r="A8" s="11" t="s">
        <v>33</v>
      </c>
      <c r="B8" s="12" t="s">
        <v>9</v>
      </c>
      <c r="C8" s="13" t="s">
        <v>34</v>
      </c>
      <c r="D8" s="6">
        <f>'Data Residual'!C61</f>
        <v>434.33815558806765</v>
      </c>
    </row>
    <row r="9" spans="1:4" ht="15" customHeight="1" x14ac:dyDescent="0.45">
      <c r="A9" s="11" t="s">
        <v>35</v>
      </c>
      <c r="B9" s="12" t="s">
        <v>10</v>
      </c>
      <c r="C9" s="13" t="s">
        <v>36</v>
      </c>
      <c r="D9" s="6">
        <f>'Data Residual'!C62</f>
        <v>95.569607453285954</v>
      </c>
    </row>
    <row r="10" spans="1:4" ht="15" customHeight="1" x14ac:dyDescent="0.45">
      <c r="A10" s="11" t="s">
        <v>37</v>
      </c>
      <c r="B10" s="12" t="s">
        <v>11</v>
      </c>
      <c r="C10" s="13" t="s">
        <v>38</v>
      </c>
      <c r="D10" s="9">
        <f>'Data Residual'!C63</f>
        <v>12</v>
      </c>
    </row>
    <row r="11" spans="1:4" ht="15" customHeight="1" x14ac:dyDescent="0.45">
      <c r="A11" s="14" t="s">
        <v>39</v>
      </c>
      <c r="B11" s="15" t="s">
        <v>40</v>
      </c>
      <c r="C11" s="16" t="s">
        <v>41</v>
      </c>
      <c r="D11" s="10">
        <f>'Data Residual'!C64</f>
        <v>593.90776304135363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Residual</vt:lpstr>
      <vt:lpstr>Langkah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Putri fradila</cp:lastModifiedBy>
  <cp:revision>0</cp:revision>
  <dcterms:created xsi:type="dcterms:W3CDTF">2026-05-31T00:37:31Z</dcterms:created>
  <dcterms:modified xsi:type="dcterms:W3CDTF">2026-07-04T15:17:45Z</dcterms:modified>
  <dc:language>en-US</dc:language>
</cp:coreProperties>
</file>