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Residual" sheetId="1" state="visible" r:id="rId3"/>
    <sheet name="Uji KS" sheetId="2" state="visible" r:id="rId4"/>
    <sheet name="Petunju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<sst xmlns="http://schemas.openxmlformats.org/spreadsheetml/2006/main" count="53" uniqueCount="51">
  <si>
    <t xml:space="preserve">DATA RESIDUAL</t>
  </si>
  <si>
    <t xml:space="preserve">No</t>
  </si>
  <si>
    <t xml:space="preserve">Residual (e)</t>
  </si>
  <si>
    <t xml:space="preserve">UJI NORMALITAS KOLMOGOROV-SMIRNOV</t>
  </si>
  <si>
    <t xml:space="preserve">N (Jumlah Data)</t>
  </si>
  <si>
    <t xml:space="preserve">Rata-rata (μ)</t>
  </si>
  <si>
    <t xml:space="preserve">Std. Deviasi (σ)</t>
  </si>
  <si>
    <t xml:space="preserve">X(i) Terurut</t>
  </si>
  <si>
    <t xml:space="preserve">Z = (Xi-μ)/σ</t>
  </si>
  <si>
    <t xml:space="preserve">F(Z) = NORMSDIST</t>
  </si>
  <si>
    <t xml:space="preserve">Fn(x) = i/n</t>
  </si>
  <si>
    <t xml:space="preserve">Fn(x) = (i-1)/n</t>
  </si>
  <si>
    <t xml:space="preserve">|i/n − F(Z)|</t>
  </si>
  <si>
    <t xml:space="preserve">|(i-1)/n − F(Z)|</t>
  </si>
  <si>
    <t xml:space="preserve">D = MAX</t>
  </si>
  <si>
    <t xml:space="preserve">RINGKASAN HASIL UJI</t>
  </si>
  <si>
    <t xml:space="preserve">D Hitung  (nilai maks kolom D)</t>
  </si>
  <si>
    <t xml:space="preserve">D Tabel α = 0,05  (1,36 / √n)</t>
  </si>
  <si>
    <t xml:space="preserve">D Tabel α = 0,01  (1,628 / √n)</t>
  </si>
  <si>
    <t xml:space="preserve">Keputusan α = 0,05</t>
  </si>
  <si>
    <t xml:space="preserve">Keputusan α = 0,01</t>
  </si>
  <si>
    <t xml:space="preserve">PETUNJUK RUMUS – UJI NORMALITAS KS</t>
  </si>
  <si>
    <t xml:space="preserve">KOLOM</t>
  </si>
  <si>
    <t xml:space="preserve">RUMUS / KETERANGAN</t>
  </si>
  <si>
    <t xml:space="preserve">SMALL(range, i) — urutkan data terkecil ke terbesar</t>
  </si>
  <si>
    <t xml:space="preserve">Z = (X-mu)/sigma</t>
  </si>
  <si>
    <t xml:space="preserve">(X(i) - mu) / sigma — standardisasi ke distribusi normal</t>
  </si>
  <si>
    <t xml:space="preserve">F(Z) Teoritis</t>
  </si>
  <si>
    <t xml:space="preserve">NORMSDIST(Z) — nilai CDF distribusi normal standar</t>
  </si>
  <si>
    <t xml:space="preserve">i/n  [Fn atas]</t>
  </si>
  <si>
    <t xml:space="preserve">i/n — proporsi kumulatif empiris batas atas</t>
  </si>
  <si>
    <t xml:space="preserve">(i-1)/n  [Fn bawah]</t>
  </si>
  <si>
    <t xml:space="preserve">(i-1)/n — proporsi kumulatif empiris batas bawah</t>
  </si>
  <si>
    <t xml:space="preserve">|i/n - F(Z)|</t>
  </si>
  <si>
    <t xml:space="preserve">ABS(i/n - F(Z)) — selisih absolut batas atas</t>
  </si>
  <si>
    <t xml:space="preserve">|(i-1)/n - F(Z)|</t>
  </si>
  <si>
    <t xml:space="preserve">ABS((i-1)/n - F(Z)) — selisih absolut batas bawah</t>
  </si>
  <si>
    <t xml:space="preserve">D per baris</t>
  </si>
  <si>
    <t xml:space="preserve">MAX(|i/n-F(Z)|, |(i-1)/n-F(Z)|) — nilai D tiap observasi</t>
  </si>
  <si>
    <t xml:space="preserve">D Hitung</t>
  </si>
  <si>
    <t xml:space="preserve">MAX(kolom D) — statistik uji KS terbesar</t>
  </si>
  <si>
    <t xml:space="preserve">D Tabel alpha=0,05</t>
  </si>
  <si>
    <t xml:space="preserve">1,36 / SQRT(n) — nilai kritis pada signifikansi 5%</t>
  </si>
  <si>
    <t xml:space="preserve">D Tabel alpha=0,01</t>
  </si>
  <si>
    <t xml:space="preserve">1,628 / SQRT(n) — nilai kritis pada signifikansi 1%</t>
  </si>
  <si>
    <t xml:space="preserve">Keputusan</t>
  </si>
  <si>
    <t xml:space="preserve">Jika D hitung &lt;= D tabel maka data BERDISTRIBUSI NORMAL</t>
  </si>
  <si>
    <t xml:space="preserve">Warna BIRU</t>
  </si>
  <si>
    <t xml:space="preserve">Input / data asli yang dimasukkan pengguna</t>
  </si>
  <si>
    <t xml:space="preserve">Warna HITAM</t>
  </si>
  <si>
    <t xml:space="preserve">Hasil perhitungan formula Excel (otomatis)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</si>
</sst>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"/>
    <numFmt numFmtId="167" formatCode="#,##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A"/>
        <bgColor rgb="FFDEEAF1"/>
      </patternFill>
    </fill>
    <fill>
      <patternFill patternType="solid">
        <fgColor rgb="FFDEEAF1"/>
        <bgColor rgb="FFEBF3FA"/>
      </patternFill>
    </fill>
    <fill>
      <patternFill patternType="solid">
        <fgColor rgb="FFFFF2CC"/>
        <bgColor rgb="FFEBF3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4" t="n">
        <v>1</v>
      </c>
      <c r="B3" s="5" t="n">
        <v>33.7373</v>
      </c>
    </row>
    <row r="4" customFormat="false" ht="15" hidden="false" customHeight="false" outlineLevel="0" collapsed="false">
      <c r="A4" s="6" t="n">
        <v>2</v>
      </c>
      <c r="B4" s="7" t="n">
        <v>4.3311</v>
      </c>
    </row>
    <row r="5" customFormat="false" ht="15" hidden="false" customHeight="false" outlineLevel="0" collapsed="false">
      <c r="A5" s="4" t="n">
        <v>3</v>
      </c>
      <c r="B5" s="5" t="n">
        <v>148.1852</v>
      </c>
    </row>
    <row r="6" customFormat="false" ht="15" hidden="false" customHeight="false" outlineLevel="0" collapsed="false">
      <c r="A6" s="6" t="n">
        <v>4</v>
      </c>
      <c r="B6" s="7" t="n">
        <v>-29.552</v>
      </c>
    </row>
    <row r="7" customFormat="false" ht="15" hidden="false" customHeight="false" outlineLevel="0" collapsed="false">
      <c r="A7" s="4" t="n">
        <v>5</v>
      </c>
      <c r="B7" s="5" t="n">
        <v>-122.8664</v>
      </c>
    </row>
    <row r="8" customFormat="false" ht="15" hidden="false" customHeight="false" outlineLevel="0" collapsed="false">
      <c r="A8" s="6" t="n">
        <v>6</v>
      </c>
      <c r="B8" s="7" t="n">
        <v>-66.2055</v>
      </c>
    </row>
    <row r="9" customFormat="false" ht="15" hidden="false" customHeight="false" outlineLevel="0" collapsed="false">
      <c r="A9" s="4" t="n">
        <v>7</v>
      </c>
      <c r="B9" s="5" t="n">
        <v>-150.8538</v>
      </c>
    </row>
    <row r="10" customFormat="false" ht="15" hidden="false" customHeight="false" outlineLevel="0" collapsed="false">
      <c r="A10" s="6" t="n">
        <v>8</v>
      </c>
      <c r="B10" s="7" t="n">
        <v>24.801</v>
      </c>
    </row>
    <row r="11" customFormat="false" ht="15" hidden="false" customHeight="false" outlineLevel="0" collapsed="false">
      <c r="A11" s="4" t="n">
        <v>9</v>
      </c>
      <c r="B11" s="5" t="n">
        <v>-68.0828</v>
      </c>
    </row>
    <row r="12" customFormat="false" ht="15" hidden="false" customHeight="false" outlineLevel="0" collapsed="false">
      <c r="A12" s="6" t="n">
        <v>10</v>
      </c>
      <c r="B12" s="7" t="n">
        <v>-79.7531</v>
      </c>
    </row>
    <row r="13" customFormat="false" ht="15" hidden="false" customHeight="false" outlineLevel="0" collapsed="false">
      <c r="A13" s="4" t="n">
        <v>11</v>
      </c>
      <c r="B13" s="5" t="n">
        <v>23.0951</v>
      </c>
    </row>
    <row r="14" customFormat="false" ht="15" hidden="false" customHeight="false" outlineLevel="0" collapsed="false">
      <c r="A14" s="6" t="n">
        <v>12</v>
      </c>
      <c r="B14" s="7" t="n">
        <v>42.0103</v>
      </c>
    </row>
    <row r="15" customFormat="false" ht="15" hidden="false" customHeight="false" outlineLevel="0" collapsed="false">
      <c r="A15" s="4" t="n">
        <v>13</v>
      </c>
      <c r="B15" s="5" t="n">
        <v>75.0756</v>
      </c>
    </row>
    <row r="16" customFormat="false" ht="15" hidden="false" customHeight="false" outlineLevel="0" collapsed="false">
      <c r="A16" s="6" t="n">
        <v>14</v>
      </c>
      <c r="B16" s="7" t="n">
        <v>-140.5157</v>
      </c>
    </row>
    <row r="17" customFormat="false" ht="15" hidden="false" customHeight="false" outlineLevel="0" collapsed="false">
      <c r="A17" s="4" t="n">
        <v>15</v>
      </c>
      <c r="B17" s="5" t="n">
        <v>9.5345</v>
      </c>
    </row>
    <row r="18" customFormat="false" ht="15" hidden="false" customHeight="false" outlineLevel="0" collapsed="false">
      <c r="A18" s="6" t="n">
        <v>16</v>
      </c>
      <c r="B18" s="7" t="n">
        <v>-63.0268</v>
      </c>
    </row>
    <row r="19" customFormat="false" ht="15" hidden="false" customHeight="false" outlineLevel="0" collapsed="false">
      <c r="A19" s="4" t="n">
        <v>17</v>
      </c>
      <c r="B19" s="5" t="n">
        <v>-74.3323</v>
      </c>
    </row>
    <row r="20" customFormat="false" ht="15" hidden="false" customHeight="false" outlineLevel="0" collapsed="false">
      <c r="A20" s="6" t="n">
        <v>18</v>
      </c>
      <c r="B20" s="7" t="n">
        <v>-15.6546</v>
      </c>
    </row>
    <row r="21" customFormat="false" ht="15" hidden="false" customHeight="false" outlineLevel="0" collapsed="false">
      <c r="A21" s="4" t="n">
        <v>19</v>
      </c>
      <c r="B21" s="5" t="n">
        <v>-22.3254</v>
      </c>
    </row>
    <row r="22" customFormat="false" ht="15" hidden="false" customHeight="false" outlineLevel="0" collapsed="false">
      <c r="A22" s="6" t="n">
        <v>20</v>
      </c>
      <c r="B22" s="7" t="n">
        <v>-0.9079</v>
      </c>
    </row>
    <row r="23" customFormat="false" ht="15" hidden="false" customHeight="false" outlineLevel="0" collapsed="false">
      <c r="A23" s="4" t="n">
        <v>21</v>
      </c>
      <c r="B23" s="5" t="n">
        <v>-28.0908</v>
      </c>
    </row>
    <row r="24" customFormat="false" ht="15" hidden="false" customHeight="false" outlineLevel="0" collapsed="false">
      <c r="A24" s="6" t="n">
        <v>22</v>
      </c>
      <c r="B24" s="7" t="n">
        <v>110.0832</v>
      </c>
    </row>
    <row r="25" customFormat="false" ht="15" hidden="false" customHeight="false" outlineLevel="0" collapsed="false">
      <c r="A25" s="4" t="n">
        <v>23</v>
      </c>
      <c r="B25" s="5" t="n">
        <v>-22.6349</v>
      </c>
    </row>
    <row r="26" customFormat="false" ht="15" hidden="false" customHeight="false" outlineLevel="0" collapsed="false">
      <c r="A26" s="6" t="n">
        <v>24</v>
      </c>
      <c r="B26" s="7" t="n">
        <v>-10.1944</v>
      </c>
    </row>
    <row r="27" customFormat="false" ht="15" hidden="false" customHeight="false" outlineLevel="0" collapsed="false">
      <c r="A27" s="4" t="n">
        <v>25</v>
      </c>
      <c r="B27" s="5" t="n">
        <v>-19.2385</v>
      </c>
    </row>
    <row r="28" customFormat="false" ht="15" hidden="false" customHeight="false" outlineLevel="0" collapsed="false">
      <c r="A28" s="6" t="n">
        <v>26</v>
      </c>
      <c r="B28" s="7" t="n">
        <v>-3.9655</v>
      </c>
    </row>
    <row r="29" customFormat="false" ht="15" hidden="false" customHeight="false" outlineLevel="0" collapsed="false">
      <c r="A29" s="4" t="n">
        <v>27</v>
      </c>
      <c r="B29" s="5" t="n">
        <v>-27.866</v>
      </c>
    </row>
    <row r="30" customFormat="false" ht="15" hidden="false" customHeight="false" outlineLevel="0" collapsed="false">
      <c r="A30" s="6" t="n">
        <v>28</v>
      </c>
      <c r="B30" s="7" t="n">
        <v>63.0438</v>
      </c>
    </row>
    <row r="31" customFormat="false" ht="15" hidden="false" customHeight="false" outlineLevel="0" collapsed="false">
      <c r="A31" s="4" t="n">
        <v>29</v>
      </c>
      <c r="B31" s="5" t="n">
        <v>-19.7532</v>
      </c>
    </row>
    <row r="32" customFormat="false" ht="15" hidden="false" customHeight="false" outlineLevel="0" collapsed="false">
      <c r="A32" s="6" t="n">
        <v>30</v>
      </c>
      <c r="B32" s="7" t="n">
        <v>-52.9959</v>
      </c>
    </row>
    <row r="33" customFormat="false" ht="15" hidden="false" customHeight="false" outlineLevel="0" collapsed="false">
      <c r="A33" s="4" t="n">
        <v>31</v>
      </c>
      <c r="B33" s="5" t="n">
        <v>106.6257</v>
      </c>
    </row>
    <row r="34" customFormat="false" ht="15" hidden="false" customHeight="false" outlineLevel="0" collapsed="false">
      <c r="A34" s="6" t="n">
        <v>32</v>
      </c>
      <c r="B34" s="7" t="n">
        <v>48.5559</v>
      </c>
    </row>
    <row r="35" customFormat="false" ht="15" hidden="false" customHeight="false" outlineLevel="0" collapsed="false">
      <c r="A35" s="4" t="n">
        <v>33</v>
      </c>
      <c r="B35" s="5" t="n">
        <v>83.253</v>
      </c>
    </row>
    <row r="36" customFormat="false" ht="15" hidden="false" customHeight="false" outlineLevel="0" collapsed="false">
      <c r="A36" s="6" t="n">
        <v>34</v>
      </c>
      <c r="B36" s="7" t="n">
        <v>-42.0772</v>
      </c>
    </row>
    <row r="37" customFormat="false" ht="15" hidden="false" customHeight="false" outlineLevel="0" collapsed="false">
      <c r="A37" s="4" t="n">
        <v>35</v>
      </c>
      <c r="B37" s="5" t="n">
        <v>116.1774</v>
      </c>
    </row>
    <row r="38" customFormat="false" ht="15" hidden="false" customHeight="false" outlineLevel="0" collapsed="false">
      <c r="A38" s="6" t="n">
        <v>36</v>
      </c>
      <c r="B38" s="7" t="n">
        <v>44.8464</v>
      </c>
    </row>
    <row r="39" customFormat="false" ht="15" hidden="false" customHeight="false" outlineLevel="0" collapsed="false">
      <c r="A39" s="4" t="n">
        <v>37</v>
      </c>
      <c r="B39" s="5" t="n">
        <v>-21.775</v>
      </c>
    </row>
    <row r="40" customFormat="false" ht="15" hidden="false" customHeight="false" outlineLevel="0" collapsed="false">
      <c r="A40" s="6" t="n">
        <v>38</v>
      </c>
      <c r="B40" s="7" t="n">
        <v>-24.5323</v>
      </c>
    </row>
    <row r="41" customFormat="false" ht="15" hidden="false" customHeight="false" outlineLevel="0" collapsed="false">
      <c r="A41" s="4" t="n">
        <v>39</v>
      </c>
      <c r="B41" s="5" t="n">
        <v>-13.6245</v>
      </c>
    </row>
    <row r="42" customFormat="false" ht="15" hidden="false" customHeight="false" outlineLevel="0" collapsed="false">
      <c r="A42" s="6" t="n">
        <v>40</v>
      </c>
      <c r="B42" s="7" t="n">
        <v>1.1905</v>
      </c>
    </row>
    <row r="43" customFormat="false" ht="15" hidden="false" customHeight="false" outlineLevel="0" collapsed="false">
      <c r="A43" s="4" t="n">
        <v>41</v>
      </c>
      <c r="B43" s="5" t="n">
        <v>-88.799</v>
      </c>
    </row>
    <row r="44" customFormat="false" ht="15" hidden="false" customHeight="false" outlineLevel="0" collapsed="false">
      <c r="A44" s="6" t="n">
        <v>42</v>
      </c>
      <c r="B44" s="7" t="n">
        <v>78.6804</v>
      </c>
    </row>
    <row r="45" customFormat="false" ht="15" hidden="false" customHeight="false" outlineLevel="0" collapsed="false">
      <c r="A45" s="4" t="n">
        <v>43</v>
      </c>
      <c r="B45" s="5" t="n">
        <v>39.7101</v>
      </c>
    </row>
    <row r="46" customFormat="false" ht="15" hidden="false" customHeight="false" outlineLevel="0" collapsed="false">
      <c r="A46" s="6" t="n">
        <v>44</v>
      </c>
      <c r="B46" s="7" t="n">
        <v>49.4601</v>
      </c>
    </row>
    <row r="47" customFormat="false" ht="15" hidden="false" customHeight="false" outlineLevel="0" collapsed="false">
      <c r="A47" s="4" t="n">
        <v>45</v>
      </c>
      <c r="B47" s="5" t="n">
        <v>-67.2651</v>
      </c>
    </row>
    <row r="48" customFormat="false" ht="15" hidden="false" customHeight="false" outlineLevel="0" collapsed="false">
      <c r="A48" s="6" t="n">
        <v>46</v>
      </c>
      <c r="B48" s="7" t="n">
        <v>43.5185</v>
      </c>
    </row>
    <row r="49" customFormat="false" ht="15" hidden="false" customHeight="false" outlineLevel="0" collapsed="false">
      <c r="A49" s="4" t="n">
        <v>47</v>
      </c>
      <c r="B49" s="5" t="n">
        <v>119.5555</v>
      </c>
    </row>
    <row r="50" customFormat="false" ht="15" hidden="false" customHeight="false" outlineLevel="0" collapsed="false">
      <c r="A50" s="6" t="n">
        <v>48</v>
      </c>
      <c r="B50" s="7" t="n">
        <v>17.9381</v>
      </c>
    </row>
    <row r="51" customFormat="false" ht="15" hidden="false" customHeight="false" outlineLevel="0" collapsed="false">
      <c r="A51" s="4" t="n">
        <v>49</v>
      </c>
      <c r="B51" s="5" t="n">
        <v>-17.9667</v>
      </c>
    </row>
    <row r="52" customFormat="false" ht="15" hidden="false" customHeight="false" outlineLevel="0" collapsed="false">
      <c r="A52" s="6" t="n">
        <v>50</v>
      </c>
      <c r="B52" s="7" t="n">
        <v>-48.9335</v>
      </c>
    </row>
    <row r="53" customFormat="false" ht="15" hidden="false" customHeight="false" outlineLevel="0" collapsed="false">
      <c r="A53" s="4" t="n">
        <v>51</v>
      </c>
      <c r="B53" s="5" t="n">
        <v>38.9196</v>
      </c>
    </row>
    <row r="54" customFormat="false" ht="15" hidden="false" customHeight="false" outlineLevel="0" collapsed="false">
      <c r="A54" s="6" t="n">
        <v>52</v>
      </c>
      <c r="B54" s="7" t="n">
        <v>-16.8045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8" t="s">
        <v>3</v>
      </c>
      <c r="B1" s="8"/>
      <c r="C1" s="8"/>
      <c r="D1" s="8"/>
      <c r="E1" s="8"/>
      <c r="F1" s="8"/>
      <c r="G1" s="8"/>
      <c r="H1" s="8"/>
      <c r="I1" s="8"/>
    </row>
    <row r="3" customFormat="false" ht="15" hidden="false" customHeight="false" outlineLevel="0" collapsed="false">
      <c r="A3" s="9" t="s">
        <v>4</v>
      </c>
      <c r="B3" s="9"/>
      <c r="C3" s="9"/>
      <c r="D3" s="9"/>
      <c r="E3" s="9"/>
      <c r="F3" s="9"/>
      <c r="G3" s="9"/>
      <c r="H3" s="10" t="n">
        <f aca="false">COUNTA('Data Residual'!B3:B54)</f>
        <v>52</v>
      </c>
      <c r="I3" s="10"/>
    </row>
    <row r="4" customFormat="false" ht="15" hidden="false" customHeight="false" outlineLevel="0" collapsed="false">
      <c r="A4" s="9" t="s">
        <v>5</v>
      </c>
      <c r="B4" s="9"/>
      <c r="C4" s="9"/>
      <c r="D4" s="9"/>
      <c r="E4" s="9"/>
      <c r="F4" s="9"/>
      <c r="G4" s="9"/>
      <c r="H4" s="10" t="n">
        <f aca="false">AVERAGE('Data Residual'!B3:B54)</f>
        <v>-0.735865384615385</v>
      </c>
      <c r="I4" s="10"/>
    </row>
    <row r="5" customFormat="false" ht="15" hidden="false" customHeight="false" outlineLevel="0" collapsed="false">
      <c r="A5" s="9" t="s">
        <v>6</v>
      </c>
      <c r="B5" s="9"/>
      <c r="C5" s="9"/>
      <c r="D5" s="9"/>
      <c r="E5" s="9"/>
      <c r="F5" s="9"/>
      <c r="G5" s="9"/>
      <c r="H5" s="10" t="n">
        <f aca="false">STDEV('Data Residual'!B3:B54)</f>
        <v>65.7574928122931</v>
      </c>
      <c r="I5" s="10"/>
    </row>
    <row r="7" customFormat="false" ht="30" hidden="false" customHeight="true" outlineLevel="0" collapsed="false">
      <c r="A7" s="3" t="s">
        <v>1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</row>
    <row r="8" customFormat="false" ht="15" hidden="false" customHeight="false" outlineLevel="0" collapsed="false">
      <c r="A8" s="4" t="n">
        <v>1</v>
      </c>
      <c r="B8" s="11" t="n">
        <f aca="false">SMALL('Data Residual'!$B$3:$B$54,1)</f>
        <v>-150.8538</v>
      </c>
      <c r="C8" s="12" t="n">
        <f aca="false">(B8-$H$4)/$H$5</f>
        <v>-2.28290234610832</v>
      </c>
      <c r="D8" s="12" t="n">
        <f aca="false">NORMSDIST(C8)</f>
        <v>0.0112180606333272</v>
      </c>
      <c r="E8" s="12" t="n">
        <f aca="false">1/$H$3</f>
        <v>0.0192307692307692</v>
      </c>
      <c r="F8" s="12" t="n">
        <f aca="false">0/$H$3</f>
        <v>0</v>
      </c>
      <c r="G8" s="12" t="n">
        <f aca="false">ABS(E8-D8)</f>
        <v>0.00801270859744202</v>
      </c>
      <c r="H8" s="12" t="n">
        <f aca="false">ABS(F8-D8)</f>
        <v>0.0112180606333272</v>
      </c>
      <c r="I8" s="12" t="n">
        <f aca="false">MAX(G8,H8)</f>
        <v>0.0112180606333272</v>
      </c>
    </row>
    <row r="9" customFormat="false" ht="15" hidden="false" customHeight="false" outlineLevel="0" collapsed="false">
      <c r="A9" s="6" t="n">
        <v>2</v>
      </c>
      <c r="B9" s="13" t="n">
        <f aca="false">SMALL('Data Residual'!$B$3:$B$54,2)</f>
        <v>-140.5157</v>
      </c>
      <c r="C9" s="14" t="n">
        <f aca="false">(B9-$H$4)/$H$5</f>
        <v>-2.12568680217767</v>
      </c>
      <c r="D9" s="14" t="n">
        <f aca="false">NORMSDIST(C9)</f>
        <v>0.0167646732866546</v>
      </c>
      <c r="E9" s="14" t="n">
        <f aca="false">2/$H$3</f>
        <v>0.0384615384615385</v>
      </c>
      <c r="F9" s="14" t="n">
        <f aca="false">1/$H$3</f>
        <v>0.0192307692307692</v>
      </c>
      <c r="G9" s="14" t="n">
        <f aca="false">ABS(E9-D9)</f>
        <v>0.0216968651748839</v>
      </c>
      <c r="H9" s="14" t="n">
        <f aca="false">ABS(F9-D9)</f>
        <v>0.00246609594411463</v>
      </c>
      <c r="I9" s="14" t="n">
        <f aca="false">MAX(G9,H9)</f>
        <v>0.0216968651748839</v>
      </c>
    </row>
    <row r="10" customFormat="false" ht="15" hidden="false" customHeight="false" outlineLevel="0" collapsed="false">
      <c r="A10" s="4" t="n">
        <v>3</v>
      </c>
      <c r="B10" s="11" t="n">
        <f aca="false">SMALL('Data Residual'!$B$3:$B$54,3)</f>
        <v>-122.8664</v>
      </c>
      <c r="C10" s="12" t="n">
        <f aca="false">(B10-$H$4)/$H$5</f>
        <v>-1.85728697053597</v>
      </c>
      <c r="D10" s="12" t="n">
        <f aca="false">NORMSDIST(C10)</f>
        <v>0.0316351685703611</v>
      </c>
      <c r="E10" s="12" t="n">
        <f aca="false">3/$H$3</f>
        <v>0.0576923076923077</v>
      </c>
      <c r="F10" s="12" t="n">
        <f aca="false">2/$H$3</f>
        <v>0.0384615384615385</v>
      </c>
      <c r="G10" s="12" t="n">
        <f aca="false">ABS(E10-D10)</f>
        <v>0.0260571391219466</v>
      </c>
      <c r="H10" s="12" t="n">
        <f aca="false">ABS(F10-D10)</f>
        <v>0.00682636989117733</v>
      </c>
      <c r="I10" s="12" t="n">
        <f aca="false">MAX(G10,H10)</f>
        <v>0.0260571391219466</v>
      </c>
    </row>
    <row r="11" customFormat="false" ht="15" hidden="false" customHeight="false" outlineLevel="0" collapsed="false">
      <c r="A11" s="6" t="n">
        <v>4</v>
      </c>
      <c r="B11" s="13" t="n">
        <f aca="false">SMALL('Data Residual'!$B$3:$B$54,4)</f>
        <v>-88.799</v>
      </c>
      <c r="C11" s="14" t="n">
        <f aca="false">(B11-$H$4)/$H$5</f>
        <v>-1.33921064884216</v>
      </c>
      <c r="D11" s="14" t="n">
        <f aca="false">NORMSDIST(C11)</f>
        <v>0.0902510533564059</v>
      </c>
      <c r="E11" s="14" t="n">
        <f aca="false">4/$H$3</f>
        <v>0.0769230769230769</v>
      </c>
      <c r="F11" s="14" t="n">
        <f aca="false">3/$H$3</f>
        <v>0.0576923076923077</v>
      </c>
      <c r="G11" s="14" t="n">
        <f aca="false">ABS(E11-D11)</f>
        <v>0.013327976433329</v>
      </c>
      <c r="H11" s="14" t="n">
        <f aca="false">ABS(F11-D11)</f>
        <v>0.0325587456640982</v>
      </c>
      <c r="I11" s="14" t="n">
        <f aca="false">MAX(G11,H11)</f>
        <v>0.0325587456640982</v>
      </c>
    </row>
    <row r="12" customFormat="false" ht="15" hidden="false" customHeight="false" outlineLevel="0" collapsed="false">
      <c r="A12" s="4" t="n">
        <v>5</v>
      </c>
      <c r="B12" s="11" t="n">
        <f aca="false">SMALL('Data Residual'!$B$3:$B$54,5)</f>
        <v>-79.7531</v>
      </c>
      <c r="C12" s="12" t="n">
        <f aca="false">(B12-$H$4)/$H$5</f>
        <v>-1.20164609744082</v>
      </c>
      <c r="D12" s="12" t="n">
        <f aca="false">NORMSDIST(C12)</f>
        <v>0.114750336694137</v>
      </c>
      <c r="E12" s="12" t="n">
        <f aca="false">5/$H$3</f>
        <v>0.0961538461538462</v>
      </c>
      <c r="F12" s="12" t="n">
        <f aca="false">4/$H$3</f>
        <v>0.0769230769230769</v>
      </c>
      <c r="G12" s="12" t="n">
        <f aca="false">ABS(E12-D12)</f>
        <v>0.0185964905402908</v>
      </c>
      <c r="H12" s="12" t="n">
        <f aca="false">ABS(F12-D12)</f>
        <v>0.03782725977106</v>
      </c>
      <c r="I12" s="12" t="n">
        <f aca="false">MAX(G12,H12)</f>
        <v>0.03782725977106</v>
      </c>
    </row>
    <row r="13" customFormat="false" ht="15" hidden="false" customHeight="false" outlineLevel="0" collapsed="false">
      <c r="A13" s="6" t="n">
        <v>6</v>
      </c>
      <c r="B13" s="13" t="n">
        <f aca="false">SMALL('Data Residual'!$B$3:$B$54,6)</f>
        <v>-74.3323</v>
      </c>
      <c r="C13" s="14" t="n">
        <f aca="false">(B13-$H$4)/$H$5</f>
        <v>-1.11920986442515</v>
      </c>
      <c r="D13" s="14" t="n">
        <f aca="false">NORMSDIST(C13)</f>
        <v>0.131525309052326</v>
      </c>
      <c r="E13" s="14" t="n">
        <f aca="false">6/$H$3</f>
        <v>0.115384615384615</v>
      </c>
      <c r="F13" s="14" t="n">
        <f aca="false">5/$H$3</f>
        <v>0.0961538461538462</v>
      </c>
      <c r="G13" s="14" t="n">
        <f aca="false">ABS(E13-D13)</f>
        <v>0.0161406936677103</v>
      </c>
      <c r="H13" s="14" t="n">
        <f aca="false">ABS(F13-D13)</f>
        <v>0.0353714628984796</v>
      </c>
      <c r="I13" s="14" t="n">
        <f aca="false">MAX(G13,H13)</f>
        <v>0.0353714628984796</v>
      </c>
    </row>
    <row r="14" customFormat="false" ht="15" hidden="false" customHeight="false" outlineLevel="0" collapsed="false">
      <c r="A14" s="4" t="n">
        <v>7</v>
      </c>
      <c r="B14" s="11" t="n">
        <f aca="false">SMALL('Data Residual'!$B$3:$B$54,7)</f>
        <v>-68.0828</v>
      </c>
      <c r="C14" s="12" t="n">
        <f aca="false">(B14-$H$4)/$H$5</f>
        <v>-1.02417126528271</v>
      </c>
      <c r="D14" s="12" t="n">
        <f aca="false">NORMSDIST(C14)</f>
        <v>0.152877194214916</v>
      </c>
      <c r="E14" s="12" t="n">
        <f aca="false">7/$H$3</f>
        <v>0.134615384615385</v>
      </c>
      <c r="F14" s="12" t="n">
        <f aca="false">6/$H$3</f>
        <v>0.115384615384615</v>
      </c>
      <c r="G14" s="12" t="n">
        <f aca="false">ABS(E14-D14)</f>
        <v>0.0182618095995317</v>
      </c>
      <c r="H14" s="12" t="n">
        <f aca="false">ABS(F14-D14)</f>
        <v>0.037492578830301</v>
      </c>
      <c r="I14" s="12" t="n">
        <f aca="false">MAX(G14,H14)</f>
        <v>0.037492578830301</v>
      </c>
    </row>
    <row r="15" customFormat="false" ht="15" hidden="false" customHeight="false" outlineLevel="0" collapsed="false">
      <c r="A15" s="6" t="n">
        <v>8</v>
      </c>
      <c r="B15" s="13" t="n">
        <f aca="false">SMALL('Data Residual'!$B$3:$B$54,8)</f>
        <v>-67.2651</v>
      </c>
      <c r="C15" s="14" t="n">
        <f aca="false">(B15-$H$4)/$H$5</f>
        <v>-1.01173618047292</v>
      </c>
      <c r="D15" s="14" t="n">
        <f aca="false">NORMSDIST(C15)</f>
        <v>0.155832105731302</v>
      </c>
      <c r="E15" s="14" t="n">
        <f aca="false">8/$H$3</f>
        <v>0.153846153846154</v>
      </c>
      <c r="F15" s="14" t="n">
        <f aca="false">7/$H$3</f>
        <v>0.134615384615385</v>
      </c>
      <c r="G15" s="14" t="n">
        <f aca="false">ABS(E15-D15)</f>
        <v>0.00198595188514827</v>
      </c>
      <c r="H15" s="14" t="n">
        <f aca="false">ABS(F15-D15)</f>
        <v>0.0212167211159175</v>
      </c>
      <c r="I15" s="14" t="n">
        <f aca="false">MAX(G15,H15)</f>
        <v>0.0212167211159175</v>
      </c>
    </row>
    <row r="16" customFormat="false" ht="15" hidden="false" customHeight="false" outlineLevel="0" collapsed="false">
      <c r="A16" s="4" t="n">
        <v>9</v>
      </c>
      <c r="B16" s="11" t="n">
        <f aca="false">SMALL('Data Residual'!$B$3:$B$54,9)</f>
        <v>-66.2055</v>
      </c>
      <c r="C16" s="12" t="n">
        <f aca="false">(B16-$H$4)/$H$5</f>
        <v>-0.995622427428458</v>
      </c>
      <c r="D16" s="12" t="n">
        <f aca="false">NORMSDIST(C16)</f>
        <v>0.159716816790448</v>
      </c>
      <c r="E16" s="12" t="n">
        <f aca="false">9/$H$3</f>
        <v>0.173076923076923</v>
      </c>
      <c r="F16" s="12" t="n">
        <f aca="false">8/$H$3</f>
        <v>0.153846153846154</v>
      </c>
      <c r="G16" s="12" t="n">
        <f aca="false">ABS(E16-D16)</f>
        <v>0.0133601062864753</v>
      </c>
      <c r="H16" s="12" t="n">
        <f aca="false">ABS(F16-D16)</f>
        <v>0.00587066294429395</v>
      </c>
      <c r="I16" s="12" t="n">
        <f aca="false">MAX(G16,H16)</f>
        <v>0.0133601062864753</v>
      </c>
    </row>
    <row r="17" customFormat="false" ht="15" hidden="false" customHeight="false" outlineLevel="0" collapsed="false">
      <c r="A17" s="6" t="n">
        <v>10</v>
      </c>
      <c r="B17" s="13" t="n">
        <f aca="false">SMALL('Data Residual'!$B$3:$B$54,10)</f>
        <v>-63.0268</v>
      </c>
      <c r="C17" s="14" t="n">
        <f aca="false">(B17-$H$4)/$H$5</f>
        <v>-0.94728268903433</v>
      </c>
      <c r="D17" s="14" t="n">
        <f aca="false">NORMSDIST(C17)</f>
        <v>0.17174737474462</v>
      </c>
      <c r="E17" s="14" t="n">
        <f aca="false">10/$H$3</f>
        <v>0.192307692307692</v>
      </c>
      <c r="F17" s="14" t="n">
        <f aca="false">9/$H$3</f>
        <v>0.173076923076923</v>
      </c>
      <c r="G17" s="14" t="n">
        <f aca="false">ABS(E17-D17)</f>
        <v>0.0205603175630721</v>
      </c>
      <c r="H17" s="14" t="n">
        <f aca="false">ABS(F17-D17)</f>
        <v>0.00132954833230287</v>
      </c>
      <c r="I17" s="14" t="n">
        <f aca="false">MAX(G17,H17)</f>
        <v>0.0205603175630721</v>
      </c>
    </row>
    <row r="18" customFormat="false" ht="15" hidden="false" customHeight="false" outlineLevel="0" collapsed="false">
      <c r="A18" s="4" t="n">
        <v>11</v>
      </c>
      <c r="B18" s="11" t="n">
        <f aca="false">SMALL('Data Residual'!$B$3:$B$54,11)</f>
        <v>-52.9959</v>
      </c>
      <c r="C18" s="12" t="n">
        <f aca="false">(B18-$H$4)/$H$5</f>
        <v>-0.794738856065613</v>
      </c>
      <c r="D18" s="12" t="n">
        <f aca="false">NORMSDIST(C18)</f>
        <v>0.213382712413015</v>
      </c>
      <c r="E18" s="12" t="n">
        <f aca="false">11/$H$3</f>
        <v>0.211538461538462</v>
      </c>
      <c r="F18" s="12" t="n">
        <f aca="false">10/$H$3</f>
        <v>0.192307692307692</v>
      </c>
      <c r="G18" s="12" t="n">
        <f aca="false">ABS(E18-D18)</f>
        <v>0.00184425087455314</v>
      </c>
      <c r="H18" s="12" t="n">
        <f aca="false">ABS(F18-D18)</f>
        <v>0.0210750201053224</v>
      </c>
      <c r="I18" s="12" t="n">
        <f aca="false">MAX(G18,H18)</f>
        <v>0.0210750201053224</v>
      </c>
    </row>
    <row r="19" customFormat="false" ht="15" hidden="false" customHeight="false" outlineLevel="0" collapsed="false">
      <c r="A19" s="6" t="n">
        <v>12</v>
      </c>
      <c r="B19" s="13" t="n">
        <f aca="false">SMALL('Data Residual'!$B$3:$B$54,12)</f>
        <v>-48.9335</v>
      </c>
      <c r="C19" s="14" t="n">
        <f aca="false">(B19-$H$4)/$H$5</f>
        <v>-0.732960344959719</v>
      </c>
      <c r="D19" s="14" t="n">
        <f aca="false">NORMSDIST(C19)</f>
        <v>0.231791307972967</v>
      </c>
      <c r="E19" s="14" t="n">
        <f aca="false">12/$H$3</f>
        <v>0.230769230769231</v>
      </c>
      <c r="F19" s="14" t="n">
        <f aca="false">11/$H$3</f>
        <v>0.211538461538462</v>
      </c>
      <c r="G19" s="14" t="n">
        <f aca="false">ABS(E19-D19)</f>
        <v>0.00102207720373584</v>
      </c>
      <c r="H19" s="14" t="n">
        <f aca="false">ABS(F19-D19)</f>
        <v>0.0202528464345051</v>
      </c>
      <c r="I19" s="14" t="n">
        <f aca="false">MAX(G19,H19)</f>
        <v>0.0202528464345051</v>
      </c>
    </row>
    <row r="20" customFormat="false" ht="15" hidden="false" customHeight="false" outlineLevel="0" collapsed="false">
      <c r="A20" s="4" t="n">
        <v>13</v>
      </c>
      <c r="B20" s="11" t="n">
        <f aca="false">SMALL('Data Residual'!$B$3:$B$54,13)</f>
        <v>-42.0772</v>
      </c>
      <c r="C20" s="12" t="n">
        <f aca="false">(B20-$H$4)/$H$5</f>
        <v>-0.628693900076069</v>
      </c>
      <c r="D20" s="12" t="n">
        <f aca="false">NORMSDIST(C20)</f>
        <v>0.264774736186123</v>
      </c>
      <c r="E20" s="12" t="n">
        <f aca="false">13/$H$3</f>
        <v>0.25</v>
      </c>
      <c r="F20" s="12" t="n">
        <f aca="false">12/$H$3</f>
        <v>0.230769230769231</v>
      </c>
      <c r="G20" s="12" t="n">
        <f aca="false">ABS(E20-D20)</f>
        <v>0.0147747361861229</v>
      </c>
      <c r="H20" s="12" t="n">
        <f aca="false">ABS(F20-D20)</f>
        <v>0.0340055054168921</v>
      </c>
      <c r="I20" s="12" t="n">
        <f aca="false">MAX(G20,H20)</f>
        <v>0.0340055054168921</v>
      </c>
    </row>
    <row r="21" customFormat="false" ht="15" hidden="false" customHeight="false" outlineLevel="0" collapsed="false">
      <c r="A21" s="6" t="n">
        <v>14</v>
      </c>
      <c r="B21" s="13" t="n">
        <f aca="false">SMALL('Data Residual'!$B$3:$B$54,14)</f>
        <v>-29.552</v>
      </c>
      <c r="C21" s="14" t="n">
        <f aca="false">(B21-$H$4)/$H$5</f>
        <v>-0.438218268108871</v>
      </c>
      <c r="D21" s="14" t="n">
        <f aca="false">NORMSDIST(C21)</f>
        <v>0.330614033570838</v>
      </c>
      <c r="E21" s="14" t="n">
        <f aca="false">14/$H$3</f>
        <v>0.269230769230769</v>
      </c>
      <c r="F21" s="14" t="n">
        <f aca="false">13/$H$3</f>
        <v>0.25</v>
      </c>
      <c r="G21" s="14" t="n">
        <f aca="false">ABS(E21-D21)</f>
        <v>0.061383264340069</v>
      </c>
      <c r="H21" s="14" t="n">
        <f aca="false">ABS(F21-D21)</f>
        <v>0.0806140335708382</v>
      </c>
      <c r="I21" s="14" t="n">
        <f aca="false">MAX(G21,H21)</f>
        <v>0.0806140335708382</v>
      </c>
    </row>
    <row r="22" customFormat="false" ht="15" hidden="false" customHeight="false" outlineLevel="0" collapsed="false">
      <c r="A22" s="4" t="n">
        <v>15</v>
      </c>
      <c r="B22" s="11" t="n">
        <f aca="false">SMALL('Data Residual'!$B$3:$B$54,15)</f>
        <v>-28.0908</v>
      </c>
      <c r="C22" s="12" t="n">
        <f aca="false">(B22-$H$4)/$H$5</f>
        <v>-0.415997226254811</v>
      </c>
      <c r="D22" s="12" t="n">
        <f aca="false">NORMSDIST(C22)</f>
        <v>0.33870601644941</v>
      </c>
      <c r="E22" s="12" t="n">
        <f aca="false">15/$H$3</f>
        <v>0.288461538461538</v>
      </c>
      <c r="F22" s="12" t="n">
        <f aca="false">14/$H$3</f>
        <v>0.269230769230769</v>
      </c>
      <c r="G22" s="12" t="n">
        <f aca="false">ABS(E22-D22)</f>
        <v>0.0502444779878711</v>
      </c>
      <c r="H22" s="12" t="n">
        <f aca="false">ABS(F22-D22)</f>
        <v>0.0694752472186404</v>
      </c>
      <c r="I22" s="12" t="n">
        <f aca="false">MAX(G22,H22)</f>
        <v>0.0694752472186404</v>
      </c>
    </row>
    <row r="23" customFormat="false" ht="15" hidden="false" customHeight="false" outlineLevel="0" collapsed="false">
      <c r="A23" s="6" t="n">
        <v>16</v>
      </c>
      <c r="B23" s="13" t="n">
        <f aca="false">SMALL('Data Residual'!$B$3:$B$54,16)</f>
        <v>-27.866</v>
      </c>
      <c r="C23" s="14" t="n">
        <f aca="false">(B23-$H$4)/$H$5</f>
        <v>-0.41257860443111</v>
      </c>
      <c r="D23" s="14" t="n">
        <f aca="false">NORMSDIST(C23)</f>
        <v>0.339957689778467</v>
      </c>
      <c r="E23" s="14" t="n">
        <f aca="false">16/$H$3</f>
        <v>0.307692307692308</v>
      </c>
      <c r="F23" s="14" t="n">
        <f aca="false">15/$H$3</f>
        <v>0.288461538461538</v>
      </c>
      <c r="G23" s="14" t="n">
        <f aca="false">ABS(E23-D23)</f>
        <v>0.0322653820861593</v>
      </c>
      <c r="H23" s="14" t="n">
        <f aca="false">ABS(F23-D23)</f>
        <v>0.0514961513169285</v>
      </c>
      <c r="I23" s="14" t="n">
        <f aca="false">MAX(G23,H23)</f>
        <v>0.0514961513169285</v>
      </c>
    </row>
    <row r="24" customFormat="false" ht="15" hidden="false" customHeight="false" outlineLevel="0" collapsed="false">
      <c r="A24" s="4" t="n">
        <v>17</v>
      </c>
      <c r="B24" s="11" t="n">
        <f aca="false">SMALL('Data Residual'!$B$3:$B$54,17)</f>
        <v>-24.5323</v>
      </c>
      <c r="C24" s="12" t="n">
        <f aca="false">(B24-$H$4)/$H$5</f>
        <v>-0.361881720206583</v>
      </c>
      <c r="D24" s="12" t="n">
        <f aca="false">NORMSDIST(C24)</f>
        <v>0.358720210316086</v>
      </c>
      <c r="E24" s="12" t="n">
        <f aca="false">17/$H$3</f>
        <v>0.326923076923077</v>
      </c>
      <c r="F24" s="12" t="n">
        <f aca="false">16/$H$3</f>
        <v>0.307692307692308</v>
      </c>
      <c r="G24" s="12" t="n">
        <f aca="false">ABS(E24-D24)</f>
        <v>0.0317971333930092</v>
      </c>
      <c r="H24" s="12" t="n">
        <f aca="false">ABS(F24-D24)</f>
        <v>0.0510279026237784</v>
      </c>
      <c r="I24" s="12" t="n">
        <f aca="false">MAX(G24,H24)</f>
        <v>0.0510279026237784</v>
      </c>
    </row>
    <row r="25" customFormat="false" ht="15" hidden="false" customHeight="false" outlineLevel="0" collapsed="false">
      <c r="A25" s="6" t="n">
        <v>18</v>
      </c>
      <c r="B25" s="13" t="n">
        <f aca="false">SMALL('Data Residual'!$B$3:$B$54,18)</f>
        <v>-22.6349</v>
      </c>
      <c r="C25" s="14" t="n">
        <f aca="false">(B25-$H$4)/$H$5</f>
        <v>-0.333027213764006</v>
      </c>
      <c r="D25" s="14" t="n">
        <f aca="false">NORMSDIST(C25)</f>
        <v>0.369556870465339</v>
      </c>
      <c r="E25" s="14" t="n">
        <f aca="false">18/$H$3</f>
        <v>0.346153846153846</v>
      </c>
      <c r="F25" s="14" t="n">
        <f aca="false">17/$H$3</f>
        <v>0.326923076923077</v>
      </c>
      <c r="G25" s="14" t="n">
        <f aca="false">ABS(E25-D25)</f>
        <v>0.0234030243114925</v>
      </c>
      <c r="H25" s="14" t="n">
        <f aca="false">ABS(F25-D25)</f>
        <v>0.0426337935422617</v>
      </c>
      <c r="I25" s="14" t="n">
        <f aca="false">MAX(G25,H25)</f>
        <v>0.0426337935422617</v>
      </c>
    </row>
    <row r="26" customFormat="false" ht="15" hidden="false" customHeight="false" outlineLevel="0" collapsed="false">
      <c r="A26" s="4" t="n">
        <v>19</v>
      </c>
      <c r="B26" s="11" t="n">
        <f aca="false">SMALL('Data Residual'!$B$3:$B$54,19)</f>
        <v>-22.3254</v>
      </c>
      <c r="C26" s="12" t="n">
        <f aca="false">(B26-$H$4)/$H$5</f>
        <v>-0.328320525799435</v>
      </c>
      <c r="D26" s="12" t="n">
        <f aca="false">NORMSDIST(C26)</f>
        <v>0.371334663112766</v>
      </c>
      <c r="E26" s="12" t="n">
        <f aca="false">19/$H$3</f>
        <v>0.365384615384615</v>
      </c>
      <c r="F26" s="12" t="n">
        <f aca="false">18/$H$3</f>
        <v>0.346153846153846</v>
      </c>
      <c r="G26" s="12" t="n">
        <f aca="false">ABS(E26-D26)</f>
        <v>0.00595004772815061</v>
      </c>
      <c r="H26" s="12" t="n">
        <f aca="false">ABS(F26-D26)</f>
        <v>0.0251808169589198</v>
      </c>
      <c r="I26" s="12" t="n">
        <f aca="false">MAX(G26,H26)</f>
        <v>0.0251808169589198</v>
      </c>
    </row>
    <row r="27" customFormat="false" ht="15" hidden="false" customHeight="false" outlineLevel="0" collapsed="false">
      <c r="A27" s="6" t="n">
        <v>20</v>
      </c>
      <c r="B27" s="13" t="n">
        <f aca="false">SMALL('Data Residual'!$B$3:$B$54,20)</f>
        <v>-21.775</v>
      </c>
      <c r="C27" s="14" t="n">
        <f aca="false">(B27-$H$4)/$H$5</f>
        <v>-0.319950376992649</v>
      </c>
      <c r="D27" s="14" t="n">
        <f aca="false">NORMSDIST(C27)</f>
        <v>0.374502974060593</v>
      </c>
      <c r="E27" s="14" t="n">
        <f aca="false">20/$H$3</f>
        <v>0.384615384615385</v>
      </c>
      <c r="F27" s="14" t="n">
        <f aca="false">19/$H$3</f>
        <v>0.365384615384615</v>
      </c>
      <c r="G27" s="14" t="n">
        <f aca="false">ABS(E27-D27)</f>
        <v>0.0101124105547917</v>
      </c>
      <c r="H27" s="14" t="n">
        <f aca="false">ABS(F27-D27)</f>
        <v>0.0091183586759776</v>
      </c>
      <c r="I27" s="14" t="n">
        <f aca="false">MAX(G27,H27)</f>
        <v>0.0101124105547917</v>
      </c>
    </row>
    <row r="28" customFormat="false" ht="15" hidden="false" customHeight="false" outlineLevel="0" collapsed="false">
      <c r="A28" s="4" t="n">
        <v>21</v>
      </c>
      <c r="B28" s="11" t="n">
        <f aca="false">SMALL('Data Residual'!$B$3:$B$54,21)</f>
        <v>-19.7532</v>
      </c>
      <c r="C28" s="12" t="n">
        <f aca="false">(B28-$H$4)/$H$5</f>
        <v>-0.289204070928772</v>
      </c>
      <c r="D28" s="12" t="n">
        <f aca="false">NORMSDIST(C28)</f>
        <v>0.386212608375638</v>
      </c>
      <c r="E28" s="12" t="n">
        <f aca="false">21/$H$3</f>
        <v>0.403846153846154</v>
      </c>
      <c r="F28" s="12" t="n">
        <f aca="false">20/$H$3</f>
        <v>0.384615384615385</v>
      </c>
      <c r="G28" s="12" t="n">
        <f aca="false">ABS(E28-D28)</f>
        <v>0.0176335454705163</v>
      </c>
      <c r="H28" s="12" t="n">
        <f aca="false">ABS(F28-D28)</f>
        <v>0.00159722376025295</v>
      </c>
      <c r="I28" s="12" t="n">
        <f aca="false">MAX(G28,H28)</f>
        <v>0.0176335454705163</v>
      </c>
    </row>
    <row r="29" customFormat="false" ht="15" hidden="false" customHeight="false" outlineLevel="0" collapsed="false">
      <c r="A29" s="6" t="n">
        <v>22</v>
      </c>
      <c r="B29" s="13" t="n">
        <f aca="false">SMALL('Data Residual'!$B$3:$B$54,22)</f>
        <v>-19.2385</v>
      </c>
      <c r="C29" s="14" t="n">
        <f aca="false">(B29-$H$4)/$H$5</f>
        <v>-0.281376826032601</v>
      </c>
      <c r="D29" s="14" t="n">
        <f aca="false">NORMSDIST(C29)</f>
        <v>0.389210695274288</v>
      </c>
      <c r="E29" s="14" t="n">
        <f aca="false">22/$H$3</f>
        <v>0.423076923076923</v>
      </c>
      <c r="F29" s="14" t="n">
        <f aca="false">21/$H$3</f>
        <v>0.403846153846154</v>
      </c>
      <c r="G29" s="14" t="n">
        <f aca="false">ABS(E29-D29)</f>
        <v>0.0338662278026353</v>
      </c>
      <c r="H29" s="14" t="n">
        <f aca="false">ABS(F29-D29)</f>
        <v>0.0146354585718661</v>
      </c>
      <c r="I29" s="14" t="n">
        <f aca="false">MAX(G29,H29)</f>
        <v>0.0338662278026353</v>
      </c>
    </row>
    <row r="30" customFormat="false" ht="15" hidden="false" customHeight="false" outlineLevel="0" collapsed="false">
      <c r="A30" s="4" t="n">
        <v>23</v>
      </c>
      <c r="B30" s="11" t="n">
        <f aca="false">SMALL('Data Residual'!$B$3:$B$54,23)</f>
        <v>-17.9667</v>
      </c>
      <c r="C30" s="12" t="n">
        <f aca="false">(B30-$H$4)/$H$5</f>
        <v>-0.262036064309365</v>
      </c>
      <c r="D30" s="12" t="n">
        <f aca="false">NORMSDIST(C30)</f>
        <v>0.396646819014647</v>
      </c>
      <c r="E30" s="12" t="n">
        <f aca="false">23/$H$3</f>
        <v>0.442307692307692</v>
      </c>
      <c r="F30" s="12" t="n">
        <f aca="false">22/$H$3</f>
        <v>0.423076923076923</v>
      </c>
      <c r="G30" s="12" t="n">
        <f aca="false">ABS(E30-D30)</f>
        <v>0.0456608732930457</v>
      </c>
      <c r="H30" s="12" t="n">
        <f aca="false">ABS(F30-D30)</f>
        <v>0.0264301040622765</v>
      </c>
      <c r="I30" s="12" t="n">
        <f aca="false">MAX(G30,H30)</f>
        <v>0.0456608732930457</v>
      </c>
    </row>
    <row r="31" customFormat="false" ht="15" hidden="false" customHeight="false" outlineLevel="0" collapsed="false">
      <c r="A31" s="6" t="n">
        <v>24</v>
      </c>
      <c r="B31" s="13" t="n">
        <f aca="false">SMALL('Data Residual'!$B$3:$B$54,24)</f>
        <v>-16.8045</v>
      </c>
      <c r="C31" s="14" t="n">
        <f aca="false">(B31-$H$4)/$H$5</f>
        <v>-0.244362032799107</v>
      </c>
      <c r="D31" s="14" t="n">
        <f aca="false">NORMSDIST(C31)</f>
        <v>0.403475221999569</v>
      </c>
      <c r="E31" s="14" t="n">
        <f aca="false">24/$H$3</f>
        <v>0.461538461538462</v>
      </c>
      <c r="F31" s="14" t="n">
        <f aca="false">23/$H$3</f>
        <v>0.442307692307692</v>
      </c>
      <c r="G31" s="14" t="n">
        <f aca="false">ABS(E31-D31)</f>
        <v>0.0580632395388925</v>
      </c>
      <c r="H31" s="14" t="n">
        <f aca="false">ABS(F31-D31)</f>
        <v>0.0388324703081232</v>
      </c>
      <c r="I31" s="14" t="n">
        <f aca="false">MAX(G31,H31)</f>
        <v>0.0580632395388925</v>
      </c>
    </row>
    <row r="32" customFormat="false" ht="15" hidden="false" customHeight="false" outlineLevel="0" collapsed="false">
      <c r="A32" s="4" t="n">
        <v>25</v>
      </c>
      <c r="B32" s="11" t="n">
        <f aca="false">SMALL('Data Residual'!$B$3:$B$54,25)</f>
        <v>-15.6546</v>
      </c>
      <c r="C32" s="12" t="n">
        <f aca="false">(B32-$H$4)/$H$5</f>
        <v>-0.226875052216036</v>
      </c>
      <c r="D32" s="12" t="n">
        <f aca="false">NORMSDIST(C32)</f>
        <v>0.410260450848346</v>
      </c>
      <c r="E32" s="12" t="n">
        <f aca="false">25/$H$3</f>
        <v>0.480769230769231</v>
      </c>
      <c r="F32" s="12" t="n">
        <f aca="false">24/$H$3</f>
        <v>0.461538461538462</v>
      </c>
      <c r="G32" s="12" t="n">
        <f aca="false">ABS(E32-D32)</f>
        <v>0.070508779920885</v>
      </c>
      <c r="H32" s="12" t="n">
        <f aca="false">ABS(F32-D32)</f>
        <v>0.0512780106901157</v>
      </c>
      <c r="I32" s="12" t="n">
        <f aca="false">MAX(G32,H32)</f>
        <v>0.070508779920885</v>
      </c>
    </row>
    <row r="33" customFormat="false" ht="15" hidden="false" customHeight="false" outlineLevel="0" collapsed="false">
      <c r="A33" s="6" t="n">
        <v>26</v>
      </c>
      <c r="B33" s="13" t="n">
        <f aca="false">SMALL('Data Residual'!$B$3:$B$54,26)</f>
        <v>-13.6245</v>
      </c>
      <c r="C33" s="14" t="n">
        <f aca="false">(B33-$H$4)/$H$5</f>
        <v>-0.196002524794789</v>
      </c>
      <c r="D33" s="14" t="n">
        <f aca="false">NORMSDIST(C33)</f>
        <v>0.422304094913807</v>
      </c>
      <c r="E33" s="14" t="n">
        <f aca="false">26/$H$3</f>
        <v>0.5</v>
      </c>
      <c r="F33" s="14" t="n">
        <f aca="false">25/$H$3</f>
        <v>0.480769230769231</v>
      </c>
      <c r="G33" s="14" t="n">
        <f aca="false">ABS(E33-D33)</f>
        <v>0.0776959050861928</v>
      </c>
      <c r="H33" s="14" t="n">
        <f aca="false">ABS(F33-D33)</f>
        <v>0.0584651358554236</v>
      </c>
      <c r="I33" s="14" t="n">
        <f aca="false">MAX(G33,H33)</f>
        <v>0.0776959050861928</v>
      </c>
    </row>
    <row r="34" customFormat="false" ht="15" hidden="false" customHeight="false" outlineLevel="0" collapsed="false">
      <c r="A34" s="4" t="n">
        <v>27</v>
      </c>
      <c r="B34" s="11" t="n">
        <f aca="false">SMALL('Data Residual'!$B$3:$B$54,27)</f>
        <v>-10.1944</v>
      </c>
      <c r="C34" s="12" t="n">
        <f aca="false">(B34-$H$4)/$H$5</f>
        <v>-0.143839647937678</v>
      </c>
      <c r="D34" s="12" t="n">
        <f aca="false">NORMSDIST(C34)</f>
        <v>0.442813546939199</v>
      </c>
      <c r="E34" s="12" t="n">
        <f aca="false">27/$H$3</f>
        <v>0.519230769230769</v>
      </c>
      <c r="F34" s="12" t="n">
        <f aca="false">26/$H$3</f>
        <v>0.5</v>
      </c>
      <c r="G34" s="12" t="n">
        <f aca="false">ABS(E34-D34)</f>
        <v>0.0764172222915706</v>
      </c>
      <c r="H34" s="12" t="n">
        <f aca="false">ABS(F34-D34)</f>
        <v>0.0571864530608013</v>
      </c>
      <c r="I34" s="12" t="n">
        <f aca="false">MAX(G34,H34)</f>
        <v>0.0764172222915706</v>
      </c>
    </row>
    <row r="35" customFormat="false" ht="15" hidden="false" customHeight="false" outlineLevel="0" collapsed="false">
      <c r="A35" s="6" t="n">
        <v>28</v>
      </c>
      <c r="B35" s="13" t="n">
        <f aca="false">SMALL('Data Residual'!$B$3:$B$54,28)</f>
        <v>-3.9655</v>
      </c>
      <c r="C35" s="14" t="n">
        <f aca="false">(B35-$H$4)/$H$5</f>
        <v>-0.049114321079785</v>
      </c>
      <c r="D35" s="14" t="n">
        <f aca="false">NORMSDIST(C35)</f>
        <v>0.480414095304962</v>
      </c>
      <c r="E35" s="14" t="n">
        <f aca="false">28/$H$3</f>
        <v>0.538461538461538</v>
      </c>
      <c r="F35" s="14" t="n">
        <f aca="false">27/$H$3</f>
        <v>0.519230769230769</v>
      </c>
      <c r="G35" s="14" t="n">
        <f aca="false">ABS(E35-D35)</f>
        <v>0.0580474431565763</v>
      </c>
      <c r="H35" s="14" t="n">
        <f aca="false">ABS(F35-D35)</f>
        <v>0.0388166739258071</v>
      </c>
      <c r="I35" s="14" t="n">
        <f aca="false">MAX(G35,H35)</f>
        <v>0.0580474431565763</v>
      </c>
    </row>
    <row r="36" customFormat="false" ht="15" hidden="false" customHeight="false" outlineLevel="0" collapsed="false">
      <c r="A36" s="4" t="n">
        <v>29</v>
      </c>
      <c r="B36" s="11" t="n">
        <f aca="false">SMALL('Data Residual'!$B$3:$B$54,29)</f>
        <v>-0.9079</v>
      </c>
      <c r="C36" s="12" t="n">
        <f aca="false">(B36-$H$4)/$H$5</f>
        <v>-0.00261619791185916</v>
      </c>
      <c r="D36" s="12" t="n">
        <f aca="false">NORMSDIST(C36)</f>
        <v>0.498956289229673</v>
      </c>
      <c r="E36" s="12" t="n">
        <f aca="false">29/$H$3</f>
        <v>0.557692307692308</v>
      </c>
      <c r="F36" s="12" t="n">
        <f aca="false">28/$H$3</f>
        <v>0.538461538461538</v>
      </c>
      <c r="G36" s="12" t="n">
        <f aca="false">ABS(E36-D36)</f>
        <v>0.0587360184626345</v>
      </c>
      <c r="H36" s="12" t="n">
        <f aca="false">ABS(F36-D36)</f>
        <v>0.0395052492318653</v>
      </c>
      <c r="I36" s="12" t="n">
        <f aca="false">MAX(G36,H36)</f>
        <v>0.0587360184626345</v>
      </c>
    </row>
    <row r="37" customFormat="false" ht="15" hidden="false" customHeight="false" outlineLevel="0" collapsed="false">
      <c r="A37" s="6" t="n">
        <v>30</v>
      </c>
      <c r="B37" s="13" t="n">
        <f aca="false">SMALL('Data Residual'!$B$3:$B$54,30)</f>
        <v>1.1905</v>
      </c>
      <c r="C37" s="14" t="n">
        <f aca="false">(B37-$H$4)/$H$5</f>
        <v>0.0292949944140093</v>
      </c>
      <c r="D37" s="14" t="n">
        <f aca="false">NORMSDIST(C37)</f>
        <v>0.511685340465205</v>
      </c>
      <c r="E37" s="14" t="n">
        <f aca="false">30/$H$3</f>
        <v>0.576923076923077</v>
      </c>
      <c r="F37" s="14" t="n">
        <f aca="false">29/$H$3</f>
        <v>0.557692307692308</v>
      </c>
      <c r="G37" s="14" t="n">
        <f aca="false">ABS(E37-D37)</f>
        <v>0.0652377364578722</v>
      </c>
      <c r="H37" s="14" t="n">
        <f aca="false">ABS(F37-D37)</f>
        <v>0.0460069672271031</v>
      </c>
      <c r="I37" s="14" t="n">
        <f aca="false">MAX(G37,H37)</f>
        <v>0.0652377364578722</v>
      </c>
    </row>
    <row r="38" customFormat="false" ht="15" hidden="false" customHeight="false" outlineLevel="0" collapsed="false">
      <c r="A38" s="4" t="n">
        <v>31</v>
      </c>
      <c r="B38" s="11" t="n">
        <f aca="false">SMALL('Data Residual'!$B$3:$B$54,31)</f>
        <v>4.3311</v>
      </c>
      <c r="C38" s="12" t="n">
        <f aca="false">(B38-$H$4)/$H$5</f>
        <v>0.0770553311556328</v>
      </c>
      <c r="D38" s="12" t="n">
        <f aca="false">NORMSDIST(C38)</f>
        <v>0.530710236064672</v>
      </c>
      <c r="E38" s="12" t="n">
        <f aca="false">31/$H$3</f>
        <v>0.596153846153846</v>
      </c>
      <c r="F38" s="12" t="n">
        <f aca="false">30/$H$3</f>
        <v>0.576923076923077</v>
      </c>
      <c r="G38" s="12" t="n">
        <f aca="false">ABS(E38-D38)</f>
        <v>0.0654436100891738</v>
      </c>
      <c r="H38" s="12" t="n">
        <f aca="false">ABS(F38-D38)</f>
        <v>0.0462128408584045</v>
      </c>
      <c r="I38" s="12" t="n">
        <f aca="false">MAX(G38,H38)</f>
        <v>0.0654436100891738</v>
      </c>
    </row>
    <row r="39" customFormat="false" ht="15" hidden="false" customHeight="false" outlineLevel="0" collapsed="false">
      <c r="A39" s="6" t="n">
        <v>32</v>
      </c>
      <c r="B39" s="13" t="n">
        <f aca="false">SMALL('Data Residual'!$B$3:$B$54,32)</f>
        <v>9.5345</v>
      </c>
      <c r="C39" s="14" t="n">
        <f aca="false">(B39-$H$4)/$H$5</f>
        <v>0.156185477051756</v>
      </c>
      <c r="D39" s="14" t="n">
        <f aca="false">NORMSDIST(C39)</f>
        <v>0.562056588058313</v>
      </c>
      <c r="E39" s="14" t="n">
        <f aca="false">32/$H$3</f>
        <v>0.615384615384615</v>
      </c>
      <c r="F39" s="14" t="n">
        <f aca="false">31/$H$3</f>
        <v>0.596153846153846</v>
      </c>
      <c r="G39" s="14" t="n">
        <f aca="false">ABS(E39-D39)</f>
        <v>0.0533280273263024</v>
      </c>
      <c r="H39" s="14" t="n">
        <f aca="false">ABS(F39-D39)</f>
        <v>0.0340972580955331</v>
      </c>
      <c r="I39" s="14" t="n">
        <f aca="false">MAX(G39,H39)</f>
        <v>0.0533280273263024</v>
      </c>
    </row>
    <row r="40" customFormat="false" ht="15" hidden="false" customHeight="false" outlineLevel="0" collapsed="false">
      <c r="A40" s="4" t="n">
        <v>33</v>
      </c>
      <c r="B40" s="11" t="n">
        <f aca="false">SMALL('Data Residual'!$B$3:$B$54,33)</f>
        <v>17.9381</v>
      </c>
      <c r="C40" s="12" t="n">
        <f aca="false">(B40-$H$4)/$H$5</f>
        <v>0.283982320279771</v>
      </c>
      <c r="D40" s="12" t="n">
        <f aca="false">NORMSDIST(C40)</f>
        <v>0.61178803525558</v>
      </c>
      <c r="E40" s="12" t="n">
        <f aca="false">33/$H$3</f>
        <v>0.634615384615385</v>
      </c>
      <c r="F40" s="12" t="n">
        <f aca="false">32/$H$3</f>
        <v>0.615384615384615</v>
      </c>
      <c r="G40" s="12" t="n">
        <f aca="false">ABS(E40-D40)</f>
        <v>0.0228273493598042</v>
      </c>
      <c r="H40" s="12" t="n">
        <f aca="false">ABS(F40-D40)</f>
        <v>0.00359658012903508</v>
      </c>
      <c r="I40" s="12" t="n">
        <f aca="false">MAX(G40,H40)</f>
        <v>0.0228273493598042</v>
      </c>
    </row>
    <row r="41" customFormat="false" ht="15" hidden="false" customHeight="false" outlineLevel="0" collapsed="false">
      <c r="A41" s="6" t="n">
        <v>34</v>
      </c>
      <c r="B41" s="13" t="n">
        <f aca="false">SMALL('Data Residual'!$B$3:$B$54,34)</f>
        <v>23.0951</v>
      </c>
      <c r="C41" s="14" t="n">
        <f aca="false">(B41-$H$4)/$H$5</f>
        <v>0.36240684316602</v>
      </c>
      <c r="D41" s="14" t="n">
        <f aca="false">NORMSDIST(C41)</f>
        <v>0.641475986763091</v>
      </c>
      <c r="E41" s="14" t="n">
        <f aca="false">34/$H$3</f>
        <v>0.653846153846154</v>
      </c>
      <c r="F41" s="14" t="n">
        <f aca="false">33/$H$3</f>
        <v>0.634615384615385</v>
      </c>
      <c r="G41" s="14" t="n">
        <f aca="false">ABS(E41-D41)</f>
        <v>0.0123701670830626</v>
      </c>
      <c r="H41" s="14" t="n">
        <f aca="false">ABS(F41-D41)</f>
        <v>0.00686060214770667</v>
      </c>
      <c r="I41" s="14" t="n">
        <f aca="false">MAX(G41,H41)</f>
        <v>0.0123701670830626</v>
      </c>
    </row>
    <row r="42" customFormat="false" ht="15" hidden="false" customHeight="false" outlineLevel="0" collapsed="false">
      <c r="A42" s="4" t="n">
        <v>35</v>
      </c>
      <c r="B42" s="11" t="n">
        <f aca="false">SMALL('Data Residual'!$B$3:$B$54,35)</f>
        <v>24.801</v>
      </c>
      <c r="C42" s="12" t="n">
        <f aca="false">(B42-$H$4)/$H$5</f>
        <v>0.388349133953619</v>
      </c>
      <c r="D42" s="12" t="n">
        <f aca="false">NORMSDIST(C42)</f>
        <v>0.651121159401171</v>
      </c>
      <c r="E42" s="12" t="n">
        <f aca="false">35/$H$3</f>
        <v>0.673076923076923</v>
      </c>
      <c r="F42" s="12" t="n">
        <f aca="false">34/$H$3</f>
        <v>0.653846153846154</v>
      </c>
      <c r="G42" s="12" t="n">
        <f aca="false">ABS(E42-D42)</f>
        <v>0.0219557636757524</v>
      </c>
      <c r="H42" s="12" t="n">
        <f aca="false">ABS(F42-D42)</f>
        <v>0.00272499444498309</v>
      </c>
      <c r="I42" s="12" t="n">
        <f aca="false">MAX(G42,H42)</f>
        <v>0.0219557636757524</v>
      </c>
    </row>
    <row r="43" customFormat="false" ht="15" hidden="false" customHeight="false" outlineLevel="0" collapsed="false">
      <c r="A43" s="6" t="n">
        <v>36</v>
      </c>
      <c r="B43" s="13" t="n">
        <f aca="false">SMALL('Data Residual'!$B$3:$B$54,36)</f>
        <v>33.7373</v>
      </c>
      <c r="C43" s="14" t="n">
        <f aca="false">(B43-$H$4)/$H$5</f>
        <v>0.524246955141981</v>
      </c>
      <c r="D43" s="14" t="n">
        <f aca="false">NORMSDIST(C43)</f>
        <v>0.699946607018913</v>
      </c>
      <c r="E43" s="14" t="n">
        <f aca="false">36/$H$3</f>
        <v>0.692307692307692</v>
      </c>
      <c r="F43" s="14" t="n">
        <f aca="false">35/$H$3</f>
        <v>0.673076923076923</v>
      </c>
      <c r="G43" s="14" t="n">
        <f aca="false">ABS(E43-D43)</f>
        <v>0.00763891471122025</v>
      </c>
      <c r="H43" s="14" t="n">
        <f aca="false">ABS(F43-D43)</f>
        <v>0.0268696839419894</v>
      </c>
      <c r="I43" s="14" t="n">
        <f aca="false">MAX(G43,H43)</f>
        <v>0.0268696839419894</v>
      </c>
    </row>
    <row r="44" customFormat="false" ht="15" hidden="false" customHeight="false" outlineLevel="0" collapsed="false">
      <c r="A44" s="4" t="n">
        <v>37</v>
      </c>
      <c r="B44" s="11" t="n">
        <f aca="false">SMALL('Data Residual'!$B$3:$B$54,37)</f>
        <v>38.9196</v>
      </c>
      <c r="C44" s="12" t="n">
        <f aca="false">(B44-$H$4)/$H$5</f>
        <v>0.603056225057321</v>
      </c>
      <c r="D44" s="12" t="n">
        <f aca="false">NORMSDIST(C44)</f>
        <v>0.726764356871776</v>
      </c>
      <c r="E44" s="12" t="n">
        <f aca="false">37/$H$3</f>
        <v>0.711538461538462</v>
      </c>
      <c r="F44" s="12" t="n">
        <f aca="false">36/$H$3</f>
        <v>0.692307692307692</v>
      </c>
      <c r="G44" s="12" t="n">
        <f aca="false">ABS(E44-D44)</f>
        <v>0.0152258953333144</v>
      </c>
      <c r="H44" s="12" t="n">
        <f aca="false">ABS(F44-D44)</f>
        <v>0.0344566645640837</v>
      </c>
      <c r="I44" s="12" t="n">
        <f aca="false">MAX(G44,H44)</f>
        <v>0.0344566645640837</v>
      </c>
    </row>
    <row r="45" customFormat="false" ht="15" hidden="false" customHeight="false" outlineLevel="0" collapsed="false">
      <c r="A45" s="6" t="n">
        <v>38</v>
      </c>
      <c r="B45" s="13" t="n">
        <f aca="false">SMALL('Data Residual'!$B$3:$B$54,38)</f>
        <v>39.7101</v>
      </c>
      <c r="C45" s="14" t="n">
        <f aca="false">(B45-$H$4)/$H$5</f>
        <v>0.615077668792357</v>
      </c>
      <c r="D45" s="14" t="n">
        <f aca="false">NORMSDIST(C45)</f>
        <v>0.7307482855564</v>
      </c>
      <c r="E45" s="14" t="n">
        <f aca="false">38/$H$3</f>
        <v>0.730769230769231</v>
      </c>
      <c r="F45" s="14" t="n">
        <f aca="false">37/$H$3</f>
        <v>0.711538461538462</v>
      </c>
      <c r="G45" s="14" t="n">
        <f aca="false">ABS(E45-D45)</f>
        <v>2.0945212830692E-005</v>
      </c>
      <c r="H45" s="14" t="n">
        <f aca="false">ABS(F45-D45)</f>
        <v>0.0192098240179385</v>
      </c>
      <c r="I45" s="14" t="n">
        <f aca="false">MAX(G45,H45)</f>
        <v>0.0192098240179385</v>
      </c>
    </row>
    <row r="46" customFormat="false" ht="15" hidden="false" customHeight="false" outlineLevel="0" collapsed="false">
      <c r="A46" s="4" t="n">
        <v>39</v>
      </c>
      <c r="B46" s="11" t="n">
        <f aca="false">SMALL('Data Residual'!$B$3:$B$54,39)</f>
        <v>42.0103</v>
      </c>
      <c r="C46" s="12" t="n">
        <f aca="false">(B46-$H$4)/$H$5</f>
        <v>0.65005771291548</v>
      </c>
      <c r="D46" s="12" t="n">
        <f aca="false">NORMSDIST(C46)</f>
        <v>0.742172528521007</v>
      </c>
      <c r="E46" s="12" t="n">
        <f aca="false">39/$H$3</f>
        <v>0.75</v>
      </c>
      <c r="F46" s="12" t="n">
        <f aca="false">38/$H$3</f>
        <v>0.730769230769231</v>
      </c>
      <c r="G46" s="12" t="n">
        <f aca="false">ABS(E46-D46)</f>
        <v>0.00782747147899354</v>
      </c>
      <c r="H46" s="12" t="n">
        <f aca="false">ABS(F46-D46)</f>
        <v>0.0114032977517757</v>
      </c>
      <c r="I46" s="12" t="n">
        <f aca="false">MAX(G46,H46)</f>
        <v>0.0114032977517757</v>
      </c>
    </row>
    <row r="47" customFormat="false" ht="15" hidden="false" customHeight="false" outlineLevel="0" collapsed="false">
      <c r="A47" s="6" t="n">
        <v>40</v>
      </c>
      <c r="B47" s="13" t="n">
        <f aca="false">SMALL('Data Residual'!$B$3:$B$54,40)</f>
        <v>43.5185</v>
      </c>
      <c r="C47" s="14" t="n">
        <f aca="false">(B47-$H$4)/$H$5</f>
        <v>0.672993502214887</v>
      </c>
      <c r="D47" s="14" t="n">
        <f aca="false">NORMSDIST(C47)</f>
        <v>0.74952428761708</v>
      </c>
      <c r="E47" s="14" t="n">
        <f aca="false">40/$H$3</f>
        <v>0.769230769230769</v>
      </c>
      <c r="F47" s="14" t="n">
        <f aca="false">39/$H$3</f>
        <v>0.75</v>
      </c>
      <c r="G47" s="14" t="n">
        <f aca="false">ABS(E47-D47)</f>
        <v>0.0197064816136896</v>
      </c>
      <c r="H47" s="14" t="n">
        <f aca="false">ABS(F47-D47)</f>
        <v>0.000475712382920324</v>
      </c>
      <c r="I47" s="14" t="n">
        <f aca="false">MAX(G47,H47)</f>
        <v>0.0197064816136896</v>
      </c>
    </row>
    <row r="48" customFormat="false" ht="15" hidden="false" customHeight="false" outlineLevel="0" collapsed="false">
      <c r="A48" s="4" t="n">
        <v>41</v>
      </c>
      <c r="B48" s="11" t="n">
        <f aca="false">SMALL('Data Residual'!$B$3:$B$54,41)</f>
        <v>44.8464</v>
      </c>
      <c r="C48" s="12" t="n">
        <f aca="false">(B48-$H$4)/$H$5</f>
        <v>0.693187398654803</v>
      </c>
      <c r="D48" s="12" t="n">
        <f aca="false">NORMSDIST(C48)</f>
        <v>0.755904022386911</v>
      </c>
      <c r="E48" s="12" t="n">
        <f aca="false">41/$H$3</f>
        <v>0.788461538461538</v>
      </c>
      <c r="F48" s="12" t="n">
        <f aca="false">40/$H$3</f>
        <v>0.769230769230769</v>
      </c>
      <c r="G48" s="12" t="n">
        <f aca="false">ABS(E48-D48)</f>
        <v>0.0325575160746279</v>
      </c>
      <c r="H48" s="12" t="n">
        <f aca="false">ABS(F48-D48)</f>
        <v>0.0133267468438587</v>
      </c>
      <c r="I48" s="12" t="n">
        <f aca="false">MAX(G48,H48)</f>
        <v>0.0325575160746279</v>
      </c>
    </row>
    <row r="49" customFormat="false" ht="15" hidden="false" customHeight="false" outlineLevel="0" collapsed="false">
      <c r="A49" s="6" t="n">
        <v>42</v>
      </c>
      <c r="B49" s="13" t="n">
        <f aca="false">SMALL('Data Residual'!$B$3:$B$54,42)</f>
        <v>48.5559</v>
      </c>
      <c r="C49" s="14" t="n">
        <f aca="false">(B49-$H$4)/$H$5</f>
        <v>0.749599220963614</v>
      </c>
      <c r="D49" s="14" t="n">
        <f aca="false">NORMSDIST(C49)</f>
        <v>0.773251939915974</v>
      </c>
      <c r="E49" s="14" t="n">
        <f aca="false">42/$H$3</f>
        <v>0.807692307692308</v>
      </c>
      <c r="F49" s="14" t="n">
        <f aca="false">41/$H$3</f>
        <v>0.788461538461538</v>
      </c>
      <c r="G49" s="14" t="n">
        <f aca="false">ABS(E49-D49)</f>
        <v>0.034440367776334</v>
      </c>
      <c r="H49" s="14" t="n">
        <f aca="false">ABS(F49-D49)</f>
        <v>0.0152095985455647</v>
      </c>
      <c r="I49" s="14" t="n">
        <f aca="false">MAX(G49,H49)</f>
        <v>0.034440367776334</v>
      </c>
    </row>
    <row r="50" customFormat="false" ht="15" hidden="false" customHeight="false" outlineLevel="0" collapsed="false">
      <c r="A50" s="4" t="n">
        <v>43</v>
      </c>
      <c r="B50" s="11" t="n">
        <f aca="false">SMALL('Data Residual'!$B$3:$B$54,43)</f>
        <v>49.4601</v>
      </c>
      <c r="C50" s="12" t="n">
        <f aca="false">(B50-$H$4)/$H$5</f>
        <v>0.763349745220691</v>
      </c>
      <c r="D50" s="12" t="n">
        <f aca="false">NORMSDIST(C50)</f>
        <v>0.777372578824826</v>
      </c>
      <c r="E50" s="12" t="n">
        <f aca="false">43/$H$3</f>
        <v>0.826923076923077</v>
      </c>
      <c r="F50" s="12" t="n">
        <f aca="false">42/$H$3</f>
        <v>0.807692307692308</v>
      </c>
      <c r="G50" s="12" t="n">
        <f aca="false">ABS(E50-D50)</f>
        <v>0.0495504980982512</v>
      </c>
      <c r="H50" s="12" t="n">
        <f aca="false">ABS(F50-D50)</f>
        <v>0.030319728867482</v>
      </c>
      <c r="I50" s="12" t="n">
        <f aca="false">MAX(G50,H50)</f>
        <v>0.0495504980982512</v>
      </c>
    </row>
    <row r="51" customFormat="false" ht="15" hidden="false" customHeight="false" outlineLevel="0" collapsed="false">
      <c r="A51" s="6" t="n">
        <v>44</v>
      </c>
      <c r="B51" s="13" t="n">
        <f aca="false">SMALL('Data Residual'!$B$3:$B$54,44)</f>
        <v>63.0438</v>
      </c>
      <c r="C51" s="14" t="n">
        <f aca="false">(B51-$H$4)/$H$5</f>
        <v>0.969922402100647</v>
      </c>
      <c r="D51" s="14" t="n">
        <f aca="false">NORMSDIST(C51)</f>
        <v>0.833957413666335</v>
      </c>
      <c r="E51" s="14" t="n">
        <f aca="false">44/$H$3</f>
        <v>0.846153846153846</v>
      </c>
      <c r="F51" s="14" t="n">
        <f aca="false">43/$H$3</f>
        <v>0.826923076923077</v>
      </c>
      <c r="G51" s="14" t="n">
        <f aca="false">ABS(E51-D51)</f>
        <v>0.0121964324875111</v>
      </c>
      <c r="H51" s="14" t="n">
        <f aca="false">ABS(F51-D51)</f>
        <v>0.00703433674325815</v>
      </c>
      <c r="I51" s="14" t="n">
        <f aca="false">MAX(G51,H51)</f>
        <v>0.0121964324875111</v>
      </c>
    </row>
    <row r="52" customFormat="false" ht="15" hidden="false" customHeight="false" outlineLevel="0" collapsed="false">
      <c r="A52" s="4" t="n">
        <v>45</v>
      </c>
      <c r="B52" s="11" t="n">
        <f aca="false">SMALL('Data Residual'!$B$3:$B$54,45)</f>
        <v>75.0756</v>
      </c>
      <c r="C52" s="12" t="n">
        <f aca="false">(B52-$H$4)/$H$5</f>
        <v>1.15289470663095</v>
      </c>
      <c r="D52" s="12" t="n">
        <f aca="false">NORMSDIST(C52)</f>
        <v>0.875523197490959</v>
      </c>
      <c r="E52" s="12" t="n">
        <f aca="false">45/$H$3</f>
        <v>0.865384615384615</v>
      </c>
      <c r="F52" s="12" t="n">
        <f aca="false">44/$H$3</f>
        <v>0.846153846153846</v>
      </c>
      <c r="G52" s="12" t="n">
        <f aca="false">ABS(E52-D52)</f>
        <v>0.0101385821063431</v>
      </c>
      <c r="H52" s="12" t="n">
        <f aca="false">ABS(F52-D52)</f>
        <v>0.0293693513371124</v>
      </c>
      <c r="I52" s="12" t="n">
        <f aca="false">MAX(G52,H52)</f>
        <v>0.0293693513371124</v>
      </c>
    </row>
    <row r="53" customFormat="false" ht="15" hidden="false" customHeight="false" outlineLevel="0" collapsed="false">
      <c r="A53" s="6" t="n">
        <v>46</v>
      </c>
      <c r="B53" s="13" t="n">
        <f aca="false">SMALL('Data Residual'!$B$3:$B$54,46)</f>
        <v>78.6804</v>
      </c>
      <c r="C53" s="14" t="n">
        <f aca="false">(B53-$H$4)/$H$5</f>
        <v>1.20771431494981</v>
      </c>
      <c r="D53" s="14" t="n">
        <f aca="false">NORMSDIST(C53)</f>
        <v>0.886421415072663</v>
      </c>
      <c r="E53" s="14" t="n">
        <f aca="false">46/$H$3</f>
        <v>0.884615384615385</v>
      </c>
      <c r="F53" s="14" t="n">
        <f aca="false">45/$H$3</f>
        <v>0.865384615384615</v>
      </c>
      <c r="G53" s="14" t="n">
        <f aca="false">ABS(E53-D53)</f>
        <v>0.00180603045727856</v>
      </c>
      <c r="H53" s="14" t="n">
        <f aca="false">ABS(F53-D53)</f>
        <v>0.0210367996880477</v>
      </c>
      <c r="I53" s="14" t="n">
        <f aca="false">MAX(G53,H53)</f>
        <v>0.0210367996880477</v>
      </c>
    </row>
    <row r="54" customFormat="false" ht="15" hidden="false" customHeight="false" outlineLevel="0" collapsed="false">
      <c r="A54" s="4" t="n">
        <v>47</v>
      </c>
      <c r="B54" s="11" t="n">
        <f aca="false">SMALL('Data Residual'!$B$3:$B$54,47)</f>
        <v>83.253</v>
      </c>
      <c r="C54" s="12" t="n">
        <f aca="false">(B54-$H$4)/$H$5</f>
        <v>1.27725163768583</v>
      </c>
      <c r="D54" s="12" t="n">
        <f aca="false">NORMSDIST(C54)</f>
        <v>0.89924328911923</v>
      </c>
      <c r="E54" s="12" t="n">
        <f aca="false">47/$H$3</f>
        <v>0.903846153846154</v>
      </c>
      <c r="F54" s="12" t="n">
        <f aca="false">46/$H$3</f>
        <v>0.884615384615385</v>
      </c>
      <c r="G54" s="12" t="n">
        <f aca="false">ABS(E54-D54)</f>
        <v>0.00460286472692373</v>
      </c>
      <c r="H54" s="12" t="n">
        <f aca="false">ABS(F54-D54)</f>
        <v>0.0146279045038455</v>
      </c>
      <c r="I54" s="12" t="n">
        <f aca="false">MAX(G54,H54)</f>
        <v>0.0146279045038455</v>
      </c>
    </row>
    <row r="55" customFormat="false" ht="15" hidden="false" customHeight="false" outlineLevel="0" collapsed="false">
      <c r="A55" s="6" t="n">
        <v>48</v>
      </c>
      <c r="B55" s="13" t="n">
        <f aca="false">SMALL('Data Residual'!$B$3:$B$54,48)</f>
        <v>106.6257</v>
      </c>
      <c r="C55" s="14" t="n">
        <f aca="false">(B55-$H$4)/$H$5</f>
        <v>1.63268945929983</v>
      </c>
      <c r="D55" s="14" t="n">
        <f aca="false">NORMSDIST(C55)</f>
        <v>0.948732837275804</v>
      </c>
      <c r="E55" s="14" t="n">
        <f aca="false">48/$H$3</f>
        <v>0.923076923076923</v>
      </c>
      <c r="F55" s="14" t="n">
        <f aca="false">47/$H$3</f>
        <v>0.903846153846154</v>
      </c>
      <c r="G55" s="14" t="n">
        <f aca="false">ABS(E55-D55)</f>
        <v>0.0256559141988804</v>
      </c>
      <c r="H55" s="14" t="n">
        <f aca="false">ABS(F55-D55)</f>
        <v>0.0448866834296496</v>
      </c>
      <c r="I55" s="14" t="n">
        <f aca="false">MAX(G55,H55)</f>
        <v>0.0448866834296496</v>
      </c>
    </row>
    <row r="56" customFormat="false" ht="15" hidden="false" customHeight="false" outlineLevel="0" collapsed="false">
      <c r="A56" s="4" t="n">
        <v>49</v>
      </c>
      <c r="B56" s="11" t="n">
        <f aca="false">SMALL('Data Residual'!$B$3:$B$54,49)</f>
        <v>110.0832</v>
      </c>
      <c r="C56" s="12" t="n">
        <f aca="false">(B56-$H$4)/$H$5</f>
        <v>1.68526901871019</v>
      </c>
      <c r="D56" s="12" t="n">
        <f aca="false">NORMSDIST(C56)</f>
        <v>0.954031659880859</v>
      </c>
      <c r="E56" s="12" t="n">
        <f aca="false">49/$H$3</f>
        <v>0.942307692307692</v>
      </c>
      <c r="F56" s="12" t="n">
        <f aca="false">48/$H$3</f>
        <v>0.923076923076923</v>
      </c>
      <c r="G56" s="12" t="n">
        <f aca="false">ABS(E56-D56)</f>
        <v>0.0117239675731665</v>
      </c>
      <c r="H56" s="12" t="n">
        <f aca="false">ABS(F56-D56)</f>
        <v>0.0309547368039357</v>
      </c>
      <c r="I56" s="12" t="n">
        <f aca="false">MAX(G56,H56)</f>
        <v>0.0309547368039357</v>
      </c>
    </row>
    <row r="57" customFormat="false" ht="15" hidden="false" customHeight="false" outlineLevel="0" collapsed="false">
      <c r="A57" s="6" t="n">
        <v>50</v>
      </c>
      <c r="B57" s="13" t="n">
        <f aca="false">SMALL('Data Residual'!$B$3:$B$54,50)</f>
        <v>116.1774</v>
      </c>
      <c r="C57" s="14" t="n">
        <f aca="false">(B57-$H$4)/$H$5</f>
        <v>1.7779459098045</v>
      </c>
      <c r="D57" s="14" t="n">
        <f aca="false">NORMSDIST(C57)</f>
        <v>0.962293630485979</v>
      </c>
      <c r="E57" s="14" t="n">
        <f aca="false">50/$H$3</f>
        <v>0.961538461538462</v>
      </c>
      <c r="F57" s="14" t="n">
        <f aca="false">49/$H$3</f>
        <v>0.942307692307692</v>
      </c>
      <c r="G57" s="14" t="n">
        <f aca="false">ABS(E57-D57)</f>
        <v>0.000755168947517815</v>
      </c>
      <c r="H57" s="14" t="n">
        <f aca="false">ABS(F57-D57)</f>
        <v>0.0199859381782871</v>
      </c>
      <c r="I57" s="14" t="n">
        <f aca="false">MAX(G57,H57)</f>
        <v>0.0199859381782871</v>
      </c>
    </row>
    <row r="58" customFormat="false" ht="15" hidden="false" customHeight="false" outlineLevel="0" collapsed="false">
      <c r="A58" s="4" t="n">
        <v>51</v>
      </c>
      <c r="B58" s="11" t="n">
        <f aca="false">SMALL('Data Residual'!$B$3:$B$54,51)</f>
        <v>119.5555</v>
      </c>
      <c r="C58" s="12" t="n">
        <f aca="false">(B58-$H$4)/$H$5</f>
        <v>1.82931800225399</v>
      </c>
      <c r="D58" s="12" t="n">
        <f aca="false">NORMSDIST(C58)</f>
        <v>0.966324008329205</v>
      </c>
      <c r="E58" s="12" t="n">
        <f aca="false">51/$H$3</f>
        <v>0.980769230769231</v>
      </c>
      <c r="F58" s="12" t="n">
        <f aca="false">50/$H$3</f>
        <v>0.961538461538462</v>
      </c>
      <c r="G58" s="12" t="n">
        <f aca="false">ABS(E58-D58)</f>
        <v>0.0144452224400253</v>
      </c>
      <c r="H58" s="12" t="n">
        <f aca="false">ABS(F58-D58)</f>
        <v>0.00478554679074383</v>
      </c>
      <c r="I58" s="12" t="n">
        <f aca="false">MAX(G58,H58)</f>
        <v>0.0144452224400253</v>
      </c>
    </row>
    <row r="59" customFormat="false" ht="15" hidden="false" customHeight="false" outlineLevel="0" collapsed="false">
      <c r="A59" s="6" t="n">
        <v>52</v>
      </c>
      <c r="B59" s="13" t="n">
        <f aca="false">SMALL('Data Residual'!$B$3:$B$54,52)</f>
        <v>148.1852</v>
      </c>
      <c r="C59" s="14" t="n">
        <f aca="false">(B59-$H$4)/$H$5</f>
        <v>2.26470108599967</v>
      </c>
      <c r="D59" s="14" t="n">
        <f aca="false">NORMSDIST(C59)</f>
        <v>0.988234485599923</v>
      </c>
      <c r="E59" s="14" t="n">
        <f aca="false">52/$H$3</f>
        <v>1</v>
      </c>
      <c r="F59" s="14" t="n">
        <f aca="false">51/$H$3</f>
        <v>0.980769230769231</v>
      </c>
      <c r="G59" s="14" t="n">
        <f aca="false">ABS(E59-D59)</f>
        <v>0.0117655144000768</v>
      </c>
      <c r="H59" s="14" t="n">
        <f aca="false">ABS(F59-D59)</f>
        <v>0.00746525483069249</v>
      </c>
      <c r="I59" s="14" t="n">
        <f aca="false">MAX(G59,H59)</f>
        <v>0.0117655144000768</v>
      </c>
    </row>
    <row r="61" customFormat="false" ht="15" hidden="false" customHeight="false" outlineLevel="0" collapsed="false">
      <c r="A61" s="1" t="s">
        <v>15</v>
      </c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9" t="s">
        <v>16</v>
      </c>
      <c r="B62" s="9"/>
      <c r="C62" s="9"/>
      <c r="D62" s="9"/>
      <c r="E62" s="9"/>
      <c r="F62" s="9"/>
      <c r="G62" s="9"/>
      <c r="H62" s="9"/>
      <c r="I62" s="15" t="n">
        <f aca="false">MAX(I8:I59)</f>
        <v>0.0806140335708382</v>
      </c>
    </row>
    <row r="63" customFormat="false" ht="15" hidden="false" customHeight="false" outlineLevel="0" collapsed="false">
      <c r="A63" s="9" t="s">
        <v>17</v>
      </c>
      <c r="B63" s="9"/>
      <c r="C63" s="9"/>
      <c r="D63" s="9"/>
      <c r="E63" s="9"/>
      <c r="F63" s="9"/>
      <c r="G63" s="9"/>
      <c r="H63" s="9"/>
      <c r="I63" s="16" t="n">
        <f aca="false">1.36/SQRT($H$3)</f>
        <v>0.188598066716578</v>
      </c>
    </row>
    <row r="64" customFormat="false" ht="15" hidden="false" customHeight="false" outlineLevel="0" collapsed="false">
      <c r="A64" s="9" t="s">
        <v>18</v>
      </c>
      <c r="B64" s="9"/>
      <c r="C64" s="9"/>
      <c r="D64" s="9"/>
      <c r="E64" s="9"/>
      <c r="F64" s="9"/>
      <c r="G64" s="9"/>
      <c r="H64" s="9"/>
      <c r="I64" s="16" t="n">
        <f aca="false">1.628/SQRT($H$3)</f>
        <v>0.225762979863668</v>
      </c>
    </row>
    <row r="65" customFormat="false" ht="15" hidden="false" customHeight="false" outlineLevel="0" collapsed="false">
      <c r="A65" s="9" t="s">
        <v>19</v>
      </c>
      <c r="B65" s="9"/>
      <c r="C65" s="9"/>
      <c r="D65" s="9"/>
      <c r="E65" s="9"/>
      <c r="F65" s="9"/>
      <c r="G65" s="9"/>
      <c r="H65" s="9"/>
      <c r="I65" s="17" t="str">
        <f aca="false">IF(I62&lt;=I63,"NORMAL","TIDAK NORMAL")</f>
        <v>NORMAL</v>
      </c>
    </row>
    <row r="66" customFormat="false" ht="15" hidden="false" customHeight="false" outlineLevel="0" collapsed="false">
      <c r="A66" s="9" t="s">
        <v>20</v>
      </c>
      <c r="B66" s="9"/>
      <c r="C66" s="9"/>
      <c r="D66" s="9"/>
      <c r="E66" s="9"/>
      <c r="F66" s="9"/>
      <c r="G66" s="9"/>
      <c r="H66" s="9"/>
      <c r="I66" s="17" t="str">
        <f aca="false">IF(I62&lt;=I64,"NORMAL","TIDAK NORMAL")</f>
        <v>NORMAL</v>
      </c>
    </row>
  </sheetData>
  <mergeCells count="13">
    <mergeCell ref="A1:I1"/>
    <mergeCell ref="A3:G3"/>
    <mergeCell ref="H3:I3"/>
    <mergeCell ref="A4:G4"/>
    <mergeCell ref="H4:I4"/>
    <mergeCell ref="A5:G5"/>
    <mergeCell ref="H5:I5"/>
    <mergeCell ref="A61:I61"/>
    <mergeCell ref="A62:H62"/>
    <mergeCell ref="A63:H63"/>
    <mergeCell ref="A64:H64"/>
    <mergeCell ref="A65:H65"/>
    <mergeCell ref="A66:H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1" t="s">
        <v>21</v>
      </c>
      <c r="B1" s="1"/>
    </row>
    <row r="2" customFormat="false" ht="15" hidden="false" customHeight="false" outlineLevel="0" collapsed="false">
      <c r="A2" s="3" t="s">
        <v>22</v>
      </c>
      <c r="B2" s="3" t="s">
        <v>23</v>
      </c>
    </row>
    <row r="3" customFormat="false" ht="15" hidden="false" customHeight="false" outlineLevel="0" collapsed="false">
      <c r="A3" s="18" t="s">
        <v>7</v>
      </c>
      <c r="B3" s="19" t="s">
        <v>24</v>
      </c>
    </row>
    <row r="4" customFormat="false" ht="15" hidden="false" customHeight="false" outlineLevel="0" collapsed="false">
      <c r="A4" s="20" t="s">
        <v>25</v>
      </c>
      <c r="B4" s="21" t="s">
        <v>26</v>
      </c>
    </row>
    <row r="5" customFormat="false" ht="15" hidden="false" customHeight="false" outlineLevel="0" collapsed="false">
      <c r="A5" s="18" t="s">
        <v>27</v>
      </c>
      <c r="B5" s="19" t="s">
        <v>28</v>
      </c>
    </row>
    <row r="6" customFormat="false" ht="15" hidden="false" customHeight="false" outlineLevel="0" collapsed="false">
      <c r="A6" s="20" t="s">
        <v>29</v>
      </c>
      <c r="B6" s="21" t="s">
        <v>30</v>
      </c>
    </row>
    <row r="7" customFormat="false" ht="15" hidden="false" customHeight="false" outlineLevel="0" collapsed="false">
      <c r="A7" s="18" t="s">
        <v>31</v>
      </c>
      <c r="B7" s="19" t="s">
        <v>32</v>
      </c>
    </row>
    <row r="8" customFormat="false" ht="15" hidden="false" customHeight="false" outlineLevel="0" collapsed="false">
      <c r="A8" s="20" t="s">
        <v>33</v>
      </c>
      <c r="B8" s="21" t="s">
        <v>34</v>
      </c>
    </row>
    <row r="9" customFormat="false" ht="15" hidden="false" customHeight="false" outlineLevel="0" collapsed="false">
      <c r="A9" s="18" t="s">
        <v>35</v>
      </c>
      <c r="B9" s="19" t="s">
        <v>36</v>
      </c>
    </row>
    <row r="10" customFormat="false" ht="15" hidden="false" customHeight="false" outlineLevel="0" collapsed="false">
      <c r="A10" s="20" t="s">
        <v>37</v>
      </c>
      <c r="B10" s="21" t="s">
        <v>38</v>
      </c>
    </row>
    <row r="11" customFormat="false" ht="15" hidden="false" customHeight="false" outlineLevel="0" collapsed="false">
      <c r="A11" s="18" t="s">
        <v>39</v>
      </c>
      <c r="B11" s="19" t="s">
        <v>40</v>
      </c>
    </row>
    <row r="12" customFormat="false" ht="15" hidden="false" customHeight="false" outlineLevel="0" collapsed="false">
      <c r="A12" s="20" t="s">
        <v>41</v>
      </c>
      <c r="B12" s="21" t="s">
        <v>42</v>
      </c>
    </row>
    <row r="13" customFormat="false" ht="15" hidden="false" customHeight="false" outlineLevel="0" collapsed="false">
      <c r="A13" s="18" t="s">
        <v>43</v>
      </c>
      <c r="B13" s="19" t="s">
        <v>44</v>
      </c>
    </row>
    <row r="14" customFormat="false" ht="15" hidden="false" customHeight="false" outlineLevel="0" collapsed="false">
      <c r="A14" s="20" t="s">
        <v>45</v>
      </c>
      <c r="B14" s="21" t="s">
        <v>46</v>
      </c>
    </row>
    <row r="15" customFormat="false" ht="15" hidden="false" customHeight="false" outlineLevel="0" collapsed="false">
      <c r="A15" s="18" t="s">
        <v>47</v>
      </c>
      <c r="B15" s="19" t="s">
        <v>48</v>
      </c>
    </row>
    <row r="16" customFormat="false" ht="15" hidden="false" customHeight="false" outlineLevel="0" collapsed="false">
      <c r="A16" s="20" t="s">
        <v>49</v>
      </c>
      <c r="B16" s="21" t="s">
        <v>50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Putri Fradila</dc:creator>
  <dc:description/>
  <cp:lastModifiedBy/>
  <cp:revision>0</cp:revision>
  <dcterms:created xsi:type="dcterms:W3CDTF">2026-06-17T10:02:41Z</dcterms:created>
  <dcterms:modified xsi:type="dcterms:W3CDTF">2026-06-17T10:02:41Z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