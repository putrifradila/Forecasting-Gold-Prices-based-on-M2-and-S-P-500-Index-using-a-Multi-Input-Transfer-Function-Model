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f7c1c5f87ad976/Dokumen/DATA TUGAS AKHIR/"/>
    </mc:Choice>
  </mc:AlternateContent>
  <xr:revisionPtr revIDLastSave="2" documentId="11_23A5F76A2280DDE241FE276DB27E1B7D3E9C2258" xr6:coauthVersionLast="47" xr6:coauthVersionMax="47" xr10:uidLastSave="{A690ACE2-6452-422E-8AC5-BC61EFA29317}"/>
  <bookViews>
    <workbookView xWindow="-98" yWindow="-98" windowWidth="21795" windowHeight="12975" tabRatio="500" xr2:uid="{00000000-000D-0000-FFFF-FFFF00000000}"/>
  </bookViews>
  <sheets>
    <sheet name="Perhitungan D1SP" sheetId="1" r:id="rId1"/>
    <sheet name="Ringkasa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4" i="1" l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E82" i="1" l="1"/>
  <c r="F82" i="1"/>
  <c r="E81" i="1"/>
  <c r="F81" i="1"/>
  <c r="F80" i="1"/>
  <c r="E80" i="1"/>
  <c r="E79" i="1"/>
  <c r="F79" i="1"/>
  <c r="F78" i="1"/>
  <c r="E78" i="1"/>
  <c r="E77" i="1"/>
  <c r="F77" i="1"/>
  <c r="E76" i="1"/>
  <c r="F76" i="1"/>
  <c r="F75" i="1"/>
  <c r="E75" i="1"/>
  <c r="E74" i="1"/>
  <c r="F74" i="1"/>
  <c r="F73" i="1"/>
  <c r="E73" i="1"/>
  <c r="E72" i="1"/>
  <c r="F72" i="1"/>
  <c r="F71" i="1"/>
  <c r="E71" i="1"/>
  <c r="F70" i="1"/>
  <c r="E70" i="1"/>
  <c r="E69" i="1"/>
  <c r="F69" i="1"/>
  <c r="F68" i="1"/>
  <c r="E68" i="1"/>
  <c r="E67" i="1"/>
  <c r="F67" i="1"/>
  <c r="F66" i="1"/>
  <c r="E66" i="1"/>
  <c r="F65" i="1"/>
  <c r="E65" i="1"/>
  <c r="F64" i="1"/>
  <c r="E64" i="1"/>
  <c r="E63" i="1"/>
  <c r="F63" i="1"/>
  <c r="F62" i="1"/>
  <c r="E62" i="1"/>
  <c r="E61" i="1"/>
  <c r="F61" i="1"/>
  <c r="F60" i="1"/>
  <c r="E60" i="1"/>
  <c r="E59" i="1"/>
  <c r="F59" i="1"/>
  <c r="E58" i="1"/>
  <c r="F58" i="1"/>
  <c r="F57" i="1"/>
  <c r="E57" i="1"/>
  <c r="E56" i="1"/>
  <c r="F56" i="1"/>
  <c r="E55" i="1"/>
  <c r="F55" i="1"/>
  <c r="F54" i="1"/>
  <c r="E54" i="1"/>
  <c r="F53" i="1"/>
  <c r="E53" i="1"/>
  <c r="E52" i="1"/>
  <c r="F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E44" i="1"/>
  <c r="F44" i="1"/>
  <c r="F43" i="1"/>
  <c r="E43" i="1"/>
  <c r="F42" i="1"/>
  <c r="E42" i="1"/>
  <c r="F41" i="1"/>
  <c r="E41" i="1"/>
  <c r="E40" i="1"/>
  <c r="F40" i="1"/>
  <c r="E39" i="1"/>
  <c r="F39" i="1"/>
  <c r="F38" i="1"/>
  <c r="E38" i="1"/>
  <c r="E37" i="1"/>
  <c r="F37" i="1"/>
  <c r="F36" i="1"/>
  <c r="E36" i="1"/>
  <c r="F35" i="1"/>
  <c r="E35" i="1"/>
  <c r="E34" i="1"/>
  <c r="F34" i="1"/>
  <c r="F33" i="1"/>
  <c r="E33" i="1"/>
  <c r="F32" i="1"/>
  <c r="E32" i="1"/>
  <c r="E31" i="1"/>
  <c r="F31" i="1"/>
  <c r="F30" i="1"/>
  <c r="E30" i="1"/>
  <c r="E29" i="1"/>
  <c r="F29" i="1"/>
  <c r="E28" i="1"/>
  <c r="F28" i="1"/>
  <c r="E27" i="1"/>
  <c r="F27" i="1"/>
  <c r="F26" i="1"/>
  <c r="E26" i="1"/>
  <c r="E25" i="1"/>
  <c r="F25" i="1"/>
  <c r="F24" i="1"/>
  <c r="E24" i="1"/>
  <c r="E23" i="1"/>
  <c r="F23" i="1"/>
  <c r="E22" i="1"/>
  <c r="F22" i="1"/>
  <c r="E21" i="1"/>
  <c r="F21" i="1"/>
  <c r="F20" i="1"/>
  <c r="E20" i="1"/>
  <c r="F19" i="1"/>
  <c r="E19" i="1"/>
  <c r="E18" i="1"/>
  <c r="F18" i="1"/>
  <c r="E17" i="1"/>
  <c r="F17" i="1"/>
  <c r="E16" i="1"/>
  <c r="F16" i="1"/>
  <c r="F15" i="1"/>
  <c r="E15" i="1"/>
  <c r="F14" i="1"/>
  <c r="E14" i="1"/>
  <c r="E13" i="1"/>
  <c r="F13" i="1"/>
  <c r="F12" i="1"/>
  <c r="E12" i="1"/>
  <c r="E11" i="1"/>
  <c r="F11" i="1"/>
  <c r="B6" i="2" l="1"/>
  <c r="F84" i="1"/>
  <c r="B7" i="2" l="1"/>
  <c r="C86" i="1"/>
  <c r="B8" i="2" s="1"/>
</calcChain>
</file>

<file path=xl/sharedStrings.xml><?xml version="1.0" encoding="utf-8"?>
<sst xmlns="http://schemas.openxmlformats.org/spreadsheetml/2006/main" count="133" uniqueCount="107">
  <si>
    <t>PERHITUNGAN KOEFISIEN D1SP (β) — METODE LAG-7</t>
  </si>
  <si>
    <t>β  =  Σ (X*₂,t × a₂,t₋₇)  /  Σ (a₂,t₋₇)²     untuk t = 8 s/d n</t>
  </si>
  <si>
    <t>t</t>
  </si>
  <si>
    <t>X*₂,t
(Data Asli)</t>
  </si>
  <si>
    <t>a₂,t
(Residual)</t>
  </si>
  <si>
    <t>a₂,t₋₇
(Lag-7)</t>
  </si>
  <si>
    <t>X*₂,t × a₂,t₋₇
(Numerator)</t>
  </si>
  <si>
    <t>(a₂,t₋₇)²
(Denominator)</t>
  </si>
  <si>
    <t>Ket.</t>
  </si>
  <si>
    <t>-</t>
  </si>
  <si>
    <t>t ≤ 7, tidak dipakai</t>
  </si>
  <si>
    <t>t=8, lag=t-7=1</t>
  </si>
  <si>
    <t>t=9, lag=t-7=2</t>
  </si>
  <si>
    <t>t=10, lag=t-7=3</t>
  </si>
  <si>
    <t>t=11, lag=t-7=4</t>
  </si>
  <si>
    <t>t=12, lag=t-7=5</t>
  </si>
  <si>
    <t>t=13, lag=t-7=6</t>
  </si>
  <si>
    <t>t=14, lag=t-7=7</t>
  </si>
  <si>
    <t>t=15, lag=t-7=8</t>
  </si>
  <si>
    <t>t=16, lag=t-7=9</t>
  </si>
  <si>
    <t>t=17, lag=t-7=10</t>
  </si>
  <si>
    <t>t=18, lag=t-7=11</t>
  </si>
  <si>
    <t>t=19, lag=t-7=12</t>
  </si>
  <si>
    <t>t=20, lag=t-7=13</t>
  </si>
  <si>
    <t>t=21, lag=t-7=14</t>
  </si>
  <si>
    <t>t=22, lag=t-7=15</t>
  </si>
  <si>
    <t>t=23, lag=t-7=16</t>
  </si>
  <si>
    <t>t=24, lag=t-7=17</t>
  </si>
  <si>
    <t>t=25, lag=t-7=18</t>
  </si>
  <si>
    <t>t=26, lag=t-7=19</t>
  </si>
  <si>
    <t>t=27, lag=t-7=20</t>
  </si>
  <si>
    <t>t=28, lag=t-7=21</t>
  </si>
  <si>
    <t>t=29, lag=t-7=22</t>
  </si>
  <si>
    <t>t=30, lag=t-7=23</t>
  </si>
  <si>
    <t>t=31, lag=t-7=24</t>
  </si>
  <si>
    <t>t=32, lag=t-7=25</t>
  </si>
  <si>
    <t>t=33, lag=t-7=26</t>
  </si>
  <si>
    <t>t=34, lag=t-7=27</t>
  </si>
  <si>
    <t>t=35, lag=t-7=28</t>
  </si>
  <si>
    <t>t=36, lag=t-7=29</t>
  </si>
  <si>
    <t>t=37, lag=t-7=30</t>
  </si>
  <si>
    <t>t=38, lag=t-7=31</t>
  </si>
  <si>
    <t>t=39, lag=t-7=32</t>
  </si>
  <si>
    <t>t=40, lag=t-7=33</t>
  </si>
  <si>
    <t>t=41, lag=t-7=34</t>
  </si>
  <si>
    <t>t=42, lag=t-7=35</t>
  </si>
  <si>
    <t>t=43, lag=t-7=36</t>
  </si>
  <si>
    <t>t=44, lag=t-7=37</t>
  </si>
  <si>
    <t>t=45, lag=t-7=38</t>
  </si>
  <si>
    <t>t=46, lag=t-7=39</t>
  </si>
  <si>
    <t>t=47, lag=t-7=40</t>
  </si>
  <si>
    <t>t=48, lag=t-7=41</t>
  </si>
  <si>
    <t>t=49, lag=t-7=42</t>
  </si>
  <si>
    <t>t=50, lag=t-7=43</t>
  </si>
  <si>
    <t>t=51, lag=t-7=44</t>
  </si>
  <si>
    <t>t=52, lag=t-7=45</t>
  </si>
  <si>
    <t>t=53, lag=t-7=46</t>
  </si>
  <si>
    <t>t=54, lag=t-7=47</t>
  </si>
  <si>
    <t>t=55, lag=t-7=48</t>
  </si>
  <si>
    <t>t=56, lag=t-7=49</t>
  </si>
  <si>
    <t>t=57, lag=t-7=50</t>
  </si>
  <si>
    <t>t=58, lag=t-7=51</t>
  </si>
  <si>
    <t>t=59, lag=t-7=52</t>
  </si>
  <si>
    <t>t=60, lag=t-7=53</t>
  </si>
  <si>
    <t>t=61, lag=t-7=54</t>
  </si>
  <si>
    <t>t=62, lag=t-7=55</t>
  </si>
  <si>
    <t>t=63, lag=t-7=56</t>
  </si>
  <si>
    <t>t=64, lag=t-7=57</t>
  </si>
  <si>
    <t>t=65, lag=t-7=58</t>
  </si>
  <si>
    <t>t=66, lag=t-7=59</t>
  </si>
  <si>
    <t>t=67, lag=t-7=60</t>
  </si>
  <si>
    <t>t=68, lag=t-7=61</t>
  </si>
  <si>
    <t>t=69, lag=t-7=62</t>
  </si>
  <si>
    <t>t=70, lag=t-7=63</t>
  </si>
  <si>
    <t>t=71, lag=t-7=64</t>
  </si>
  <si>
    <t>t=72, lag=t-7=65</t>
  </si>
  <si>
    <t>t=73, lag=t-7=66</t>
  </si>
  <si>
    <t>t=74, lag=t-7=67</t>
  </si>
  <si>
    <t>t=75, lag=t-7=68</t>
  </si>
  <si>
    <t>t=76, lag=t-7=69</t>
  </si>
  <si>
    <t>t=77, lag=t-7=70</t>
  </si>
  <si>
    <t>t=78, lag=t-7=71</t>
  </si>
  <si>
    <t>t=79, lag=t-7=72</t>
  </si>
  <si>
    <t>JUMLAH Σ (t=8 s/d n)</t>
  </si>
  <si>
    <t>N data digunakan: 72 observasi (t=8 s/d 79)</t>
  </si>
  <si>
    <t>← Numerator         ← Denominator</t>
  </si>
  <si>
    <t>β  (D1SP)  =</t>
  </si>
  <si>
    <t>RINGKASAN HASIL PERHITUNGAN D1SP</t>
  </si>
  <si>
    <t>Parameter</t>
  </si>
  <si>
    <t>Nilai</t>
  </si>
  <si>
    <t>Keterangan</t>
  </si>
  <si>
    <t>Total data (n)</t>
  </si>
  <si>
    <t>79</t>
  </si>
  <si>
    <t>79 observasi</t>
  </si>
  <si>
    <t>Lag</t>
  </si>
  <si>
    <t>7</t>
  </si>
  <si>
    <t>a₂,t₋₇</t>
  </si>
  <si>
    <t>Observasi efektif (t=8..n)</t>
  </si>
  <si>
    <t>72</t>
  </si>
  <si>
    <t>t=8 s/d t=79</t>
  </si>
  <si>
    <t>Σ(X*₂,t × a₂,t₋₇)  [Numerator]</t>
  </si>
  <si>
    <t>Sum pembilang</t>
  </si>
  <si>
    <t>Σ(a₂,t₋₇)²  [Denominator]</t>
  </si>
  <si>
    <t>Sum penyebut</t>
  </si>
  <si>
    <t>β  (D1SP)</t>
  </si>
  <si>
    <t>Koefisien autokorelasi lag-7</t>
  </si>
  <si>
    <t>β = -Σ(X*₂,t × a₂,t₋₇)  /  Σ(a₂,t₋₇)²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</si>
</sst>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7F7F7F"/>
      <name val="Arial"/>
      <charset val="1"/>
    </font>
    <font>
      <sz val="9"/>
      <color rgb="FF595959"/>
      <name val="Arial"/>
      <charset val="1"/>
    </font>
    <font>
      <b/>
      <sz val="11"/>
      <color rgb="FF1F4E79"/>
      <name val="Arial"/>
      <charset val="1"/>
    </font>
    <font>
      <b/>
      <sz val="10"/>
      <color rgb="FF1F4E79"/>
      <name val="Arial"/>
      <charset val="1"/>
    </font>
    <font>
      <i/>
      <sz val="9"/>
      <color rgb="FF595959"/>
      <name val="Arial"/>
      <charset val="1"/>
    </font>
    <font>
      <b/>
      <sz val="14"/>
      <color rgb="FF375623"/>
      <name val="Arial"/>
      <charset val="1"/>
    </font>
    <font>
      <b/>
      <sz val="11"/>
      <color rgb="FF375623"/>
      <name val="Arial"/>
      <charset val="1"/>
    </font>
    <font>
      <b/>
      <sz val="10"/>
      <name val="Arial"/>
      <charset val="1"/>
    </font>
    <font>
      <sz val="10"/>
      <color rgb="FF1F4E79"/>
      <name val="Arial"/>
      <charset val="1"/>
    </font>
    <font>
      <i/>
      <sz val="10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EEAF1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/>
    <xf numFmtId="4" fontId="8" fillId="5" borderId="3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2" fillId="7" borderId="3" xfId="0" applyFont="1" applyFill="1" applyBorder="1" applyAlignment="1">
      <alignment horizontal="center" vertical="center"/>
    </xf>
    <xf numFmtId="164" fontId="12" fillId="7" borderId="3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164" fontId="11" fillId="7" borderId="4" xfId="0" applyNumberFormat="1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zoomScale="77" zoomScaleNormal="100" workbookViewId="0">
      <pane ySplit="3" topLeftCell="A4" activePane="bottomLeft" state="frozen"/>
      <selection pane="bottomLeft" activeCell="C11" sqref="C11"/>
    </sheetView>
  </sheetViews>
  <sheetFormatPr defaultColWidth="8.6640625" defaultRowHeight="14.25" x14ac:dyDescent="0.45"/>
  <cols>
    <col min="1" max="1" width="7" customWidth="1"/>
    <col min="2" max="4" width="18" customWidth="1"/>
    <col min="5" max="5" width="24" customWidth="1"/>
    <col min="6" max="6" width="22" customWidth="1"/>
    <col min="7" max="7" width="16" customWidth="1"/>
  </cols>
  <sheetData>
    <row r="1" spans="1:7" ht="31.5" customHeight="1" x14ac:dyDescent="0.45">
      <c r="A1" s="19" t="s">
        <v>0</v>
      </c>
      <c r="B1" s="19"/>
      <c r="C1" s="19"/>
      <c r="D1" s="19"/>
      <c r="E1" s="19"/>
      <c r="F1" s="19"/>
      <c r="G1" s="19"/>
    </row>
    <row r="2" spans="1:7" ht="24" customHeight="1" x14ac:dyDescent="0.45">
      <c r="A2" s="20" t="s">
        <v>1</v>
      </c>
      <c r="B2" s="20"/>
      <c r="C2" s="20"/>
      <c r="D2" s="20"/>
      <c r="E2" s="20"/>
      <c r="F2" s="20"/>
      <c r="G2" s="20"/>
    </row>
    <row r="3" spans="1:7" ht="30" customHeight="1" x14ac:dyDescent="0.4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6.5" customHeight="1" x14ac:dyDescent="0.45">
      <c r="A4" s="2">
        <v>1</v>
      </c>
      <c r="B4" s="3">
        <v>-109.98</v>
      </c>
      <c r="C4" s="3">
        <v>0</v>
      </c>
      <c r="D4" s="4" t="s">
        <v>9</v>
      </c>
      <c r="E4" s="4" t="s">
        <v>9</v>
      </c>
      <c r="F4" s="4" t="s">
        <v>9</v>
      </c>
      <c r="G4" s="5" t="s">
        <v>10</v>
      </c>
    </row>
    <row r="5" spans="1:7" ht="16.5" customHeight="1" x14ac:dyDescent="0.45">
      <c r="A5" s="2">
        <v>2</v>
      </c>
      <c r="B5" s="3">
        <v>-72.959999999999994</v>
      </c>
      <c r="C5" s="3">
        <v>0</v>
      </c>
      <c r="D5" s="4" t="s">
        <v>9</v>
      </c>
      <c r="E5" s="4" t="s">
        <v>9</v>
      </c>
      <c r="F5" s="4" t="s">
        <v>9</v>
      </c>
      <c r="G5" s="5" t="s">
        <v>10</v>
      </c>
    </row>
    <row r="6" spans="1:7" ht="16.5" customHeight="1" x14ac:dyDescent="0.45">
      <c r="A6" s="2">
        <v>3</v>
      </c>
      <c r="B6" s="3">
        <v>7.18</v>
      </c>
      <c r="C6" s="3">
        <v>0</v>
      </c>
      <c r="D6" s="4" t="s">
        <v>9</v>
      </c>
      <c r="E6" s="4" t="s">
        <v>9</v>
      </c>
      <c r="F6" s="4" t="s">
        <v>9</v>
      </c>
      <c r="G6" s="5" t="s">
        <v>10</v>
      </c>
    </row>
    <row r="7" spans="1:7" ht="16.5" customHeight="1" x14ac:dyDescent="0.45">
      <c r="A7" s="2">
        <v>4</v>
      </c>
      <c r="B7" s="3">
        <v>57.22</v>
      </c>
      <c r="C7" s="3">
        <v>0</v>
      </c>
      <c r="D7" s="4" t="s">
        <v>9</v>
      </c>
      <c r="E7" s="4" t="s">
        <v>9</v>
      </c>
      <c r="F7" s="4" t="s">
        <v>9</v>
      </c>
      <c r="G7" s="5" t="s">
        <v>10</v>
      </c>
    </row>
    <row r="8" spans="1:7" ht="16.5" customHeight="1" x14ac:dyDescent="0.45">
      <c r="A8" s="2">
        <v>5</v>
      </c>
      <c r="B8" s="3">
        <v>13.1</v>
      </c>
      <c r="C8" s="3">
        <v>0</v>
      </c>
      <c r="D8" s="4" t="s">
        <v>9</v>
      </c>
      <c r="E8" s="4" t="s">
        <v>9</v>
      </c>
      <c r="F8" s="4" t="s">
        <v>9</v>
      </c>
      <c r="G8" s="5" t="s">
        <v>10</v>
      </c>
    </row>
    <row r="9" spans="1:7" ht="16.5" customHeight="1" x14ac:dyDescent="0.45">
      <c r="A9" s="2">
        <v>6</v>
      </c>
      <c r="B9" s="3">
        <v>97.92</v>
      </c>
      <c r="C9" s="3">
        <v>0</v>
      </c>
      <c r="D9" s="4" t="s">
        <v>9</v>
      </c>
      <c r="E9" s="4" t="s">
        <v>9</v>
      </c>
      <c r="F9" s="4" t="s">
        <v>9</v>
      </c>
      <c r="G9" s="5" t="s">
        <v>10</v>
      </c>
    </row>
    <row r="10" spans="1:7" ht="16.5" customHeight="1" x14ac:dyDescent="0.45">
      <c r="A10" s="2">
        <v>7</v>
      </c>
      <c r="B10" s="3">
        <v>85.23</v>
      </c>
      <c r="C10" s="3">
        <v>0</v>
      </c>
      <c r="D10" s="4" t="s">
        <v>9</v>
      </c>
      <c r="E10" s="4" t="s">
        <v>9</v>
      </c>
      <c r="F10" s="4" t="s">
        <v>9</v>
      </c>
      <c r="G10" s="5" t="s">
        <v>10</v>
      </c>
    </row>
    <row r="11" spans="1:7" ht="16.5" customHeight="1" x14ac:dyDescent="0.45">
      <c r="A11" s="2">
        <v>8</v>
      </c>
      <c r="B11" s="3">
        <v>12.46</v>
      </c>
      <c r="C11" s="3">
        <v>12.46</v>
      </c>
      <c r="D11" s="6">
        <f t="shared" ref="D11:D42" si="0">C4</f>
        <v>0</v>
      </c>
      <c r="E11" s="6">
        <f t="shared" ref="E11:E42" si="1">B11*D11</f>
        <v>0</v>
      </c>
      <c r="F11" s="6">
        <f t="shared" ref="F11:F42" si="2">D11^2</f>
        <v>0</v>
      </c>
      <c r="G11" s="7" t="s">
        <v>11</v>
      </c>
    </row>
    <row r="12" spans="1:7" ht="16.5" customHeight="1" x14ac:dyDescent="0.45">
      <c r="A12" s="2">
        <v>9</v>
      </c>
      <c r="B12" s="3">
        <v>-202.24</v>
      </c>
      <c r="C12" s="3">
        <v>-202.24</v>
      </c>
      <c r="D12" s="6">
        <f t="shared" si="0"/>
        <v>0</v>
      </c>
      <c r="E12" s="6">
        <f t="shared" si="1"/>
        <v>0</v>
      </c>
      <c r="F12" s="6">
        <f t="shared" si="2"/>
        <v>0</v>
      </c>
      <c r="G12" s="7" t="s">
        <v>12</v>
      </c>
    </row>
    <row r="13" spans="1:7" ht="16.5" customHeight="1" x14ac:dyDescent="0.45">
      <c r="A13" s="2">
        <v>10</v>
      </c>
      <c r="B13" s="3">
        <v>48.43</v>
      </c>
      <c r="C13" s="3">
        <v>48.43</v>
      </c>
      <c r="D13" s="6">
        <f t="shared" si="0"/>
        <v>0</v>
      </c>
      <c r="E13" s="6">
        <f t="shared" si="1"/>
        <v>0</v>
      </c>
      <c r="F13" s="6">
        <f t="shared" si="2"/>
        <v>0</v>
      </c>
      <c r="G13" s="7" t="s">
        <v>13</v>
      </c>
    </row>
    <row r="14" spans="1:7" ht="16.5" customHeight="1" x14ac:dyDescent="0.45">
      <c r="A14" s="2">
        <v>11</v>
      </c>
      <c r="B14" s="3">
        <v>-253.32</v>
      </c>
      <c r="C14" s="3">
        <v>-253.32</v>
      </c>
      <c r="D14" s="6">
        <f t="shared" si="0"/>
        <v>0</v>
      </c>
      <c r="E14" s="6">
        <f t="shared" si="1"/>
        <v>0</v>
      </c>
      <c r="F14" s="6">
        <f t="shared" si="2"/>
        <v>0</v>
      </c>
      <c r="G14" s="7" t="s">
        <v>14</v>
      </c>
    </row>
    <row r="15" spans="1:7" ht="16.5" customHeight="1" x14ac:dyDescent="0.45">
      <c r="A15" s="2">
        <v>12</v>
      </c>
      <c r="B15" s="3">
        <v>197.25</v>
      </c>
      <c r="C15" s="3">
        <v>197.25</v>
      </c>
      <c r="D15" s="6">
        <f t="shared" si="0"/>
        <v>0</v>
      </c>
      <c r="E15" s="6">
        <f t="shared" si="1"/>
        <v>0</v>
      </c>
      <c r="F15" s="6">
        <f t="shared" si="2"/>
        <v>0</v>
      </c>
      <c r="G15" s="7" t="s">
        <v>15</v>
      </c>
    </row>
    <row r="16" spans="1:7" ht="16.5" customHeight="1" x14ac:dyDescent="0.45">
      <c r="A16" s="2">
        <v>13</v>
      </c>
      <c r="B16" s="3">
        <v>80.39</v>
      </c>
      <c r="C16" s="3">
        <v>80.39</v>
      </c>
      <c r="D16" s="6">
        <f t="shared" si="0"/>
        <v>0</v>
      </c>
      <c r="E16" s="6">
        <f t="shared" si="1"/>
        <v>0</v>
      </c>
      <c r="F16" s="6">
        <f t="shared" si="2"/>
        <v>0</v>
      </c>
      <c r="G16" s="7" t="s">
        <v>16</v>
      </c>
    </row>
    <row r="17" spans="1:7" ht="16.5" customHeight="1" x14ac:dyDescent="0.45">
      <c r="A17" s="2">
        <v>14</v>
      </c>
      <c r="B17" s="3">
        <v>49.91</v>
      </c>
      <c r="C17" s="3">
        <v>49.91</v>
      </c>
      <c r="D17" s="6">
        <f t="shared" si="0"/>
        <v>0</v>
      </c>
      <c r="E17" s="6">
        <f t="shared" si="1"/>
        <v>0</v>
      </c>
      <c r="F17" s="6">
        <f t="shared" si="2"/>
        <v>0</v>
      </c>
      <c r="G17" s="7" t="s">
        <v>17</v>
      </c>
    </row>
    <row r="18" spans="1:7" ht="16.5" customHeight="1" x14ac:dyDescent="0.45">
      <c r="A18" s="2">
        <v>15</v>
      </c>
      <c r="B18" s="3">
        <v>111.43</v>
      </c>
      <c r="C18" s="3">
        <v>107.4553846</v>
      </c>
      <c r="D18" s="6">
        <f t="shared" si="0"/>
        <v>12.46</v>
      </c>
      <c r="E18" s="6">
        <f t="shared" si="1"/>
        <v>1388.4178000000002</v>
      </c>
      <c r="F18" s="6">
        <f t="shared" si="2"/>
        <v>155.25160000000002</v>
      </c>
      <c r="G18" s="7" t="s">
        <v>18</v>
      </c>
    </row>
    <row r="19" spans="1:7" ht="16.5" customHeight="1" x14ac:dyDescent="0.45">
      <c r="A19" s="2">
        <v>16</v>
      </c>
      <c r="B19" s="3">
        <v>-193.77</v>
      </c>
      <c r="C19" s="3">
        <v>-129.25746240000001</v>
      </c>
      <c r="D19" s="6">
        <f t="shared" si="0"/>
        <v>-202.24</v>
      </c>
      <c r="E19" s="6">
        <f t="shared" si="1"/>
        <v>39188.044800000003</v>
      </c>
      <c r="F19" s="6">
        <f t="shared" si="2"/>
        <v>40901.017600000006</v>
      </c>
      <c r="G19" s="7" t="s">
        <v>19</v>
      </c>
    </row>
    <row r="20" spans="1:7" ht="16.5" customHeight="1" x14ac:dyDescent="0.45">
      <c r="A20" s="2">
        <v>17</v>
      </c>
      <c r="B20" s="3">
        <v>189.7</v>
      </c>
      <c r="C20" s="3">
        <v>174.25131429999999</v>
      </c>
      <c r="D20" s="6">
        <f t="shared" si="0"/>
        <v>48.43</v>
      </c>
      <c r="E20" s="6">
        <f t="shared" si="1"/>
        <v>9187.1710000000003</v>
      </c>
      <c r="F20" s="6">
        <f t="shared" si="2"/>
        <v>2345.4648999999999</v>
      </c>
      <c r="G20" s="7" t="s">
        <v>20</v>
      </c>
    </row>
    <row r="21" spans="1:7" ht="16.5" customHeight="1" x14ac:dyDescent="0.45">
      <c r="A21" s="2">
        <v>18</v>
      </c>
      <c r="B21" s="3">
        <v>38.619999999999997</v>
      </c>
      <c r="C21" s="3">
        <v>119.4265468</v>
      </c>
      <c r="D21" s="6">
        <f t="shared" si="0"/>
        <v>-253.32</v>
      </c>
      <c r="E21" s="6">
        <f t="shared" si="1"/>
        <v>-9783.2183999999997</v>
      </c>
      <c r="F21" s="6">
        <f t="shared" si="2"/>
        <v>64171.022399999994</v>
      </c>
      <c r="G21" s="7" t="s">
        <v>21</v>
      </c>
    </row>
    <row r="22" spans="1:7" ht="16.5" customHeight="1" x14ac:dyDescent="0.45">
      <c r="A22" s="2">
        <v>19</v>
      </c>
      <c r="B22" s="3">
        <v>-53.92</v>
      </c>
      <c r="C22" s="3">
        <v>-116.8407775</v>
      </c>
      <c r="D22" s="6">
        <f t="shared" si="0"/>
        <v>197.25</v>
      </c>
      <c r="E22" s="6">
        <f t="shared" si="1"/>
        <v>-10635.720000000001</v>
      </c>
      <c r="F22" s="6">
        <f t="shared" si="2"/>
        <v>38907.5625</v>
      </c>
      <c r="G22" s="7" t="s">
        <v>22</v>
      </c>
    </row>
    <row r="23" spans="1:7" ht="16.5" customHeight="1" x14ac:dyDescent="0.45">
      <c r="A23" s="2">
        <v>20</v>
      </c>
      <c r="B23" s="3">
        <v>50.28</v>
      </c>
      <c r="C23" s="3">
        <v>24.636393900000002</v>
      </c>
      <c r="D23" s="6">
        <f t="shared" si="0"/>
        <v>80.39</v>
      </c>
      <c r="E23" s="6">
        <f t="shared" si="1"/>
        <v>4042.0092</v>
      </c>
      <c r="F23" s="6">
        <f t="shared" si="2"/>
        <v>6462.5520999999999</v>
      </c>
      <c r="G23" s="7" t="s">
        <v>23</v>
      </c>
    </row>
    <row r="24" spans="1:7" ht="16.5" customHeight="1" x14ac:dyDescent="0.45">
      <c r="A24" s="2">
        <v>21</v>
      </c>
      <c r="B24" s="3">
        <v>60.82</v>
      </c>
      <c r="C24" s="3">
        <v>44.8992091</v>
      </c>
      <c r="D24" s="6">
        <f t="shared" si="0"/>
        <v>49.91</v>
      </c>
      <c r="E24" s="6">
        <f t="shared" si="1"/>
        <v>3035.5261999999998</v>
      </c>
      <c r="F24" s="6">
        <f t="shared" si="2"/>
        <v>2491.0080999999996</v>
      </c>
      <c r="G24" s="7" t="s">
        <v>24</v>
      </c>
    </row>
    <row r="25" spans="1:7" ht="16.5" customHeight="1" x14ac:dyDescent="0.45">
      <c r="A25" s="2">
        <v>22</v>
      </c>
      <c r="B25" s="3">
        <v>103.42</v>
      </c>
      <c r="C25" s="3">
        <v>69.142806870000001</v>
      </c>
      <c r="D25" s="6">
        <f t="shared" si="0"/>
        <v>107.4553846</v>
      </c>
      <c r="E25" s="6">
        <f t="shared" si="1"/>
        <v>11113.035875332</v>
      </c>
      <c r="F25" s="6">
        <f t="shared" si="2"/>
        <v>11546.659679533917</v>
      </c>
      <c r="G25" s="7" t="s">
        <v>25</v>
      </c>
    </row>
    <row r="26" spans="1:7" ht="16.5" customHeight="1" x14ac:dyDescent="0.45">
      <c r="A26" s="2">
        <v>23</v>
      </c>
      <c r="B26" s="3">
        <v>89.8</v>
      </c>
      <c r="C26" s="3">
        <v>131.0318379</v>
      </c>
      <c r="D26" s="6">
        <f t="shared" si="0"/>
        <v>-129.25746240000001</v>
      </c>
      <c r="E26" s="6">
        <f t="shared" si="1"/>
        <v>-11607.320123520001</v>
      </c>
      <c r="F26" s="6">
        <f t="shared" si="2"/>
        <v>16707.491586087417</v>
      </c>
      <c r="G26" s="7" t="s">
        <v>26</v>
      </c>
    </row>
    <row r="27" spans="1:7" ht="16.5" customHeight="1" x14ac:dyDescent="0.45">
      <c r="A27" s="2">
        <v>24</v>
      </c>
      <c r="B27" s="3">
        <v>-5.26</v>
      </c>
      <c r="C27" s="3">
        <v>-60.844426749999997</v>
      </c>
      <c r="D27" s="6">
        <f t="shared" si="0"/>
        <v>174.25131429999999</v>
      </c>
      <c r="E27" s="6">
        <f t="shared" si="1"/>
        <v>-916.56191321799986</v>
      </c>
      <c r="F27" s="6">
        <f t="shared" si="2"/>
        <v>30363.520535277381</v>
      </c>
      <c r="G27" s="7" t="s">
        <v>27</v>
      </c>
    </row>
    <row r="28" spans="1:7" ht="16.5" customHeight="1" x14ac:dyDescent="0.45">
      <c r="A28" s="2">
        <v>25</v>
      </c>
      <c r="B28" s="3">
        <v>-271.3</v>
      </c>
      <c r="C28" s="3">
        <v>-309.39587419999998</v>
      </c>
      <c r="D28" s="6">
        <f t="shared" si="0"/>
        <v>119.4265468</v>
      </c>
      <c r="E28" s="6">
        <f t="shared" si="1"/>
        <v>-32400.422146839999</v>
      </c>
      <c r="F28" s="6">
        <f t="shared" si="2"/>
        <v>14262.700080572589</v>
      </c>
      <c r="G28" s="7" t="s">
        <v>28</v>
      </c>
    </row>
    <row r="29" spans="1:7" ht="16.5" customHeight="1" x14ac:dyDescent="0.45">
      <c r="A29" s="2">
        <v>26</v>
      </c>
      <c r="B29" s="3">
        <v>-369.63</v>
      </c>
      <c r="C29" s="3">
        <v>-332.3589604</v>
      </c>
      <c r="D29" s="6">
        <f t="shared" si="0"/>
        <v>-116.8407775</v>
      </c>
      <c r="E29" s="6">
        <f t="shared" si="1"/>
        <v>43187.856587324997</v>
      </c>
      <c r="F29" s="6">
        <f t="shared" si="2"/>
        <v>13651.767286804507</v>
      </c>
      <c r="G29" s="7" t="s">
        <v>29</v>
      </c>
    </row>
    <row r="30" spans="1:7" ht="16.5" customHeight="1" x14ac:dyDescent="0.45">
      <c r="A30" s="2">
        <v>27</v>
      </c>
      <c r="B30" s="3">
        <v>327.84</v>
      </c>
      <c r="C30" s="3">
        <v>319.98123670000001</v>
      </c>
      <c r="D30" s="6">
        <f t="shared" si="0"/>
        <v>24.636393900000002</v>
      </c>
      <c r="E30" s="6">
        <f t="shared" si="1"/>
        <v>8076.795376176</v>
      </c>
      <c r="F30" s="6">
        <f t="shared" si="2"/>
        <v>606.95190439595729</v>
      </c>
      <c r="G30" s="7" t="s">
        <v>30</v>
      </c>
    </row>
    <row r="31" spans="1:7" ht="16.5" customHeight="1" x14ac:dyDescent="0.45">
      <c r="A31" s="2">
        <v>28</v>
      </c>
      <c r="B31" s="3">
        <v>131.88</v>
      </c>
      <c r="C31" s="3">
        <v>117.5576013</v>
      </c>
      <c r="D31" s="6">
        <f t="shared" si="0"/>
        <v>44.8992091</v>
      </c>
      <c r="E31" s="6">
        <f t="shared" si="1"/>
        <v>5921.3076961079996</v>
      </c>
      <c r="F31" s="6">
        <f t="shared" si="2"/>
        <v>2015.9389778055229</v>
      </c>
      <c r="G31" s="7" t="s">
        <v>31</v>
      </c>
    </row>
    <row r="32" spans="1:7" ht="16.5" customHeight="1" x14ac:dyDescent="0.45">
      <c r="A32" s="2">
        <v>29</v>
      </c>
      <c r="B32" s="3">
        <v>55.98</v>
      </c>
      <c r="C32" s="3">
        <v>33.92413604</v>
      </c>
      <c r="D32" s="6">
        <f t="shared" si="0"/>
        <v>69.142806870000001</v>
      </c>
      <c r="E32" s="6">
        <f t="shared" si="1"/>
        <v>3870.6143285825997</v>
      </c>
      <c r="F32" s="6">
        <f t="shared" si="2"/>
        <v>4780.7277418621197</v>
      </c>
      <c r="G32" s="7" t="s">
        <v>32</v>
      </c>
    </row>
    <row r="33" spans="1:7" ht="16.5" customHeight="1" x14ac:dyDescent="0.45">
      <c r="A33" s="2">
        <v>30</v>
      </c>
      <c r="B33" s="3">
        <v>170.83</v>
      </c>
      <c r="C33" s="3">
        <v>129.03215399999999</v>
      </c>
      <c r="D33" s="6">
        <f t="shared" si="0"/>
        <v>131.0318379</v>
      </c>
      <c r="E33" s="6">
        <f t="shared" si="1"/>
        <v>22384.168868457</v>
      </c>
      <c r="F33" s="6">
        <f t="shared" si="2"/>
        <v>17169.342543451876</v>
      </c>
      <c r="G33" s="7" t="s">
        <v>33</v>
      </c>
    </row>
    <row r="34" spans="1:7" ht="16.5" customHeight="1" x14ac:dyDescent="0.45">
      <c r="A34" s="2">
        <v>31</v>
      </c>
      <c r="B34" s="3">
        <v>229.19</v>
      </c>
      <c r="C34" s="3">
        <v>248.59876370000001</v>
      </c>
      <c r="D34" s="6">
        <f t="shared" si="0"/>
        <v>-60.844426749999997</v>
      </c>
      <c r="E34" s="6">
        <f t="shared" si="1"/>
        <v>-13944.9341668325</v>
      </c>
      <c r="F34" s="6">
        <f t="shared" si="2"/>
        <v>3702.0442665361152</v>
      </c>
      <c r="G34" s="7" t="s">
        <v>34</v>
      </c>
    </row>
    <row r="35" spans="1:7" ht="16.5" customHeight="1" x14ac:dyDescent="0.45">
      <c r="A35" s="2">
        <v>32</v>
      </c>
      <c r="B35" s="3">
        <v>-137.31</v>
      </c>
      <c r="C35" s="3">
        <v>-38.615810099999997</v>
      </c>
      <c r="D35" s="6">
        <f t="shared" si="0"/>
        <v>-309.39587419999998</v>
      </c>
      <c r="E35" s="6">
        <f t="shared" si="1"/>
        <v>42483.147486401998</v>
      </c>
      <c r="F35" s="6">
        <f t="shared" si="2"/>
        <v>95725.806971982209</v>
      </c>
      <c r="G35" s="7" t="s">
        <v>35</v>
      </c>
    </row>
    <row r="36" spans="1:7" ht="16.5" customHeight="1" x14ac:dyDescent="0.45">
      <c r="A36" s="2">
        <v>33</v>
      </c>
      <c r="B36" s="3">
        <v>-93.04</v>
      </c>
      <c r="C36" s="3">
        <v>12.97918477</v>
      </c>
      <c r="D36" s="6">
        <f t="shared" si="0"/>
        <v>-332.3589604</v>
      </c>
      <c r="E36" s="6">
        <f t="shared" si="1"/>
        <v>30922.677675616003</v>
      </c>
      <c r="F36" s="6">
        <f t="shared" si="2"/>
        <v>110462.47855816878</v>
      </c>
      <c r="G36" s="7" t="s">
        <v>36</v>
      </c>
    </row>
    <row r="37" spans="1:7" ht="16.5" customHeight="1" x14ac:dyDescent="0.45">
      <c r="A37" s="2">
        <v>34</v>
      </c>
      <c r="B37" s="3">
        <v>351.67</v>
      </c>
      <c r="C37" s="3">
        <v>249.59918529999999</v>
      </c>
      <c r="D37" s="6">
        <f t="shared" si="0"/>
        <v>319.98123670000001</v>
      </c>
      <c r="E37" s="6">
        <f t="shared" si="1"/>
        <v>112527.80151028901</v>
      </c>
      <c r="F37" s="6">
        <f t="shared" si="2"/>
        <v>102387.99184006144</v>
      </c>
      <c r="G37" s="7" t="s">
        <v>37</v>
      </c>
    </row>
    <row r="38" spans="1:7" ht="16.5" customHeight="1" x14ac:dyDescent="0.45">
      <c r="A38" s="2">
        <v>35</v>
      </c>
      <c r="B38" s="3">
        <v>134.44</v>
      </c>
      <c r="C38" s="3">
        <v>96.94030076</v>
      </c>
      <c r="D38" s="6">
        <f t="shared" si="0"/>
        <v>117.5576013</v>
      </c>
      <c r="E38" s="6">
        <f t="shared" si="1"/>
        <v>15804.443918772</v>
      </c>
      <c r="F38" s="6">
        <f t="shared" si="2"/>
        <v>13819.789623409762</v>
      </c>
      <c r="G38" s="7" t="s">
        <v>38</v>
      </c>
    </row>
    <row r="39" spans="1:7" ht="16.5" customHeight="1" x14ac:dyDescent="0.45">
      <c r="A39" s="2">
        <v>36</v>
      </c>
      <c r="B39" s="3">
        <v>-41.83</v>
      </c>
      <c r="C39" s="3">
        <v>-52.651460149999998</v>
      </c>
      <c r="D39" s="6">
        <f t="shared" si="0"/>
        <v>33.92413604</v>
      </c>
      <c r="E39" s="6">
        <f t="shared" si="1"/>
        <v>-1419.0466105532</v>
      </c>
      <c r="F39" s="6">
        <f t="shared" si="2"/>
        <v>1150.847006060427</v>
      </c>
      <c r="G39" s="7" t="s">
        <v>39</v>
      </c>
    </row>
    <row r="40" spans="1:7" ht="16.5" customHeight="1" x14ac:dyDescent="0.45">
      <c r="A40" s="2">
        <v>37</v>
      </c>
      <c r="B40" s="3">
        <v>96.91</v>
      </c>
      <c r="C40" s="3">
        <v>55.750033190000003</v>
      </c>
      <c r="D40" s="6">
        <f t="shared" si="0"/>
        <v>129.03215399999999</v>
      </c>
      <c r="E40" s="6">
        <f t="shared" si="1"/>
        <v>12504.506044139998</v>
      </c>
      <c r="F40" s="6">
        <f t="shared" si="2"/>
        <v>16649.296765879713</v>
      </c>
      <c r="G40" s="7" t="s">
        <v>40</v>
      </c>
    </row>
    <row r="41" spans="1:7" ht="16.5" customHeight="1" x14ac:dyDescent="0.45">
      <c r="A41" s="2">
        <v>38</v>
      </c>
      <c r="B41" s="3">
        <v>161.74</v>
      </c>
      <c r="C41" s="3">
        <v>82.439480369999998</v>
      </c>
      <c r="D41" s="6">
        <f t="shared" si="0"/>
        <v>248.59876370000001</v>
      </c>
      <c r="E41" s="6">
        <f t="shared" si="1"/>
        <v>40208.364040838002</v>
      </c>
      <c r="F41" s="6">
        <f t="shared" si="2"/>
        <v>61801.345313168444</v>
      </c>
      <c r="G41" s="7" t="s">
        <v>41</v>
      </c>
    </row>
    <row r="42" spans="1:7" ht="16.5" customHeight="1" x14ac:dyDescent="0.45">
      <c r="A42" s="2">
        <v>39</v>
      </c>
      <c r="B42" s="3">
        <v>208.28</v>
      </c>
      <c r="C42" s="3">
        <v>220.59805729999999</v>
      </c>
      <c r="D42" s="6">
        <f t="shared" si="0"/>
        <v>-38.615810099999997</v>
      </c>
      <c r="E42" s="6">
        <f t="shared" si="1"/>
        <v>-8042.9009276279994</v>
      </c>
      <c r="F42" s="6">
        <f t="shared" si="2"/>
        <v>1491.1807896792618</v>
      </c>
      <c r="G42" s="7" t="s">
        <v>42</v>
      </c>
    </row>
    <row r="43" spans="1:7" ht="16.5" customHeight="1" x14ac:dyDescent="0.45">
      <c r="A43" s="2">
        <v>40</v>
      </c>
      <c r="B43" s="3">
        <v>22.94</v>
      </c>
      <c r="C43" s="3">
        <v>18.799769850000001</v>
      </c>
      <c r="D43" s="6">
        <f t="shared" ref="D43:D74" si="3">C36</f>
        <v>12.97918477</v>
      </c>
      <c r="E43" s="6">
        <f t="shared" ref="E43:E74" si="4">B43*D43</f>
        <v>297.74249862380003</v>
      </c>
      <c r="F43" s="6">
        <f t="shared" ref="F43:F74" si="5">D43^2</f>
        <v>168.45923729379996</v>
      </c>
      <c r="G43" s="7" t="s">
        <v>43</v>
      </c>
    </row>
    <row r="44" spans="1:7" ht="16.5" customHeight="1" x14ac:dyDescent="0.45">
      <c r="A44" s="2">
        <v>41</v>
      </c>
      <c r="B44" s="3">
        <v>93.39</v>
      </c>
      <c r="C44" s="3">
        <v>13.77035588</v>
      </c>
      <c r="D44" s="6">
        <f t="shared" si="3"/>
        <v>249.59918529999999</v>
      </c>
      <c r="E44" s="6">
        <f t="shared" si="4"/>
        <v>23310.067915166997</v>
      </c>
      <c r="F44" s="6">
        <f t="shared" si="5"/>
        <v>62299.753302423727</v>
      </c>
      <c r="G44" s="7" t="s">
        <v>44</v>
      </c>
    </row>
    <row r="45" spans="1:7" ht="16.5" customHeight="1" x14ac:dyDescent="0.45">
      <c r="A45" s="2">
        <v>42</v>
      </c>
      <c r="B45" s="3">
        <v>97.76</v>
      </c>
      <c r="C45" s="3">
        <v>66.837013459999994</v>
      </c>
      <c r="D45" s="6">
        <f t="shared" si="3"/>
        <v>96.94030076</v>
      </c>
      <c r="E45" s="6">
        <f t="shared" si="4"/>
        <v>9476.8838022975997</v>
      </c>
      <c r="F45" s="6">
        <f t="shared" si="5"/>
        <v>9397.4219114392563</v>
      </c>
      <c r="G45" s="7" t="s">
        <v>45</v>
      </c>
    </row>
    <row r="46" spans="1:7" ht="16.5" customHeight="1" x14ac:dyDescent="0.45">
      <c r="A46" s="2">
        <v>43</v>
      </c>
      <c r="B46" s="3">
        <v>127.42</v>
      </c>
      <c r="C46" s="3">
        <v>144.21528929999999</v>
      </c>
      <c r="D46" s="6">
        <f t="shared" si="3"/>
        <v>-52.651460149999998</v>
      </c>
      <c r="E46" s="6">
        <f t="shared" si="4"/>
        <v>-6708.8490523129994</v>
      </c>
      <c r="F46" s="6">
        <f t="shared" si="5"/>
        <v>2772.1762559270378</v>
      </c>
      <c r="G46" s="7" t="s">
        <v>46</v>
      </c>
    </row>
    <row r="47" spans="1:7" ht="16.5" customHeight="1" x14ac:dyDescent="0.45">
      <c r="A47" s="2">
        <v>44</v>
      </c>
      <c r="B47" s="3">
        <v>-215.14</v>
      </c>
      <c r="C47" s="3">
        <v>-232.92370310000001</v>
      </c>
      <c r="D47" s="6">
        <f t="shared" si="3"/>
        <v>55.750033190000003</v>
      </c>
      <c r="E47" s="6">
        <f t="shared" si="4"/>
        <v>-11994.0621404966</v>
      </c>
      <c r="F47" s="6">
        <f t="shared" si="5"/>
        <v>3108.0662006861021</v>
      </c>
      <c r="G47" s="7" t="s">
        <v>47</v>
      </c>
    </row>
    <row r="48" spans="1:7" ht="16.5" customHeight="1" x14ac:dyDescent="0.45">
      <c r="A48" s="2">
        <v>45</v>
      </c>
      <c r="B48" s="3">
        <v>297.83999999999997</v>
      </c>
      <c r="C48" s="3">
        <v>271.54263020000002</v>
      </c>
      <c r="D48" s="6">
        <f t="shared" si="3"/>
        <v>82.439480369999998</v>
      </c>
      <c r="E48" s="6">
        <f t="shared" si="4"/>
        <v>24553.774833400796</v>
      </c>
      <c r="F48" s="6">
        <f t="shared" si="5"/>
        <v>6796.2679236756148</v>
      </c>
      <c r="G48" s="7" t="s">
        <v>48</v>
      </c>
    </row>
    <row r="49" spans="1:7" ht="16.5" customHeight="1" x14ac:dyDescent="0.45">
      <c r="A49" s="2">
        <v>46</v>
      </c>
      <c r="B49" s="3">
        <v>-38.380000000000003</v>
      </c>
      <c r="C49" s="3">
        <v>-108.7485743</v>
      </c>
      <c r="D49" s="6">
        <f t="shared" si="3"/>
        <v>220.59805729999999</v>
      </c>
      <c r="E49" s="6">
        <f t="shared" si="4"/>
        <v>-8466.5534391740002</v>
      </c>
      <c r="F49" s="6">
        <f t="shared" si="5"/>
        <v>48663.502884534078</v>
      </c>
      <c r="G49" s="7" t="s">
        <v>49</v>
      </c>
    </row>
    <row r="50" spans="1:7" ht="16.5" customHeight="1" x14ac:dyDescent="0.45">
      <c r="A50" s="2">
        <v>47</v>
      </c>
      <c r="B50" s="3">
        <v>199.18</v>
      </c>
      <c r="C50" s="3">
        <v>193.18306140000001</v>
      </c>
      <c r="D50" s="6">
        <f t="shared" si="3"/>
        <v>18.799769850000001</v>
      </c>
      <c r="E50" s="6">
        <f t="shared" si="4"/>
        <v>3744.5381587230004</v>
      </c>
      <c r="F50" s="6">
        <f t="shared" si="5"/>
        <v>353.43134641296905</v>
      </c>
      <c r="G50" s="7" t="s">
        <v>50</v>
      </c>
    </row>
    <row r="51" spans="1:7" ht="16.5" customHeight="1" x14ac:dyDescent="0.45">
      <c r="A51" s="2">
        <v>48</v>
      </c>
      <c r="B51" s="3">
        <v>-250.63</v>
      </c>
      <c r="C51" s="3">
        <v>-255.02260580000001</v>
      </c>
      <c r="D51" s="6">
        <f t="shared" si="3"/>
        <v>13.77035588</v>
      </c>
      <c r="E51" s="6">
        <f t="shared" si="4"/>
        <v>-3451.2642942043999</v>
      </c>
      <c r="F51" s="6">
        <f t="shared" si="5"/>
        <v>189.62270106185059</v>
      </c>
      <c r="G51" s="7" t="s">
        <v>51</v>
      </c>
    </row>
    <row r="52" spans="1:7" ht="16.5" customHeight="1" x14ac:dyDescent="0.45">
      <c r="A52" s="2">
        <v>49</v>
      </c>
      <c r="B52" s="3">
        <v>-141.61000000000001</v>
      </c>
      <c r="C52" s="3">
        <v>-162.93033890000001</v>
      </c>
      <c r="D52" s="6">
        <f t="shared" si="3"/>
        <v>66.837013459999994</v>
      </c>
      <c r="E52" s="6">
        <f t="shared" si="4"/>
        <v>-9464.7894760706004</v>
      </c>
      <c r="F52" s="6">
        <f t="shared" si="5"/>
        <v>4467.1863682522207</v>
      </c>
      <c r="G52" s="7" t="s">
        <v>52</v>
      </c>
    </row>
    <row r="53" spans="1:7" ht="16.5" customHeight="1" x14ac:dyDescent="0.45">
      <c r="A53" s="2">
        <v>50</v>
      </c>
      <c r="B53" s="3">
        <v>156.47</v>
      </c>
      <c r="C53" s="3">
        <v>110.4667649</v>
      </c>
      <c r="D53" s="6">
        <f t="shared" si="3"/>
        <v>144.21528929999999</v>
      </c>
      <c r="E53" s="6">
        <f t="shared" si="4"/>
        <v>22565.366316771</v>
      </c>
      <c r="F53" s="6">
        <f t="shared" si="5"/>
        <v>20798.049667882693</v>
      </c>
      <c r="G53" s="7" t="s">
        <v>53</v>
      </c>
    </row>
    <row r="54" spans="1:7" ht="16.5" customHeight="1" x14ac:dyDescent="0.45">
      <c r="A54" s="2">
        <v>51</v>
      </c>
      <c r="B54" s="3">
        <v>-398.48</v>
      </c>
      <c r="C54" s="3">
        <v>-324.17966799999999</v>
      </c>
      <c r="D54" s="6">
        <f t="shared" si="3"/>
        <v>-232.92370310000001</v>
      </c>
      <c r="E54" s="6">
        <f t="shared" si="4"/>
        <v>92815.437211288008</v>
      </c>
      <c r="F54" s="6">
        <f t="shared" si="5"/>
        <v>54253.451465816957</v>
      </c>
      <c r="G54" s="7" t="s">
        <v>54</v>
      </c>
    </row>
    <row r="55" spans="1:7" ht="16.5" customHeight="1" x14ac:dyDescent="0.45">
      <c r="A55" s="2">
        <v>52</v>
      </c>
      <c r="B55" s="3">
        <v>0.22</v>
      </c>
      <c r="C55" s="3">
        <v>-86.399383589999999</v>
      </c>
      <c r="D55" s="6">
        <f t="shared" si="3"/>
        <v>271.54263020000002</v>
      </c>
      <c r="E55" s="6">
        <f t="shared" si="4"/>
        <v>59.739378644000006</v>
      </c>
      <c r="F55" s="6">
        <f t="shared" si="5"/>
        <v>73735.400015933963</v>
      </c>
      <c r="G55" s="7" t="s">
        <v>55</v>
      </c>
    </row>
    <row r="56" spans="1:7" ht="16.5" customHeight="1" x14ac:dyDescent="0.45">
      <c r="A56" s="2">
        <v>53</v>
      </c>
      <c r="B56" s="3">
        <v>-346.77</v>
      </c>
      <c r="C56" s="3">
        <v>-312.0802923</v>
      </c>
      <c r="D56" s="6">
        <f t="shared" si="3"/>
        <v>-108.7485743</v>
      </c>
      <c r="E56" s="6">
        <f t="shared" si="4"/>
        <v>37710.743110010997</v>
      </c>
      <c r="F56" s="6">
        <f t="shared" si="5"/>
        <v>11826.252412282622</v>
      </c>
      <c r="G56" s="7" t="s">
        <v>56</v>
      </c>
    </row>
    <row r="57" spans="1:7" ht="16.5" customHeight="1" x14ac:dyDescent="0.45">
      <c r="A57" s="2">
        <v>54</v>
      </c>
      <c r="B57" s="3">
        <v>344.91</v>
      </c>
      <c r="C57" s="3">
        <v>283.2865352</v>
      </c>
      <c r="D57" s="6">
        <f t="shared" si="3"/>
        <v>193.18306140000001</v>
      </c>
      <c r="E57" s="6">
        <f t="shared" si="4"/>
        <v>66630.769707474014</v>
      </c>
      <c r="F57" s="6">
        <f t="shared" si="5"/>
        <v>37319.695211876176</v>
      </c>
      <c r="G57" s="7" t="s">
        <v>57</v>
      </c>
    </row>
    <row r="58" spans="1:7" ht="16.5" customHeight="1" x14ac:dyDescent="0.45">
      <c r="A58" s="2">
        <v>55</v>
      </c>
      <c r="B58" s="3">
        <v>-175.29</v>
      </c>
      <c r="C58" s="3">
        <v>-93.940338969999999</v>
      </c>
      <c r="D58" s="6">
        <f t="shared" si="3"/>
        <v>-255.02260580000001</v>
      </c>
      <c r="E58" s="6">
        <f t="shared" si="4"/>
        <v>44702.912570681998</v>
      </c>
      <c r="F58" s="6">
        <f t="shared" si="5"/>
        <v>65036.5294690222</v>
      </c>
      <c r="G58" s="7" t="s">
        <v>58</v>
      </c>
    </row>
    <row r="59" spans="1:7" ht="16.5" customHeight="1" x14ac:dyDescent="0.45">
      <c r="A59" s="2">
        <v>56</v>
      </c>
      <c r="B59" s="3">
        <v>-369.38</v>
      </c>
      <c r="C59" s="3">
        <v>-317.40685120000001</v>
      </c>
      <c r="D59" s="6">
        <f t="shared" si="3"/>
        <v>-162.93033890000001</v>
      </c>
      <c r="E59" s="6">
        <f t="shared" si="4"/>
        <v>60183.208582882005</v>
      </c>
      <c r="F59" s="6">
        <f t="shared" si="5"/>
        <v>26546.295334068855</v>
      </c>
      <c r="G59" s="7" t="s">
        <v>59</v>
      </c>
    </row>
    <row r="60" spans="1:7" ht="16.5" customHeight="1" x14ac:dyDescent="0.45">
      <c r="A60" s="2">
        <v>57</v>
      </c>
      <c r="B60" s="3">
        <v>286.36</v>
      </c>
      <c r="C60" s="3">
        <v>251.12220669999999</v>
      </c>
      <c r="D60" s="6">
        <f t="shared" si="3"/>
        <v>110.4667649</v>
      </c>
      <c r="E60" s="6">
        <f t="shared" si="4"/>
        <v>31633.262796764</v>
      </c>
      <c r="F60" s="6">
        <f t="shared" si="5"/>
        <v>12202.906147471873</v>
      </c>
      <c r="G60" s="7" t="s">
        <v>60</v>
      </c>
    </row>
    <row r="61" spans="1:7" ht="16.5" customHeight="1" x14ac:dyDescent="0.45">
      <c r="A61" s="2">
        <v>58</v>
      </c>
      <c r="B61" s="3">
        <v>208.13</v>
      </c>
      <c r="C61" s="3">
        <v>311.54007230000002</v>
      </c>
      <c r="D61" s="6">
        <f t="shared" si="3"/>
        <v>-324.17966799999999</v>
      </c>
      <c r="E61" s="6">
        <f t="shared" si="4"/>
        <v>-67471.51430083999</v>
      </c>
      <c r="F61" s="6">
        <f t="shared" si="5"/>
        <v>105092.45714459023</v>
      </c>
      <c r="G61" s="7" t="s">
        <v>61</v>
      </c>
    </row>
    <row r="62" spans="1:7" ht="16.5" customHeight="1" x14ac:dyDescent="0.45">
      <c r="A62" s="2">
        <v>59</v>
      </c>
      <c r="B62" s="3">
        <v>-240.61</v>
      </c>
      <c r="C62" s="3">
        <v>-213.0494606</v>
      </c>
      <c r="D62" s="6">
        <f t="shared" si="3"/>
        <v>-86.399383589999999</v>
      </c>
      <c r="E62" s="6">
        <f t="shared" si="4"/>
        <v>20788.555685589901</v>
      </c>
      <c r="F62" s="6">
        <f t="shared" si="5"/>
        <v>7464.8534847319615</v>
      </c>
      <c r="G62" s="7" t="s">
        <v>62</v>
      </c>
    </row>
    <row r="63" spans="1:7" ht="16.5" customHeight="1" x14ac:dyDescent="0.45">
      <c r="A63" s="2">
        <v>60</v>
      </c>
      <c r="B63" s="3">
        <v>237.1</v>
      </c>
      <c r="C63" s="3">
        <v>336.65049240000002</v>
      </c>
      <c r="D63" s="6">
        <f t="shared" si="3"/>
        <v>-312.0802923</v>
      </c>
      <c r="E63" s="6">
        <f t="shared" si="4"/>
        <v>-73994.237304330003</v>
      </c>
      <c r="F63" s="6">
        <f t="shared" si="5"/>
        <v>97394.108842053436</v>
      </c>
      <c r="G63" s="7" t="s">
        <v>63</v>
      </c>
    </row>
    <row r="64" spans="1:7" ht="16.5" customHeight="1" x14ac:dyDescent="0.45">
      <c r="A64" s="2">
        <v>61</v>
      </c>
      <c r="B64" s="3">
        <v>-106.45</v>
      </c>
      <c r="C64" s="3">
        <v>-196.81557190000001</v>
      </c>
      <c r="D64" s="6">
        <f t="shared" si="3"/>
        <v>283.2865352</v>
      </c>
      <c r="E64" s="6">
        <f t="shared" si="4"/>
        <v>-30155.85167204</v>
      </c>
      <c r="F64" s="6">
        <f t="shared" si="5"/>
        <v>80251.261025620843</v>
      </c>
      <c r="G64" s="7" t="s">
        <v>64</v>
      </c>
    </row>
    <row r="65" spans="1:7" ht="16.5" customHeight="1" x14ac:dyDescent="0.45">
      <c r="A65" s="2">
        <v>62</v>
      </c>
      <c r="B65" s="3">
        <v>139.16</v>
      </c>
      <c r="C65" s="3">
        <v>169.12602870000001</v>
      </c>
      <c r="D65" s="6">
        <f t="shared" si="3"/>
        <v>-93.940338969999999</v>
      </c>
      <c r="E65" s="6">
        <f t="shared" si="4"/>
        <v>-13072.7375710652</v>
      </c>
      <c r="F65" s="6">
        <f t="shared" si="5"/>
        <v>8824.7872857985003</v>
      </c>
      <c r="G65" s="7" t="s">
        <v>65</v>
      </c>
    </row>
    <row r="66" spans="1:7" ht="16.5" customHeight="1" x14ac:dyDescent="0.45">
      <c r="A66" s="2">
        <v>63</v>
      </c>
      <c r="B66" s="3">
        <v>60.17</v>
      </c>
      <c r="C66" s="3">
        <v>161.4196115</v>
      </c>
      <c r="D66" s="6">
        <f t="shared" si="3"/>
        <v>-317.40685120000001</v>
      </c>
      <c r="E66" s="6">
        <f t="shared" si="4"/>
        <v>-19098.370236704002</v>
      </c>
      <c r="F66" s="6">
        <f t="shared" si="5"/>
        <v>100747.10918869895</v>
      </c>
      <c r="G66" s="7" t="s">
        <v>66</v>
      </c>
    </row>
    <row r="67" spans="1:7" ht="16.5" customHeight="1" x14ac:dyDescent="0.45">
      <c r="A67" s="2">
        <v>64</v>
      </c>
      <c r="B67" s="3">
        <v>10.35</v>
      </c>
      <c r="C67" s="3">
        <v>-69.755472710000006</v>
      </c>
      <c r="D67" s="6">
        <f t="shared" si="3"/>
        <v>251.12220669999999</v>
      </c>
      <c r="E67" s="6">
        <f t="shared" si="4"/>
        <v>2599.1148393449998</v>
      </c>
      <c r="F67" s="6">
        <f t="shared" si="5"/>
        <v>63062.362697877521</v>
      </c>
      <c r="G67" s="7" t="s">
        <v>67</v>
      </c>
    </row>
    <row r="68" spans="1:7" ht="16.5" customHeight="1" x14ac:dyDescent="0.45">
      <c r="A68" s="2">
        <v>65</v>
      </c>
      <c r="B68" s="3">
        <v>270.55</v>
      </c>
      <c r="C68" s="3">
        <v>171.17183230000001</v>
      </c>
      <c r="D68" s="6">
        <f t="shared" si="3"/>
        <v>311.54007230000002</v>
      </c>
      <c r="E68" s="6">
        <f t="shared" si="4"/>
        <v>84287.166560765007</v>
      </c>
      <c r="F68" s="6">
        <f t="shared" si="5"/>
        <v>97057.216648689238</v>
      </c>
      <c r="G68" s="7" t="s">
        <v>68</v>
      </c>
    </row>
    <row r="69" spans="1:7" ht="16.5" customHeight="1" x14ac:dyDescent="0.45">
      <c r="A69" s="2">
        <v>66</v>
      </c>
      <c r="B69" s="3">
        <v>138.58000000000001</v>
      </c>
      <c r="C69" s="3">
        <v>206.54064740000001</v>
      </c>
      <c r="D69" s="6">
        <f t="shared" si="3"/>
        <v>-213.0494606</v>
      </c>
      <c r="E69" s="6">
        <f t="shared" si="4"/>
        <v>-29524.394249948004</v>
      </c>
      <c r="F69" s="6">
        <f t="shared" si="5"/>
        <v>45390.072661950951</v>
      </c>
      <c r="G69" s="7" t="s">
        <v>69</v>
      </c>
    </row>
    <row r="70" spans="1:7" ht="16.5" customHeight="1" x14ac:dyDescent="0.45">
      <c r="A70" s="2">
        <v>67</v>
      </c>
      <c r="B70" s="3">
        <v>-81.3</v>
      </c>
      <c r="C70" s="3">
        <v>-188.6881406</v>
      </c>
      <c r="D70" s="6">
        <f t="shared" si="3"/>
        <v>336.65049240000002</v>
      </c>
      <c r="E70" s="6">
        <f t="shared" si="4"/>
        <v>-27369.68503212</v>
      </c>
      <c r="F70" s="6">
        <f t="shared" si="5"/>
        <v>113333.55403316247</v>
      </c>
      <c r="G70" s="7" t="s">
        <v>70</v>
      </c>
    </row>
    <row r="71" spans="1:7" ht="16.5" customHeight="1" x14ac:dyDescent="0.45">
      <c r="A71" s="2">
        <v>68</v>
      </c>
      <c r="B71" s="3">
        <v>-219.61</v>
      </c>
      <c r="C71" s="3">
        <v>-156.82780070000001</v>
      </c>
      <c r="D71" s="6">
        <f t="shared" si="3"/>
        <v>-196.81557190000001</v>
      </c>
      <c r="E71" s="6">
        <f t="shared" si="4"/>
        <v>43222.667744959006</v>
      </c>
      <c r="F71" s="6">
        <f t="shared" si="5"/>
        <v>38736.369342324077</v>
      </c>
      <c r="G71" s="7" t="s">
        <v>71</v>
      </c>
    </row>
    <row r="72" spans="1:7" ht="16.5" customHeight="1" x14ac:dyDescent="0.45">
      <c r="A72" s="2">
        <v>69</v>
      </c>
      <c r="B72" s="3">
        <v>-94.25</v>
      </c>
      <c r="C72" s="3">
        <v>-148.1995119</v>
      </c>
      <c r="D72" s="6">
        <f t="shared" si="3"/>
        <v>169.12602870000001</v>
      </c>
      <c r="E72" s="6">
        <f t="shared" si="4"/>
        <v>-15940.128204975001</v>
      </c>
      <c r="F72" s="6">
        <f t="shared" si="5"/>
        <v>28603.613583833227</v>
      </c>
      <c r="G72" s="7" t="s">
        <v>72</v>
      </c>
    </row>
    <row r="73" spans="1:7" ht="16.5" customHeight="1" x14ac:dyDescent="0.45">
      <c r="A73" s="2">
        <v>70</v>
      </c>
      <c r="B73" s="3">
        <v>374</v>
      </c>
      <c r="C73" s="3">
        <v>322.50875810000002</v>
      </c>
      <c r="D73" s="6">
        <f t="shared" si="3"/>
        <v>161.4196115</v>
      </c>
      <c r="E73" s="6">
        <f t="shared" si="4"/>
        <v>60370.934700999998</v>
      </c>
      <c r="F73" s="6">
        <f t="shared" si="5"/>
        <v>26056.290976810931</v>
      </c>
      <c r="G73" s="7" t="s">
        <v>73</v>
      </c>
    </row>
    <row r="74" spans="1:7" ht="16.5" customHeight="1" x14ac:dyDescent="0.45">
      <c r="A74" s="2">
        <v>71</v>
      </c>
      <c r="B74" s="3">
        <v>202.03</v>
      </c>
      <c r="C74" s="3">
        <v>224.28129820000001</v>
      </c>
      <c r="D74" s="6">
        <f t="shared" si="3"/>
        <v>-69.755472710000006</v>
      </c>
      <c r="E74" s="6">
        <f t="shared" si="4"/>
        <v>-14092.698151601302</v>
      </c>
      <c r="F74" s="6">
        <f t="shared" si="5"/>
        <v>4865.8259729955553</v>
      </c>
      <c r="G74" s="7" t="s">
        <v>74</v>
      </c>
    </row>
    <row r="75" spans="1:7" ht="16.5" customHeight="1" x14ac:dyDescent="0.45">
      <c r="A75" s="2">
        <v>72</v>
      </c>
      <c r="B75" s="3">
        <v>75.819999999999993</v>
      </c>
      <c r="C75" s="3">
        <v>21.217897199999999</v>
      </c>
      <c r="D75" s="6">
        <f t="shared" ref="D75:D82" si="6">C68</f>
        <v>171.17183230000001</v>
      </c>
      <c r="E75" s="6">
        <f t="shared" ref="E75:E82" si="7">B75*D75</f>
        <v>12978.248324986</v>
      </c>
      <c r="F75" s="6">
        <f t="shared" ref="F75:F82" si="8">D75^2</f>
        <v>29299.796172939325</v>
      </c>
      <c r="G75" s="7" t="s">
        <v>75</v>
      </c>
    </row>
    <row r="76" spans="1:7" ht="16.5" customHeight="1" x14ac:dyDescent="0.45">
      <c r="A76" s="2">
        <v>73</v>
      </c>
      <c r="B76" s="3">
        <v>250.62</v>
      </c>
      <c r="C76" s="3">
        <v>184.73559890000001</v>
      </c>
      <c r="D76" s="6">
        <f t="shared" si="6"/>
        <v>206.54064740000001</v>
      </c>
      <c r="E76" s="6">
        <f t="shared" si="7"/>
        <v>51763.217051388005</v>
      </c>
      <c r="F76" s="6">
        <f t="shared" si="8"/>
        <v>42659.039028411134</v>
      </c>
      <c r="G76" s="7" t="s">
        <v>76</v>
      </c>
    </row>
    <row r="77" spans="1:7" ht="16.5" customHeight="1" x14ac:dyDescent="0.45">
      <c r="A77" s="2">
        <v>74</v>
      </c>
      <c r="B77" s="3">
        <v>158.08000000000001</v>
      </c>
      <c r="C77" s="3">
        <v>218.26963000000001</v>
      </c>
      <c r="D77" s="6">
        <f t="shared" si="6"/>
        <v>-188.6881406</v>
      </c>
      <c r="E77" s="6">
        <f t="shared" si="7"/>
        <v>-29827.821266048002</v>
      </c>
      <c r="F77" s="6">
        <f t="shared" si="8"/>
        <v>35603.214403085367</v>
      </c>
      <c r="G77" s="7" t="s">
        <v>77</v>
      </c>
    </row>
    <row r="78" spans="1:7" ht="16.5" customHeight="1" x14ac:dyDescent="0.45">
      <c r="A78" s="2">
        <v>75</v>
      </c>
      <c r="B78" s="3">
        <v>-218.66</v>
      </c>
      <c r="C78" s="3">
        <v>-168.63349980000001</v>
      </c>
      <c r="D78" s="6">
        <f t="shared" si="6"/>
        <v>-156.82780070000001</v>
      </c>
      <c r="E78" s="6">
        <f t="shared" si="7"/>
        <v>34291.966901062005</v>
      </c>
      <c r="F78" s="6">
        <f t="shared" si="8"/>
        <v>24594.959072398924</v>
      </c>
      <c r="G78" s="7" t="s">
        <v>78</v>
      </c>
    </row>
    <row r="79" spans="1:7" ht="16.5" customHeight="1" x14ac:dyDescent="0.45">
      <c r="A79" s="2">
        <v>76</v>
      </c>
      <c r="B79" s="3">
        <v>241.82</v>
      </c>
      <c r="C79" s="3">
        <v>289.09416229999999</v>
      </c>
      <c r="D79" s="6">
        <f t="shared" si="6"/>
        <v>-148.1995119</v>
      </c>
      <c r="E79" s="6">
        <f t="shared" si="7"/>
        <v>-35837.605967657997</v>
      </c>
      <c r="F79" s="6">
        <f t="shared" si="8"/>
        <v>21963.095327398241</v>
      </c>
      <c r="G79" s="7" t="s">
        <v>79</v>
      </c>
    </row>
    <row r="80" spans="1:7" ht="16.5" customHeight="1" x14ac:dyDescent="0.45">
      <c r="A80" s="2">
        <v>77</v>
      </c>
      <c r="B80" s="3">
        <v>182.97</v>
      </c>
      <c r="C80" s="3">
        <v>80.092931239999999</v>
      </c>
      <c r="D80" s="6">
        <f t="shared" si="6"/>
        <v>322.50875810000002</v>
      </c>
      <c r="E80" s="6">
        <f t="shared" si="7"/>
        <v>59009.427469557006</v>
      </c>
      <c r="F80" s="6">
        <f t="shared" si="8"/>
        <v>104011.89905120432</v>
      </c>
      <c r="G80" s="7" t="s">
        <v>80</v>
      </c>
    </row>
    <row r="81" spans="1:7" ht="16.5" customHeight="1" x14ac:dyDescent="0.45">
      <c r="A81" s="2">
        <v>78</v>
      </c>
      <c r="B81" s="3">
        <v>61.82</v>
      </c>
      <c r="C81" s="3">
        <v>-9.7234913249999995</v>
      </c>
      <c r="D81" s="6">
        <f t="shared" si="6"/>
        <v>224.28129820000001</v>
      </c>
      <c r="E81" s="6">
        <f t="shared" si="7"/>
        <v>13865.069854724001</v>
      </c>
      <c r="F81" s="6">
        <f t="shared" si="8"/>
        <v>50302.100722277326</v>
      </c>
      <c r="G81" s="7" t="s">
        <v>81</v>
      </c>
    </row>
    <row r="82" spans="1:7" ht="16.5" customHeight="1" x14ac:dyDescent="0.45">
      <c r="A82" s="2">
        <v>79</v>
      </c>
      <c r="B82" s="3">
        <v>126.1</v>
      </c>
      <c r="C82" s="3">
        <v>119.331703</v>
      </c>
      <c r="D82" s="6">
        <f t="shared" si="6"/>
        <v>21.217897199999999</v>
      </c>
      <c r="E82" s="6">
        <f t="shared" si="7"/>
        <v>2675.57683692</v>
      </c>
      <c r="F82" s="6">
        <f t="shared" si="8"/>
        <v>450.19916158976781</v>
      </c>
      <c r="G82" s="7" t="s">
        <v>82</v>
      </c>
    </row>
    <row r="83" spans="1:7" ht="6" customHeight="1" x14ac:dyDescent="0.45">
      <c r="A83" s="8"/>
      <c r="B83" s="8"/>
      <c r="C83" s="8"/>
      <c r="D83" s="8"/>
      <c r="E83" s="8"/>
      <c r="F83" s="8"/>
      <c r="G83" s="8"/>
    </row>
    <row r="84" spans="1:7" ht="21.75" customHeight="1" x14ac:dyDescent="0.45">
      <c r="A84" s="21" t="s">
        <v>83</v>
      </c>
      <c r="B84" s="21"/>
      <c r="C84" s="21"/>
      <c r="D84" s="21"/>
      <c r="E84" s="9">
        <f>-SUM(E11:E82)</f>
        <v>-724161.59461288189</v>
      </c>
      <c r="F84" s="9">
        <f>SUM(F11:F82)</f>
        <v>2239428.4143552422</v>
      </c>
      <c r="G84" s="8"/>
    </row>
    <row r="85" spans="1:7" ht="19.5" customHeight="1" x14ac:dyDescent="0.45">
      <c r="A85" s="22" t="s">
        <v>84</v>
      </c>
      <c r="B85" s="22"/>
      <c r="C85" s="22"/>
      <c r="D85" s="22"/>
      <c r="E85" s="23" t="s">
        <v>85</v>
      </c>
      <c r="F85" s="23"/>
      <c r="G85" s="23"/>
    </row>
    <row r="86" spans="1:7" ht="30" customHeight="1" x14ac:dyDescent="0.45">
      <c r="A86" s="16" t="s">
        <v>86</v>
      </c>
      <c r="B86" s="16"/>
      <c r="C86" s="17">
        <f>E84/F84</f>
        <v>-0.32336894091851404</v>
      </c>
      <c r="D86" s="17"/>
      <c r="E86" s="18" t="s">
        <v>106</v>
      </c>
      <c r="F86" s="18"/>
      <c r="G86" s="18"/>
    </row>
  </sheetData>
  <mergeCells count="8">
    <mergeCell ref="A86:B86"/>
    <mergeCell ref="C86:D86"/>
    <mergeCell ref="E86:G86"/>
    <mergeCell ref="A1:G1"/>
    <mergeCell ref="A2:G2"/>
    <mergeCell ref="A84:D84"/>
    <mergeCell ref="A85:D85"/>
    <mergeCell ref="E85:G8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/>
  </sheetViews>
  <sheetFormatPr defaultColWidth="8.6640625" defaultRowHeight="14.25" x14ac:dyDescent="0.45"/>
  <cols>
    <col min="1" max="1" width="32" customWidth="1"/>
    <col min="2" max="2" width="22" customWidth="1"/>
    <col min="3" max="3" width="38" customWidth="1"/>
  </cols>
  <sheetData>
    <row r="1" spans="1:3" ht="31.5" customHeight="1" x14ac:dyDescent="0.45">
      <c r="A1" s="19" t="s">
        <v>87</v>
      </c>
      <c r="B1" s="19"/>
      <c r="C1" s="19"/>
    </row>
    <row r="2" spans="1:3" ht="21.75" customHeight="1" x14ac:dyDescent="0.45">
      <c r="A2" s="10" t="s">
        <v>88</v>
      </c>
      <c r="B2" s="10" t="s">
        <v>89</v>
      </c>
      <c r="C2" s="10" t="s">
        <v>90</v>
      </c>
    </row>
    <row r="3" spans="1:3" ht="21.75" customHeight="1" x14ac:dyDescent="0.45">
      <c r="A3" s="11" t="s">
        <v>91</v>
      </c>
      <c r="B3" s="12" t="s">
        <v>92</v>
      </c>
      <c r="C3" s="13" t="s">
        <v>93</v>
      </c>
    </row>
    <row r="4" spans="1:3" ht="21.75" customHeight="1" x14ac:dyDescent="0.45">
      <c r="A4" s="11" t="s">
        <v>94</v>
      </c>
      <c r="B4" s="12" t="s">
        <v>95</v>
      </c>
      <c r="C4" s="13" t="s">
        <v>96</v>
      </c>
    </row>
    <row r="5" spans="1:3" ht="21.75" customHeight="1" x14ac:dyDescent="0.45">
      <c r="A5" s="11" t="s">
        <v>97</v>
      </c>
      <c r="B5" s="12" t="s">
        <v>98</v>
      </c>
      <c r="C5" s="13" t="s">
        <v>99</v>
      </c>
    </row>
    <row r="6" spans="1:3" ht="21.75" customHeight="1" x14ac:dyDescent="0.45">
      <c r="A6" s="11" t="s">
        <v>100</v>
      </c>
      <c r="B6" s="12">
        <f>'Perhitungan D1SP'!E84</f>
        <v>-724161.59461288189</v>
      </c>
      <c r="C6" s="13" t="s">
        <v>101</v>
      </c>
    </row>
    <row r="7" spans="1:3" ht="21.75" customHeight="1" x14ac:dyDescent="0.45">
      <c r="A7" s="11" t="s">
        <v>102</v>
      </c>
      <c r="B7" s="12">
        <f>'Perhitungan D1SP'!F84</f>
        <v>2239428.4143552422</v>
      </c>
      <c r="C7" s="13" t="s">
        <v>103</v>
      </c>
    </row>
    <row r="8" spans="1:3" ht="21.75" customHeight="1" x14ac:dyDescent="0.45">
      <c r="A8" s="14" t="s">
        <v>104</v>
      </c>
      <c r="B8" s="15">
        <f>'Perhitungan D1SP'!C86</f>
        <v>-0.32336894091851404</v>
      </c>
      <c r="C8" s="14" t="s">
        <v>105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Perhitungan D1SP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Putri fradila</cp:lastModifiedBy>
  <cp:revision>0</cp:revision>
  <dcterms:created xsi:type="dcterms:W3CDTF">2026-06-02T13:59:04Z</dcterms:created>
  <dcterms:modified xsi:type="dcterms:W3CDTF">2026-06-30T04:39:16Z</dcterms:modified>
  <dc:language>en-US</dc:language>
</cp:coreProperties>
</file>