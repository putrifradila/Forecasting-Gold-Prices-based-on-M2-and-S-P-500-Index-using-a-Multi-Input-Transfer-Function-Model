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sidual" sheetId="1" state="visible" r:id="rId3"/>
    <sheet name="Uji KS" sheetId="2" state="visible" r:id="rId4"/>
    <sheet name="Petunj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<sst xmlns="http://schemas.openxmlformats.org/spreadsheetml/2006/main" count="53" uniqueCount="51">
  <si>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DATA RESIDUAL</t>
  </si>
  <si>
    <t xml:space="preserve">No</t>
  </si>
  <si>
    <t xml:space="preserve">Residual (e)</t>
  </si>
  <si>
    <t xml:space="preserve">UJI NORMALITAS KOLMOGOROV-SMIRNOV</t>
  </si>
  <si>
    <t xml:space="preserve">N (Jumlah Data)</t>
  </si>
  <si>
    <t xml:space="preserve">Rata-rata (μ)</t>
  </si>
  <si>
    <t xml:space="preserve">Std. Deviasi (σ)</t>
  </si>
  <si>
    <t xml:space="preserve">X(i) Terurut</t>
  </si>
  <si>
    <t xml:space="preserve">Z = (Xi-μ)/σ</t>
  </si>
  <si>
    <t xml:space="preserve">F(Z) = NORMSDIST</t>
  </si>
  <si>
    <t xml:space="preserve">Fn(x) = i/n</t>
  </si>
  <si>
    <t xml:space="preserve">Fn(x) = (i-1)/n</t>
  </si>
  <si>
    <t xml:space="preserve">|i/n − F(Z)|</t>
  </si>
  <si>
    <t xml:space="preserve">|(i-1)/n − F(Z)|</t>
  </si>
  <si>
    <t xml:space="preserve">D = MAX</t>
  </si>
  <si>
    <t xml:space="preserve">RINGKASAN HASIL UJI</t>
  </si>
  <si>
    <t xml:space="preserve">D Hitung  (nilai maks kolom D)</t>
  </si>
  <si>
    <t xml:space="preserve">D Tabel α = 0,05  (1,36 / √n)</t>
  </si>
  <si>
    <t xml:space="preserve">D Tabel α = 0,01  (1,628 / √n)</t>
  </si>
  <si>
    <t xml:space="preserve">Keputusan α = 0,05</t>
  </si>
  <si>
    <t xml:space="preserve">Keputusan α = 0,01</t>
  </si>
  <si>
    <t xml:space="preserve">PETUNJUK RUMUS – UJI NORMALITAS KS</t>
  </si>
  <si>
    <t xml:space="preserve">KOLOM</t>
  </si>
  <si>
    <t xml:space="preserve">RUMUS / KETERANGAN</t>
  </si>
  <si>
    <t xml:space="preserve">SMALL(range, i) — urutkan data terkecil ke terbesar</t>
  </si>
  <si>
    <t xml:space="preserve">Z = (X-mu)/sigma</t>
  </si>
  <si>
    <t xml:space="preserve">(X(i) - mu) / sigma — standardisasi ke distribusi normal</t>
  </si>
  <si>
    <t xml:space="preserve">F(Z) Teoritis</t>
  </si>
  <si>
    <t xml:space="preserve">NORMSDIST(Z) — nilai CDF distribusi normal standar</t>
  </si>
  <si>
    <t xml:space="preserve">i/n  [Fn atas]</t>
  </si>
  <si>
    <t xml:space="preserve">i/n — proporsi kumulatif empiris batas atas</t>
  </si>
  <si>
    <t xml:space="preserve">(i-1)/n  [Fn bawah]</t>
  </si>
  <si>
    <t xml:space="preserve">(i-1)/n — proporsi kumulatif empiris batas bawah</t>
  </si>
  <si>
    <t xml:space="preserve">|i/n - F(Z)|</t>
  </si>
  <si>
    <t xml:space="preserve">ABS(i/n - F(Z)) — selisih absolut batas atas</t>
  </si>
  <si>
    <t xml:space="preserve">|(i-1)/n - F(Z)|</t>
  </si>
  <si>
    <t xml:space="preserve">ABS((i-1)/n - F(Z)) — selisih absolut batas bawah</t>
  </si>
  <si>
    <t xml:space="preserve">D per baris</t>
  </si>
  <si>
    <t xml:space="preserve">MAX(|i/n-F(Z)|, |(i-1)/n-F(Z)|) — nilai D tiap observasi</t>
  </si>
  <si>
    <t xml:space="preserve">D Hitung</t>
  </si>
  <si>
    <t xml:space="preserve">MAX(kolom D) — statistik uji KS terbesar</t>
  </si>
  <si>
    <t xml:space="preserve">D Tabel alpha=0,05</t>
  </si>
  <si>
    <t xml:space="preserve">1,36 / SQRT(n) — nilai kritis pada signifikansi 5%</t>
  </si>
  <si>
    <t xml:space="preserve">D Tabel alpha=0,01</t>
  </si>
  <si>
    <t xml:space="preserve">1,628 / SQRT(n) — nilai kritis pada signifikansi 1%</t>
  </si>
  <si>
    <t xml:space="preserve">Keputusan</t>
  </si>
  <si>
    <t xml:space="preserve">Jika D hitung &lt;= D tabel maka data BERDISTRIBUSI NORMAL</t>
  </si>
  <si>
    <t xml:space="preserve">Warna BIRU</t>
  </si>
  <si>
    <t xml:space="preserve">Input / data asli yang dimasukkan pengguna</t>
  </si>
  <si>
    <t xml:space="preserve">Warna HITAM</t>
  </si>
  <si>
    <t xml:space="preserve">Hasil perhitungan formula Excel (otomatis)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</si>
</sst>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"/>
    <numFmt numFmtId="167" formatCode="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DEEAF1"/>
      </patternFill>
    </fill>
    <fill>
      <patternFill patternType="solid">
        <fgColor rgb="FFDEEAF1"/>
        <bgColor rgb="FFEBF3FA"/>
      </patternFill>
    </fill>
    <fill>
      <patternFill patternType="solid">
        <fgColor rgb="FFFFF2CC"/>
        <bgColor rgb="FFEBF3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4" t="n">
        <v>1</v>
      </c>
      <c r="B3" s="5" t="n">
        <v>-147.511</v>
      </c>
    </row>
    <row r="4" customFormat="false" ht="15" hidden="false" customHeight="false" outlineLevel="0" collapsed="false">
      <c r="A4" s="6" t="n">
        <v>2</v>
      </c>
      <c r="B4" s="7" t="n">
        <v>-110.491</v>
      </c>
    </row>
    <row r="5" customFormat="false" ht="15" hidden="false" customHeight="false" outlineLevel="0" collapsed="false">
      <c r="A5" s="4" t="n">
        <v>3</v>
      </c>
      <c r="B5" s="5" t="n">
        <v>-30.351</v>
      </c>
    </row>
    <row r="6" customFormat="false" ht="15" hidden="false" customHeight="false" outlineLevel="0" collapsed="false">
      <c r="A6" s="6" t="n">
        <v>4</v>
      </c>
      <c r="B6" s="7" t="n">
        <v>19.689</v>
      </c>
    </row>
    <row r="7" customFormat="false" ht="15" hidden="false" customHeight="false" outlineLevel="0" collapsed="false">
      <c r="A7" s="4" t="n">
        <v>5</v>
      </c>
      <c r="B7" s="5" t="n">
        <v>-24.431</v>
      </c>
    </row>
    <row r="8" customFormat="false" ht="15" hidden="false" customHeight="false" outlineLevel="0" collapsed="false">
      <c r="A8" s="6" t="n">
        <v>6</v>
      </c>
      <c r="B8" s="7" t="n">
        <v>60.389</v>
      </c>
    </row>
    <row r="9" customFormat="false" ht="15" hidden="false" customHeight="false" outlineLevel="0" collapsed="false">
      <c r="A9" s="4" t="n">
        <v>7</v>
      </c>
      <c r="B9" s="5" t="n">
        <v>47.699</v>
      </c>
    </row>
    <row r="10" customFormat="false" ht="15" hidden="false" customHeight="false" outlineLevel="0" collapsed="false">
      <c r="A10" s="6" t="n">
        <v>8</v>
      </c>
      <c r="B10" s="7" t="n">
        <v>17.638</v>
      </c>
    </row>
    <row r="11" customFormat="false" ht="15" hidden="false" customHeight="false" outlineLevel="0" collapsed="false">
      <c r="A11" s="4" t="n">
        <v>9</v>
      </c>
      <c r="B11" s="5" t="n">
        <v>-207.781</v>
      </c>
    </row>
    <row r="12" customFormat="false" ht="15" hidden="false" customHeight="false" outlineLevel="0" collapsed="false">
      <c r="A12" s="6" t="n">
        <v>10</v>
      </c>
      <c r="B12" s="7" t="n">
        <v>19.687</v>
      </c>
    </row>
    <row r="13" customFormat="false" ht="15" hidden="false" customHeight="false" outlineLevel="0" collapsed="false">
      <c r="A13" s="4" t="n">
        <v>11</v>
      </c>
      <c r="B13" s="5" t="n">
        <v>-296.551</v>
      </c>
    </row>
    <row r="14" customFormat="false" ht="15" hidden="false" customHeight="false" outlineLevel="0" collapsed="false">
      <c r="A14" s="6" t="n">
        <v>12</v>
      </c>
      <c r="B14" s="7" t="n">
        <v>166.793</v>
      </c>
    </row>
    <row r="15" customFormat="false" ht="15" hidden="false" customHeight="false" outlineLevel="0" collapsed="false">
      <c r="A15" s="4" t="n">
        <v>13</v>
      </c>
      <c r="B15" s="5" t="n">
        <v>25.375</v>
      </c>
    </row>
    <row r="16" customFormat="false" ht="15" hidden="false" customHeight="false" outlineLevel="0" collapsed="false">
      <c r="A16" s="6" t="n">
        <v>14</v>
      </c>
      <c r="B16" s="7" t="n">
        <v>-1.431</v>
      </c>
    </row>
    <row r="17" customFormat="false" ht="15" hidden="false" customHeight="false" outlineLevel="0" collapsed="false">
      <c r="A17" s="4" t="n">
        <v>15</v>
      </c>
      <c r="B17" s="5" t="n">
        <v>68.325</v>
      </c>
    </row>
    <row r="18" customFormat="false" ht="15" hidden="false" customHeight="false" outlineLevel="0" collapsed="false">
      <c r="A18" s="6" t="n">
        <v>16</v>
      </c>
      <c r="B18" s="7" t="n">
        <v>-165.638</v>
      </c>
    </row>
    <row r="19" customFormat="false" ht="15" hidden="false" customHeight="false" outlineLevel="0" collapsed="false">
      <c r="A19" s="4" t="n">
        <v>17</v>
      </c>
      <c r="B19" s="5" t="n">
        <v>145.948</v>
      </c>
    </row>
    <row r="20" customFormat="false" ht="15" hidden="false" customHeight="false" outlineLevel="0" collapsed="false">
      <c r="A20" s="6" t="n">
        <v>18</v>
      </c>
      <c r="B20" s="7" t="n">
        <v>94.805</v>
      </c>
    </row>
    <row r="21" customFormat="false" ht="15" hidden="false" customHeight="false" outlineLevel="0" collapsed="false">
      <c r="A21" s="4" t="n">
        <v>19</v>
      </c>
      <c r="B21" s="5" t="n">
        <v>-144.161</v>
      </c>
    </row>
    <row r="22" customFormat="false" ht="15" hidden="false" customHeight="false" outlineLevel="0" collapsed="false">
      <c r="A22" s="6" t="n">
        <v>20</v>
      </c>
      <c r="B22" s="7" t="n">
        <v>4.73</v>
      </c>
    </row>
    <row r="23" customFormat="false" ht="15" hidden="false" customHeight="false" outlineLevel="0" collapsed="false">
      <c r="A23" s="4" t="n">
        <v>21</v>
      </c>
      <c r="B23" s="5" t="n">
        <v>23.741</v>
      </c>
    </row>
    <row r="24" customFormat="false" ht="15" hidden="false" customHeight="false" outlineLevel="0" collapsed="false">
      <c r="A24" s="6" t="n">
        <v>22</v>
      </c>
      <c r="B24" s="7" t="n">
        <v>44.115</v>
      </c>
    </row>
    <row r="25" customFormat="false" ht="15" hidden="false" customHeight="false" outlineLevel="0" collapsed="false">
      <c r="A25" s="4" t="n">
        <v>23</v>
      </c>
      <c r="B25" s="5" t="n">
        <v>105.056</v>
      </c>
    </row>
    <row r="26" customFormat="false" ht="15" hidden="false" customHeight="false" outlineLevel="0" collapsed="false">
      <c r="A26" s="6" t="n">
        <v>24</v>
      </c>
      <c r="B26" s="7" t="n">
        <v>-89.303</v>
      </c>
    </row>
    <row r="27" customFormat="false" ht="15" hidden="false" customHeight="false" outlineLevel="0" collapsed="false">
      <c r="A27" s="4" t="n">
        <v>25</v>
      </c>
      <c r="B27" s="5" t="n">
        <v>-339.044</v>
      </c>
    </row>
    <row r="28" customFormat="false" ht="15" hidden="false" customHeight="false" outlineLevel="0" collapsed="false">
      <c r="A28" s="6" t="n">
        <v>26</v>
      </c>
      <c r="B28" s="7" t="n">
        <v>-361.219</v>
      </c>
    </row>
    <row r="29" customFormat="false" ht="15" hidden="false" customHeight="false" outlineLevel="0" collapsed="false">
      <c r="A29" s="4" t="n">
        <v>27</v>
      </c>
      <c r="B29" s="5" t="n">
        <v>288.802</v>
      </c>
    </row>
    <row r="30" customFormat="false" ht="15" hidden="false" customHeight="false" outlineLevel="0" collapsed="false">
      <c r="A30" s="6" t="n">
        <v>28</v>
      </c>
      <c r="B30" s="7" t="n">
        <v>86.783</v>
      </c>
    </row>
    <row r="31" customFormat="false" ht="15" hidden="false" customHeight="false" outlineLevel="0" collapsed="false">
      <c r="A31" s="4" t="n">
        <v>29</v>
      </c>
      <c r="B31" s="5" t="n">
        <v>4.378</v>
      </c>
    </row>
    <row r="32" customFormat="false" ht="15" hidden="false" customHeight="false" outlineLevel="0" collapsed="false">
      <c r="A32" s="6" t="n">
        <v>30</v>
      </c>
      <c r="B32" s="7" t="n">
        <v>99.791</v>
      </c>
    </row>
    <row r="33" customFormat="false" ht="15" hidden="false" customHeight="false" outlineLevel="0" collapsed="false">
      <c r="A33" s="4" t="n">
        <v>31</v>
      </c>
      <c r="B33" s="5" t="n">
        <v>220.143</v>
      </c>
    </row>
    <row r="34" customFormat="false" ht="15" hidden="false" customHeight="false" outlineLevel="0" collapsed="false">
      <c r="A34" s="6" t="n">
        <v>32</v>
      </c>
      <c r="B34" s="7" t="n">
        <v>-66.7</v>
      </c>
    </row>
    <row r="35" customFormat="false" ht="15" hidden="false" customHeight="false" outlineLevel="0" collapsed="false">
      <c r="A35" s="4" t="n">
        <v>33</v>
      </c>
      <c r="B35" s="5" t="n">
        <v>-15.357</v>
      </c>
    </row>
    <row r="36" customFormat="false" ht="15" hidden="false" customHeight="false" outlineLevel="0" collapsed="false">
      <c r="A36" s="6" t="n">
        <v>34</v>
      </c>
      <c r="B36" s="7" t="n">
        <v>222.023</v>
      </c>
    </row>
    <row r="37" customFormat="false" ht="15" hidden="false" customHeight="false" outlineLevel="0" collapsed="false">
      <c r="A37" s="4" t="n">
        <v>35</v>
      </c>
      <c r="B37" s="5" t="n">
        <v>69.229</v>
      </c>
    </row>
    <row r="38" customFormat="false" ht="15" hidden="false" customHeight="false" outlineLevel="0" collapsed="false">
      <c r="A38" s="6" t="n">
        <v>36</v>
      </c>
      <c r="B38" s="7" t="n">
        <v>-80.758</v>
      </c>
    </row>
    <row r="39" customFormat="false" ht="15" hidden="false" customHeight="false" outlineLevel="0" collapsed="false">
      <c r="A39" s="4" t="n">
        <v>37</v>
      </c>
      <c r="B39" s="5" t="n">
        <v>27.547</v>
      </c>
    </row>
    <row r="40" customFormat="false" ht="15" hidden="false" customHeight="false" outlineLevel="0" collapsed="false">
      <c r="A40" s="6" t="n">
        <v>38</v>
      </c>
      <c r="B40" s="7" t="n">
        <v>53.986</v>
      </c>
    </row>
    <row r="41" customFormat="false" ht="15" hidden="false" customHeight="false" outlineLevel="0" collapsed="false">
      <c r="A41" s="4" t="n">
        <v>39</v>
      </c>
      <c r="B41" s="5" t="n">
        <v>192.026</v>
      </c>
    </row>
    <row r="42" customFormat="false" ht="15" hidden="false" customHeight="false" outlineLevel="0" collapsed="false">
      <c r="A42" s="6" t="n">
        <v>40</v>
      </c>
      <c r="B42" s="7" t="n">
        <v>-9.692</v>
      </c>
    </row>
    <row r="43" customFormat="false" ht="15" hidden="false" customHeight="false" outlineLevel="0" collapsed="false">
      <c r="A43" s="4" t="n">
        <v>41</v>
      </c>
      <c r="B43" s="5" t="n">
        <v>-14.964</v>
      </c>
    </row>
    <row r="44" customFormat="false" ht="15" hidden="false" customHeight="false" outlineLevel="0" collapsed="false">
      <c r="A44" s="6" t="n">
        <v>42</v>
      </c>
      <c r="B44" s="7" t="n">
        <v>38.146</v>
      </c>
    </row>
    <row r="45" customFormat="false" ht="15" hidden="false" customHeight="false" outlineLevel="0" collapsed="false">
      <c r="A45" s="4" t="n">
        <v>43</v>
      </c>
      <c r="B45" s="5" t="n">
        <v>115.65</v>
      </c>
    </row>
    <row r="46" customFormat="false" ht="15" hidden="false" customHeight="false" outlineLevel="0" collapsed="false">
      <c r="A46" s="6" t="n">
        <v>44</v>
      </c>
      <c r="B46" s="7" t="n">
        <v>-261.458</v>
      </c>
    </row>
    <row r="47" customFormat="false" ht="15" hidden="false" customHeight="false" outlineLevel="0" collapsed="false">
      <c r="A47" s="4" t="n">
        <v>45</v>
      </c>
      <c r="B47" s="5" t="n">
        <v>243.088</v>
      </c>
    </row>
    <row r="48" customFormat="false" ht="15" hidden="false" customHeight="false" outlineLevel="0" collapsed="false">
      <c r="A48" s="6" t="n">
        <v>46</v>
      </c>
      <c r="B48" s="7" t="n">
        <v>-137.165</v>
      </c>
    </row>
    <row r="49" customFormat="false" ht="15" hidden="false" customHeight="false" outlineLevel="0" collapsed="false">
      <c r="A49" s="4" t="n">
        <v>47</v>
      </c>
      <c r="B49" s="5" t="n">
        <v>164.741</v>
      </c>
    </row>
    <row r="50" customFormat="false" ht="15" hidden="false" customHeight="false" outlineLevel="0" collapsed="false">
      <c r="A50" s="6" t="n">
        <v>48</v>
      </c>
      <c r="B50" s="7" t="n">
        <v>-283.388</v>
      </c>
    </row>
    <row r="51" customFormat="false" ht="15" hidden="false" customHeight="false" outlineLevel="0" collapsed="false">
      <c r="A51" s="4" t="n">
        <v>49</v>
      </c>
      <c r="B51" s="5" t="n">
        <v>-191.309</v>
      </c>
    </row>
    <row r="52" customFormat="false" ht="15" hidden="false" customHeight="false" outlineLevel="0" collapsed="false">
      <c r="A52" s="6" t="n">
        <v>50</v>
      </c>
      <c r="B52" s="7" t="n">
        <v>82.048</v>
      </c>
    </row>
    <row r="53" customFormat="false" ht="15" hidden="false" customHeight="false" outlineLevel="0" collapsed="false">
      <c r="A53" s="4" t="n">
        <v>51</v>
      </c>
      <c r="B53" s="5" t="n">
        <v>-352.609</v>
      </c>
    </row>
    <row r="54" customFormat="false" ht="15" hidden="false" customHeight="false" outlineLevel="0" collapsed="false">
      <c r="A54" s="6" t="n">
        <v>52</v>
      </c>
      <c r="B54" s="7" t="n">
        <v>-114.853</v>
      </c>
    </row>
    <row r="55" customFormat="false" ht="15" hidden="false" customHeight="false" outlineLevel="0" collapsed="false">
      <c r="A55" s="4" t="n">
        <v>53</v>
      </c>
      <c r="B55" s="5" t="n">
        <v>-340.547</v>
      </c>
    </row>
    <row r="56" customFormat="false" ht="15" hidden="false" customHeight="false" outlineLevel="0" collapsed="false">
      <c r="A56" s="6" t="n">
        <v>54</v>
      </c>
      <c r="B56" s="7" t="n">
        <v>254.829</v>
      </c>
    </row>
    <row r="57" customFormat="false" ht="15" hidden="false" customHeight="false" outlineLevel="0" collapsed="false">
      <c r="A57" s="4" t="n">
        <v>55</v>
      </c>
      <c r="B57" s="5" t="n">
        <v>-122.423</v>
      </c>
    </row>
    <row r="58" customFormat="false" ht="15" hidden="false" customHeight="false" outlineLevel="0" collapsed="false">
      <c r="A58" s="6" t="n">
        <v>56</v>
      </c>
      <c r="B58" s="7" t="n">
        <v>-345.885</v>
      </c>
    </row>
    <row r="59" customFormat="false" ht="15" hidden="false" customHeight="false" outlineLevel="0" collapsed="false">
      <c r="A59" s="4" t="n">
        <v>57</v>
      </c>
      <c r="B59" s="5" t="n">
        <v>222.657</v>
      </c>
    </row>
    <row r="60" customFormat="false" ht="15" hidden="false" customHeight="false" outlineLevel="0" collapsed="false">
      <c r="A60" s="6" t="n">
        <v>58</v>
      </c>
      <c r="B60" s="7" t="n">
        <v>283.077</v>
      </c>
    </row>
    <row r="61" customFormat="false" ht="15" hidden="false" customHeight="false" outlineLevel="0" collapsed="false">
      <c r="A61" s="4" t="n">
        <v>59</v>
      </c>
      <c r="B61" s="5" t="n">
        <v>-241.504</v>
      </c>
    </row>
    <row r="62" customFormat="false" ht="15" hidden="false" customHeight="false" outlineLevel="0" collapsed="false">
      <c r="A62" s="6" t="n">
        <v>60</v>
      </c>
      <c r="B62" s="7" t="n">
        <v>308.2</v>
      </c>
    </row>
    <row r="63" customFormat="false" ht="15" hidden="false" customHeight="false" outlineLevel="0" collapsed="false">
      <c r="A63" s="4" t="n">
        <v>61</v>
      </c>
      <c r="B63" s="5" t="n">
        <v>-225.268</v>
      </c>
    </row>
    <row r="64" customFormat="false" ht="15" hidden="false" customHeight="false" outlineLevel="0" collapsed="false">
      <c r="A64" s="6" t="n">
        <v>62</v>
      </c>
      <c r="B64" s="7" t="n">
        <v>140.681</v>
      </c>
    </row>
    <row r="65" customFormat="false" ht="15" hidden="false" customHeight="false" outlineLevel="0" collapsed="false">
      <c r="A65" s="4" t="n">
        <v>63</v>
      </c>
      <c r="B65" s="5" t="n">
        <v>132.973</v>
      </c>
    </row>
    <row r="66" customFormat="false" ht="15" hidden="false" customHeight="false" outlineLevel="0" collapsed="false">
      <c r="A66" s="6" t="n">
        <v>64</v>
      </c>
      <c r="B66" s="7" t="n">
        <v>-98.206</v>
      </c>
    </row>
    <row r="67" customFormat="false" ht="15" hidden="false" customHeight="false" outlineLevel="0" collapsed="false">
      <c r="A67" s="4" t="n">
        <v>65</v>
      </c>
      <c r="B67" s="5" t="n">
        <v>142.721</v>
      </c>
    </row>
    <row r="68" customFormat="false" ht="15" hidden="false" customHeight="false" outlineLevel="0" collapsed="false">
      <c r="A68" s="6" t="n">
        <v>66</v>
      </c>
      <c r="B68" s="7" t="n">
        <v>178.086</v>
      </c>
    </row>
    <row r="69" customFormat="false" ht="15" hidden="false" customHeight="false" outlineLevel="0" collapsed="false">
      <c r="A69" s="4" t="n">
        <v>67</v>
      </c>
      <c r="B69" s="5" t="n">
        <v>-217.143</v>
      </c>
    </row>
    <row r="70" customFormat="false" ht="15" hidden="false" customHeight="false" outlineLevel="0" collapsed="false">
      <c r="A70" s="6" t="n">
        <v>68</v>
      </c>
      <c r="B70" s="7" t="n">
        <v>-185.283</v>
      </c>
    </row>
    <row r="71" customFormat="false" ht="15" hidden="false" customHeight="false" outlineLevel="0" collapsed="false">
      <c r="A71" s="4" t="n">
        <v>69</v>
      </c>
      <c r="B71" s="5" t="n">
        <v>-176.657</v>
      </c>
    </row>
    <row r="72" customFormat="false" ht="15" hidden="false" customHeight="false" outlineLevel="0" collapsed="false">
      <c r="A72" s="6" t="n">
        <v>70</v>
      </c>
      <c r="B72" s="7" t="n">
        <v>294.052</v>
      </c>
    </row>
    <row r="73" customFormat="false" ht="15" hidden="false" customHeight="false" outlineLevel="0" collapsed="false">
      <c r="A73" s="4" t="n">
        <v>71</v>
      </c>
      <c r="B73" s="5" t="n">
        <v>195.826</v>
      </c>
    </row>
    <row r="74" customFormat="false" ht="15" hidden="false" customHeight="false" outlineLevel="0" collapsed="false">
      <c r="A74" s="6" t="n">
        <v>72</v>
      </c>
      <c r="B74" s="7" t="n">
        <v>-7.237</v>
      </c>
    </row>
    <row r="75" customFormat="false" ht="15" hidden="false" customHeight="false" outlineLevel="0" collapsed="false">
      <c r="A75" s="4" t="n">
        <v>73</v>
      </c>
      <c r="B75" s="5" t="n">
        <v>156.282</v>
      </c>
    </row>
    <row r="76" customFormat="false" ht="15" hidden="false" customHeight="false" outlineLevel="0" collapsed="false">
      <c r="A76" s="6" t="n">
        <v>74</v>
      </c>
      <c r="B76" s="7" t="n">
        <v>189.815</v>
      </c>
    </row>
    <row r="77" customFormat="false" ht="15" hidden="false" customHeight="false" outlineLevel="0" collapsed="false">
      <c r="A77" s="4" t="n">
        <v>75</v>
      </c>
      <c r="B77" s="5" t="n">
        <v>-197.088</v>
      </c>
    </row>
    <row r="78" customFormat="false" ht="15" hidden="false" customHeight="false" outlineLevel="0" collapsed="false">
      <c r="A78" s="6" t="n">
        <v>76</v>
      </c>
      <c r="B78" s="7" t="n">
        <v>260.641</v>
      </c>
    </row>
    <row r="79" customFormat="false" ht="15" hidden="false" customHeight="false" outlineLevel="0" collapsed="false">
      <c r="A79" s="4" t="n">
        <v>77</v>
      </c>
      <c r="B79" s="5" t="n">
        <v>51.64</v>
      </c>
    </row>
    <row r="80" customFormat="false" ht="15" hidden="false" customHeight="false" outlineLevel="0" collapsed="false">
      <c r="A80" s="6" t="n">
        <v>78</v>
      </c>
      <c r="B80" s="7" t="n">
        <v>-38.177</v>
      </c>
    </row>
    <row r="81" customFormat="false" ht="15" hidden="false" customHeight="false" outlineLevel="0" collapsed="false">
      <c r="A81" s="4" t="n">
        <v>79</v>
      </c>
      <c r="B81" s="5" t="n">
        <v>90.878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8" t="s">
        <v>3</v>
      </c>
      <c r="B1" s="8"/>
      <c r="C1" s="8"/>
      <c r="D1" s="8"/>
      <c r="E1" s="8"/>
      <c r="F1" s="8"/>
      <c r="G1" s="8"/>
      <c r="H1" s="8"/>
      <c r="I1" s="8"/>
    </row>
    <row r="3" customFormat="false" ht="15" hidden="false" customHeight="false" outlineLevel="0" collapsed="false">
      <c r="A3" s="9" t="s">
        <v>4</v>
      </c>
      <c r="B3" s="9"/>
      <c r="C3" s="9"/>
      <c r="D3" s="9"/>
      <c r="E3" s="9"/>
      <c r="F3" s="9"/>
      <c r="G3" s="9"/>
      <c r="H3" s="10" t="n">
        <f aca="false">COUNTA('Data Residual'!B3:B81)</f>
        <v>79</v>
      </c>
      <c r="I3" s="10"/>
    </row>
    <row r="4" customFormat="false" ht="15" hidden="false" customHeight="false" outlineLevel="0" collapsed="false">
      <c r="A4" s="9" t="s">
        <v>5</v>
      </c>
      <c r="B4" s="9"/>
      <c r="C4" s="9"/>
      <c r="D4" s="9"/>
      <c r="E4" s="9"/>
      <c r="F4" s="9"/>
      <c r="G4" s="9"/>
      <c r="H4" s="10" t="n">
        <f aca="false">AVERAGE('Data Residual'!B3:B81)</f>
        <v>0.166405063291142</v>
      </c>
      <c r="I4" s="10"/>
    </row>
    <row r="5" customFormat="false" ht="15" hidden="false" customHeight="false" outlineLevel="0" collapsed="false">
      <c r="A5" s="9" t="s">
        <v>6</v>
      </c>
      <c r="B5" s="9"/>
      <c r="C5" s="9"/>
      <c r="D5" s="9"/>
      <c r="E5" s="9"/>
      <c r="F5" s="9"/>
      <c r="G5" s="9"/>
      <c r="H5" s="10" t="n">
        <f aca="false">STDEV('Data Residual'!B3:B81)</f>
        <v>176.243933160216</v>
      </c>
      <c r="I5" s="10"/>
    </row>
    <row r="7" customFormat="false" ht="30" hidden="false" customHeight="true" outlineLevel="0" collapsed="false">
      <c r="A7" s="3" t="s">
        <v>1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customFormat="false" ht="15" hidden="false" customHeight="false" outlineLevel="0" collapsed="false">
      <c r="A8" s="4" t="n">
        <v>1</v>
      </c>
      <c r="B8" s="11" t="n">
        <f aca="false">SMALL('Data Residual'!$B$3:$B$81,1)</f>
        <v>-361.219</v>
      </c>
      <c r="C8" s="12" t="n">
        <f aca="false">(B8-$H$4)/$H$5</f>
        <v>-2.05048422707845</v>
      </c>
      <c r="D8" s="12" t="n">
        <f aca="false">NORMSDIST(C8)</f>
        <v>0.0201586007127038</v>
      </c>
      <c r="E8" s="12" t="n">
        <f aca="false">1/$H$3</f>
        <v>0.0126582278481013</v>
      </c>
      <c r="F8" s="12" t="n">
        <f aca="false">0/$H$3</f>
        <v>0</v>
      </c>
      <c r="G8" s="12" t="n">
        <f aca="false">ABS(E8-D8)</f>
        <v>0.00750037286460256</v>
      </c>
      <c r="H8" s="12" t="n">
        <f aca="false">ABS(F8-D8)</f>
        <v>0.0201586007127038</v>
      </c>
      <c r="I8" s="12" t="n">
        <f aca="false">MAX(G8,H8)</f>
        <v>0.0201586007127038</v>
      </c>
    </row>
    <row r="9" customFormat="false" ht="15" hidden="false" customHeight="false" outlineLevel="0" collapsed="false">
      <c r="A9" s="6" t="n">
        <v>2</v>
      </c>
      <c r="B9" s="13" t="n">
        <f aca="false">SMALL('Data Residual'!$B$3:$B$81,2)</f>
        <v>-352.609</v>
      </c>
      <c r="C9" s="14" t="n">
        <f aca="false">(B9-$H$4)/$H$5</f>
        <v>-2.00163148164992</v>
      </c>
      <c r="D9" s="14" t="n">
        <f aca="false">NORMSDIST(C9)</f>
        <v>0.0226621902693574</v>
      </c>
      <c r="E9" s="14" t="n">
        <f aca="false">2/$H$3</f>
        <v>0.0253164556962025</v>
      </c>
      <c r="F9" s="14" t="n">
        <f aca="false">1/$H$3</f>
        <v>0.0126582278481013</v>
      </c>
      <c r="G9" s="14" t="n">
        <f aca="false">ABS(E9-D9)</f>
        <v>0.00265426542684517</v>
      </c>
      <c r="H9" s="14" t="n">
        <f aca="false">ABS(F9-D9)</f>
        <v>0.0100039624212561</v>
      </c>
      <c r="I9" s="14" t="n">
        <f aca="false">MAX(G9,H9)</f>
        <v>0.0100039624212561</v>
      </c>
    </row>
    <row r="10" customFormat="false" ht="15" hidden="false" customHeight="false" outlineLevel="0" collapsed="false">
      <c r="A10" s="4" t="n">
        <v>3</v>
      </c>
      <c r="B10" s="11" t="n">
        <f aca="false">SMALL('Data Residual'!$B$3:$B$81,3)</f>
        <v>-345.885</v>
      </c>
      <c r="C10" s="12" t="n">
        <f aca="false">(B10-$H$4)/$H$5</f>
        <v>-1.96347981379144</v>
      </c>
      <c r="D10" s="12" t="n">
        <f aca="false">NORMSDIST(C10)</f>
        <v>0.0247952238925949</v>
      </c>
      <c r="E10" s="12" t="n">
        <f aca="false">3/$H$3</f>
        <v>0.0379746835443038</v>
      </c>
      <c r="F10" s="12" t="n">
        <f aca="false">2/$H$3</f>
        <v>0.0253164556962025</v>
      </c>
      <c r="G10" s="12" t="n">
        <f aca="false">ABS(E10-D10)</f>
        <v>0.0131794596517089</v>
      </c>
      <c r="H10" s="12" t="n">
        <f aca="false">ABS(F10-D10)</f>
        <v>0.000521231803607674</v>
      </c>
      <c r="I10" s="12" t="n">
        <f aca="false">MAX(G10,H10)</f>
        <v>0.0131794596517089</v>
      </c>
    </row>
    <row r="11" customFormat="false" ht="15" hidden="false" customHeight="false" outlineLevel="0" collapsed="false">
      <c r="A11" s="6" t="n">
        <v>4</v>
      </c>
      <c r="B11" s="13" t="n">
        <f aca="false">SMALL('Data Residual'!$B$3:$B$81,4)</f>
        <v>-340.547</v>
      </c>
      <c r="C11" s="14" t="n">
        <f aca="false">(B11-$H$4)/$H$5</f>
        <v>-1.93319224641658</v>
      </c>
      <c r="D11" s="14" t="n">
        <f aca="false">NORMSDIST(C11)</f>
        <v>0.0266062597826596</v>
      </c>
      <c r="E11" s="14" t="n">
        <f aca="false">4/$H$3</f>
        <v>0.0506329113924051</v>
      </c>
      <c r="F11" s="14" t="n">
        <f aca="false">3/$H$3</f>
        <v>0.0379746835443038</v>
      </c>
      <c r="G11" s="14" t="n">
        <f aca="false">ABS(E11-D11)</f>
        <v>0.0240266516097454</v>
      </c>
      <c r="H11" s="14" t="n">
        <f aca="false">ABS(F11-D11)</f>
        <v>0.0113684237616442</v>
      </c>
      <c r="I11" s="14" t="n">
        <f aca="false">MAX(G11,H11)</f>
        <v>0.0240266516097454</v>
      </c>
    </row>
    <row r="12" customFormat="false" ht="15" hidden="false" customHeight="false" outlineLevel="0" collapsed="false">
      <c r="A12" s="4" t="n">
        <v>5</v>
      </c>
      <c r="B12" s="11" t="n">
        <f aca="false">SMALL('Data Residual'!$B$3:$B$81,5)</f>
        <v>-339.044</v>
      </c>
      <c r="C12" s="12" t="n">
        <f aca="false">(B12-$H$4)/$H$5</f>
        <v>-1.92466429329474</v>
      </c>
      <c r="D12" s="12" t="n">
        <f aca="false">NORMSDIST(C12)</f>
        <v>0.0271356851605039</v>
      </c>
      <c r="E12" s="12" t="n">
        <f aca="false">5/$H$3</f>
        <v>0.0632911392405063</v>
      </c>
      <c r="F12" s="12" t="n">
        <f aca="false">4/$H$3</f>
        <v>0.0506329113924051</v>
      </c>
      <c r="G12" s="12" t="n">
        <f aca="false">ABS(E12-D12)</f>
        <v>0.0361554540800024</v>
      </c>
      <c r="H12" s="12" t="n">
        <f aca="false">ABS(F12-D12)</f>
        <v>0.0234972262319011</v>
      </c>
      <c r="I12" s="12" t="n">
        <f aca="false">MAX(G12,H12)</f>
        <v>0.0361554540800024</v>
      </c>
    </row>
    <row r="13" customFormat="false" ht="15" hidden="false" customHeight="false" outlineLevel="0" collapsed="false">
      <c r="A13" s="6" t="n">
        <v>6</v>
      </c>
      <c r="B13" s="13" t="n">
        <f aca="false">SMALL('Data Residual'!$B$3:$B$81,6)</f>
        <v>-296.551</v>
      </c>
      <c r="C13" s="14" t="n">
        <f aca="false">(B13-$H$4)/$H$5</f>
        <v>-1.68356095862635</v>
      </c>
      <c r="D13" s="14" t="n">
        <f aca="false">NORMSDIST(C13)</f>
        <v>0.0461332746008893</v>
      </c>
      <c r="E13" s="14" t="n">
        <f aca="false">6/$H$3</f>
        <v>0.0759493670886076</v>
      </c>
      <c r="F13" s="14" t="n">
        <f aca="false">5/$H$3</f>
        <v>0.0632911392405063</v>
      </c>
      <c r="G13" s="14" t="n">
        <f aca="false">ABS(E13-D13)</f>
        <v>0.0298160924877183</v>
      </c>
      <c r="H13" s="14" t="n">
        <f aca="false">ABS(F13-D13)</f>
        <v>0.0171578646396171</v>
      </c>
      <c r="I13" s="14" t="n">
        <f aca="false">MAX(G13,H13)</f>
        <v>0.0298160924877183</v>
      </c>
    </row>
    <row r="14" customFormat="false" ht="15" hidden="false" customHeight="false" outlineLevel="0" collapsed="false">
      <c r="A14" s="4" t="n">
        <v>7</v>
      </c>
      <c r="B14" s="11" t="n">
        <f aca="false">SMALL('Data Residual'!$B$3:$B$81,7)</f>
        <v>-283.388</v>
      </c>
      <c r="C14" s="12" t="n">
        <f aca="false">(B14-$H$4)/$H$5</f>
        <v>-1.60887469984867</v>
      </c>
      <c r="D14" s="12" t="n">
        <f aca="false">NORMSDIST(C14)</f>
        <v>0.053821871333265</v>
      </c>
      <c r="E14" s="12" t="n">
        <f aca="false">7/$H$3</f>
        <v>0.0886075949367089</v>
      </c>
      <c r="F14" s="12" t="n">
        <f aca="false">6/$H$3</f>
        <v>0.0759493670886076</v>
      </c>
      <c r="G14" s="12" t="n">
        <f aca="false">ABS(E14-D14)</f>
        <v>0.0347857236034439</v>
      </c>
      <c r="H14" s="12" t="n">
        <f aca="false">ABS(F14-D14)</f>
        <v>0.0221274957553426</v>
      </c>
      <c r="I14" s="12" t="n">
        <f aca="false">MAX(G14,H14)</f>
        <v>0.0347857236034439</v>
      </c>
    </row>
    <row r="15" customFormat="false" ht="15" hidden="false" customHeight="false" outlineLevel="0" collapsed="false">
      <c r="A15" s="6" t="n">
        <v>8</v>
      </c>
      <c r="B15" s="13" t="n">
        <f aca="false">SMALL('Data Residual'!$B$3:$B$81,8)</f>
        <v>-261.458</v>
      </c>
      <c r="C15" s="14" t="n">
        <f aca="false">(B15-$H$4)/$H$5</f>
        <v>-1.48444488483731</v>
      </c>
      <c r="D15" s="14" t="n">
        <f aca="false">NORMSDIST(C15)</f>
        <v>0.0688454672948852</v>
      </c>
      <c r="E15" s="14" t="n">
        <f aca="false">8/$H$3</f>
        <v>0.10126582278481</v>
      </c>
      <c r="F15" s="14" t="n">
        <f aca="false">7/$H$3</f>
        <v>0.0886075949367089</v>
      </c>
      <c r="G15" s="14" t="n">
        <f aca="false">ABS(E15-D15)</f>
        <v>0.0324203554899249</v>
      </c>
      <c r="H15" s="14" t="n">
        <f aca="false">ABS(F15-D15)</f>
        <v>0.0197621276418236</v>
      </c>
      <c r="I15" s="14" t="n">
        <f aca="false">MAX(G15,H15)</f>
        <v>0.0324203554899249</v>
      </c>
    </row>
    <row r="16" customFormat="false" ht="15" hidden="false" customHeight="false" outlineLevel="0" collapsed="false">
      <c r="A16" s="4" t="n">
        <v>9</v>
      </c>
      <c r="B16" s="11" t="n">
        <f aca="false">SMALL('Data Residual'!$B$3:$B$81,9)</f>
        <v>-241.504</v>
      </c>
      <c r="C16" s="12" t="n">
        <f aca="false">(B16-$H$4)/$H$5</f>
        <v>-1.37122680327157</v>
      </c>
      <c r="D16" s="12" t="n">
        <f aca="false">NORMSDIST(C16)</f>
        <v>0.0851521326100933</v>
      </c>
      <c r="E16" s="12" t="n">
        <f aca="false">9/$H$3</f>
        <v>0.113924050632911</v>
      </c>
      <c r="F16" s="12" t="n">
        <f aca="false">8/$H$3</f>
        <v>0.10126582278481</v>
      </c>
      <c r="G16" s="12" t="n">
        <f aca="false">ABS(E16-D16)</f>
        <v>0.0287719180228181</v>
      </c>
      <c r="H16" s="12" t="n">
        <f aca="false">ABS(F16-D16)</f>
        <v>0.0161136901747168</v>
      </c>
      <c r="I16" s="12" t="n">
        <f aca="false">MAX(G16,H16)</f>
        <v>0.0287719180228181</v>
      </c>
    </row>
    <row r="17" customFormat="false" ht="15" hidden="false" customHeight="false" outlineLevel="0" collapsed="false">
      <c r="A17" s="6" t="n">
        <v>10</v>
      </c>
      <c r="B17" s="13" t="n">
        <f aca="false">SMALL('Data Residual'!$B$3:$B$81,10)</f>
        <v>-225.268</v>
      </c>
      <c r="C17" s="14" t="n">
        <f aca="false">(B17-$H$4)/$H$5</f>
        <v>-1.27910448332062</v>
      </c>
      <c r="D17" s="14" t="n">
        <f aca="false">NORMSDIST(C17)</f>
        <v>0.100430132528085</v>
      </c>
      <c r="E17" s="14" t="n">
        <f aca="false">10/$H$3</f>
        <v>0.126582278481013</v>
      </c>
      <c r="F17" s="14" t="n">
        <f aca="false">9/$H$3</f>
        <v>0.113924050632911</v>
      </c>
      <c r="G17" s="14" t="n">
        <f aca="false">ABS(E17-D17)</f>
        <v>0.0261521459529282</v>
      </c>
      <c r="H17" s="14" t="n">
        <f aca="false">ABS(F17-D17)</f>
        <v>0.0134939181048269</v>
      </c>
      <c r="I17" s="14" t="n">
        <f aca="false">MAX(G17,H17)</f>
        <v>0.0261521459529282</v>
      </c>
    </row>
    <row r="18" customFormat="false" ht="15" hidden="false" customHeight="false" outlineLevel="0" collapsed="false">
      <c r="A18" s="4" t="n">
        <v>11</v>
      </c>
      <c r="B18" s="11" t="n">
        <f aca="false">SMALL('Data Residual'!$B$3:$B$81,11)</f>
        <v>-217.143</v>
      </c>
      <c r="C18" s="12" t="n">
        <f aca="false">(B18-$H$4)/$H$5</f>
        <v>-1.23300360566593</v>
      </c>
      <c r="D18" s="12" t="n">
        <f aca="false">NORMSDIST(C18)</f>
        <v>0.108787209468629</v>
      </c>
      <c r="E18" s="12" t="n">
        <f aca="false">11/$H$3</f>
        <v>0.139240506329114</v>
      </c>
      <c r="F18" s="12" t="n">
        <f aca="false">10/$H$3</f>
        <v>0.126582278481013</v>
      </c>
      <c r="G18" s="12" t="n">
        <f aca="false">ABS(E18-D18)</f>
        <v>0.0304532968604848</v>
      </c>
      <c r="H18" s="12" t="n">
        <f aca="false">ABS(F18-D18)</f>
        <v>0.0177950690123835</v>
      </c>
      <c r="I18" s="12" t="n">
        <f aca="false">MAX(G18,H18)</f>
        <v>0.0304532968604848</v>
      </c>
    </row>
    <row r="19" customFormat="false" ht="15" hidden="false" customHeight="false" outlineLevel="0" collapsed="false">
      <c r="A19" s="6" t="n">
        <v>12</v>
      </c>
      <c r="B19" s="13" t="n">
        <f aca="false">SMALL('Data Residual'!$B$3:$B$81,12)</f>
        <v>-207.781</v>
      </c>
      <c r="C19" s="14" t="n">
        <f aca="false">(B19-$H$4)/$H$5</f>
        <v>-1.17988404669939</v>
      </c>
      <c r="D19" s="14" t="n">
        <f aca="false">NORMSDIST(C19)</f>
        <v>0.119023167867796</v>
      </c>
      <c r="E19" s="14" t="n">
        <f aca="false">12/$H$3</f>
        <v>0.151898734177215</v>
      </c>
      <c r="F19" s="14" t="n">
        <f aca="false">11/$H$3</f>
        <v>0.139240506329114</v>
      </c>
      <c r="G19" s="14" t="n">
        <f aca="false">ABS(E19-D19)</f>
        <v>0.0328755663094194</v>
      </c>
      <c r="H19" s="14" t="n">
        <f aca="false">ABS(F19-D19)</f>
        <v>0.0202173384613181</v>
      </c>
      <c r="I19" s="14" t="n">
        <f aca="false">MAX(G19,H19)</f>
        <v>0.0328755663094194</v>
      </c>
    </row>
    <row r="20" customFormat="false" ht="15" hidden="false" customHeight="false" outlineLevel="0" collapsed="false">
      <c r="A20" s="4" t="n">
        <v>13</v>
      </c>
      <c r="B20" s="11" t="n">
        <f aca="false">SMALL('Data Residual'!$B$3:$B$81,13)</f>
        <v>-197.088</v>
      </c>
      <c r="C20" s="12" t="n">
        <f aca="false">(B20-$H$4)/$H$5</f>
        <v>-1.11921245472873</v>
      </c>
      <c r="D20" s="12" t="n">
        <f aca="false">NORMSDIST(C20)</f>
        <v>0.131524756650893</v>
      </c>
      <c r="E20" s="12" t="n">
        <f aca="false">13/$H$3</f>
        <v>0.164556962025316</v>
      </c>
      <c r="F20" s="12" t="n">
        <f aca="false">12/$H$3</f>
        <v>0.151898734177215</v>
      </c>
      <c r="G20" s="12" t="n">
        <f aca="false">ABS(E20-D20)</f>
        <v>0.0330322053744236</v>
      </c>
      <c r="H20" s="12" t="n">
        <f aca="false">ABS(F20-D20)</f>
        <v>0.0203739775263224</v>
      </c>
      <c r="I20" s="12" t="n">
        <f aca="false">MAX(G20,H20)</f>
        <v>0.0330322053744236</v>
      </c>
    </row>
    <row r="21" customFormat="false" ht="15" hidden="false" customHeight="false" outlineLevel="0" collapsed="false">
      <c r="A21" s="6" t="n">
        <v>14</v>
      </c>
      <c r="B21" s="13" t="n">
        <f aca="false">SMALL('Data Residual'!$B$3:$B$81,14)</f>
        <v>-191.309</v>
      </c>
      <c r="C21" s="14" t="n">
        <f aca="false">(B21-$H$4)/$H$5</f>
        <v>-1.08642267356363</v>
      </c>
      <c r="D21" s="14" t="n">
        <f aca="false">NORMSDIST(C21)</f>
        <v>0.138646017376435</v>
      </c>
      <c r="E21" s="14" t="n">
        <f aca="false">14/$H$3</f>
        <v>0.177215189873418</v>
      </c>
      <c r="F21" s="14" t="n">
        <f aca="false">13/$H$3</f>
        <v>0.164556962025316</v>
      </c>
      <c r="G21" s="14" t="n">
        <f aca="false">ABS(E21-D21)</f>
        <v>0.0385691724969829</v>
      </c>
      <c r="H21" s="14" t="n">
        <f aca="false">ABS(F21-D21)</f>
        <v>0.0259109446488817</v>
      </c>
      <c r="I21" s="14" t="n">
        <f aca="false">MAX(G21,H21)</f>
        <v>0.0385691724969829</v>
      </c>
    </row>
    <row r="22" customFormat="false" ht="15" hidden="false" customHeight="false" outlineLevel="0" collapsed="false">
      <c r="A22" s="4" t="n">
        <v>15</v>
      </c>
      <c r="B22" s="11" t="n">
        <f aca="false">SMALL('Data Residual'!$B$3:$B$81,15)</f>
        <v>-185.283</v>
      </c>
      <c r="C22" s="12" t="n">
        <f aca="false">(B22-$H$4)/$H$5</f>
        <v>-1.05223142571783</v>
      </c>
      <c r="D22" s="12" t="n">
        <f aca="false">NORMSDIST(C22)</f>
        <v>0.146346692348633</v>
      </c>
      <c r="E22" s="12" t="n">
        <f aca="false">15/$H$3</f>
        <v>0.189873417721519</v>
      </c>
      <c r="F22" s="12" t="n">
        <f aca="false">14/$H$3</f>
        <v>0.177215189873418</v>
      </c>
      <c r="G22" s="12" t="n">
        <f aca="false">ABS(E22-D22)</f>
        <v>0.0435267253728858</v>
      </c>
      <c r="H22" s="12" t="n">
        <f aca="false">ABS(F22-D22)</f>
        <v>0.0308684975247845</v>
      </c>
      <c r="I22" s="12" t="n">
        <f aca="false">MAX(G22,H22)</f>
        <v>0.0435267253728858</v>
      </c>
    </row>
    <row r="23" customFormat="false" ht="15" hidden="false" customHeight="false" outlineLevel="0" collapsed="false">
      <c r="A23" s="6" t="n">
        <v>16</v>
      </c>
      <c r="B23" s="13" t="n">
        <f aca="false">SMALL('Data Residual'!$B$3:$B$81,16)</f>
        <v>-176.657</v>
      </c>
      <c r="C23" s="14" t="n">
        <f aca="false">(B23-$H$4)/$H$5</f>
        <v>-1.00328789702253</v>
      </c>
      <c r="D23" s="14" t="n">
        <f aca="false">NORMSDIST(C23)</f>
        <v>0.157860986988466</v>
      </c>
      <c r="E23" s="14" t="n">
        <f aca="false">16/$H$3</f>
        <v>0.20253164556962</v>
      </c>
      <c r="F23" s="14" t="n">
        <f aca="false">15/$H$3</f>
        <v>0.189873417721519</v>
      </c>
      <c r="G23" s="14" t="n">
        <f aca="false">ABS(E23-D23)</f>
        <v>0.0446706585811541</v>
      </c>
      <c r="H23" s="14" t="n">
        <f aca="false">ABS(F23-D23)</f>
        <v>0.0320124307330529</v>
      </c>
      <c r="I23" s="14" t="n">
        <f aca="false">MAX(G23,H23)</f>
        <v>0.0446706585811541</v>
      </c>
    </row>
    <row r="24" customFormat="false" ht="15" hidden="false" customHeight="false" outlineLevel="0" collapsed="false">
      <c r="A24" s="4" t="n">
        <v>17</v>
      </c>
      <c r="B24" s="11" t="n">
        <f aca="false">SMALL('Data Residual'!$B$3:$B$81,17)</f>
        <v>-165.638</v>
      </c>
      <c r="C24" s="12" t="n">
        <f aca="false">(B24-$H$4)/$H$5</f>
        <v>-0.94076659599151</v>
      </c>
      <c r="D24" s="12" t="n">
        <f aca="false">NORMSDIST(C24)</f>
        <v>0.173412241313172</v>
      </c>
      <c r="E24" s="12" t="n">
        <f aca="false">17/$H$3</f>
        <v>0.215189873417722</v>
      </c>
      <c r="F24" s="12" t="n">
        <f aca="false">16/$H$3</f>
        <v>0.20253164556962</v>
      </c>
      <c r="G24" s="12" t="n">
        <f aca="false">ABS(E24-D24)</f>
        <v>0.0417776321045491</v>
      </c>
      <c r="H24" s="12" t="n">
        <f aca="false">ABS(F24-D24)</f>
        <v>0.0291194042564479</v>
      </c>
      <c r="I24" s="12" t="n">
        <f aca="false">MAX(G24,H24)</f>
        <v>0.0417776321045491</v>
      </c>
    </row>
    <row r="25" customFormat="false" ht="15" hidden="false" customHeight="false" outlineLevel="0" collapsed="false">
      <c r="A25" s="6" t="n">
        <v>18</v>
      </c>
      <c r="B25" s="13" t="n">
        <f aca="false">SMALL('Data Residual'!$B$3:$B$81,18)</f>
        <v>-147.511</v>
      </c>
      <c r="C25" s="14" t="n">
        <f aca="false">(B25-$H$4)/$H$5</f>
        <v>-0.83791482869963</v>
      </c>
      <c r="D25" s="14" t="n">
        <f aca="false">NORMSDIST(C25)</f>
        <v>0.201039269949425</v>
      </c>
      <c r="E25" s="14" t="n">
        <f aca="false">18/$H$3</f>
        <v>0.227848101265823</v>
      </c>
      <c r="F25" s="14" t="n">
        <f aca="false">17/$H$3</f>
        <v>0.215189873417722</v>
      </c>
      <c r="G25" s="14" t="n">
        <f aca="false">ABS(E25-D25)</f>
        <v>0.0268088313163976</v>
      </c>
      <c r="H25" s="14" t="n">
        <f aca="false">ABS(F25-D25)</f>
        <v>0.0141506034682963</v>
      </c>
      <c r="I25" s="14" t="n">
        <f aca="false">MAX(G25,H25)</f>
        <v>0.0268088313163976</v>
      </c>
    </row>
    <row r="26" customFormat="false" ht="15" hidden="false" customHeight="false" outlineLevel="0" collapsed="false">
      <c r="A26" s="4" t="n">
        <v>19</v>
      </c>
      <c r="B26" s="11" t="n">
        <f aca="false">SMALL('Data Residual'!$B$3:$B$81,19)</f>
        <v>-144.161</v>
      </c>
      <c r="C26" s="12" t="n">
        <f aca="false">(B26-$H$4)/$H$5</f>
        <v>-0.818907082220467</v>
      </c>
      <c r="D26" s="12" t="n">
        <f aca="false">NORMSDIST(C26)</f>
        <v>0.20641971446101</v>
      </c>
      <c r="E26" s="12" t="n">
        <f aca="false">19/$H$3</f>
        <v>0.240506329113924</v>
      </c>
      <c r="F26" s="12" t="n">
        <f aca="false">18/$H$3</f>
        <v>0.227848101265823</v>
      </c>
      <c r="G26" s="12" t="n">
        <f aca="false">ABS(E26-D26)</f>
        <v>0.0340866146529137</v>
      </c>
      <c r="H26" s="12" t="n">
        <f aca="false">ABS(F26-D26)</f>
        <v>0.0214283868048124</v>
      </c>
      <c r="I26" s="12" t="n">
        <f aca="false">MAX(G26,H26)</f>
        <v>0.0340866146529137</v>
      </c>
    </row>
    <row r="27" customFormat="false" ht="15" hidden="false" customHeight="false" outlineLevel="0" collapsed="false">
      <c r="A27" s="6" t="n">
        <v>20</v>
      </c>
      <c r="B27" s="13" t="n">
        <f aca="false">SMALL('Data Residual'!$B$3:$B$81,20)</f>
        <v>-137.165</v>
      </c>
      <c r="C27" s="14" t="n">
        <f aca="false">(B27-$H$4)/$H$5</f>
        <v>-0.779212098826966</v>
      </c>
      <c r="D27" s="14" t="n">
        <f aca="false">NORMSDIST(C27)</f>
        <v>0.217927392107961</v>
      </c>
      <c r="E27" s="14" t="n">
        <f aca="false">20/$H$3</f>
        <v>0.253164556962025</v>
      </c>
      <c r="F27" s="14" t="n">
        <f aca="false">19/$H$3</f>
        <v>0.240506329113924</v>
      </c>
      <c r="G27" s="14" t="n">
        <f aca="false">ABS(E27-D27)</f>
        <v>0.0352371648540645</v>
      </c>
      <c r="H27" s="14" t="n">
        <f aca="false">ABS(F27-D27)</f>
        <v>0.0225789370059633</v>
      </c>
      <c r="I27" s="14" t="n">
        <f aca="false">MAX(G27,H27)</f>
        <v>0.0352371648540645</v>
      </c>
    </row>
    <row r="28" customFormat="false" ht="15" hidden="false" customHeight="false" outlineLevel="0" collapsed="false">
      <c r="A28" s="4" t="n">
        <v>21</v>
      </c>
      <c r="B28" s="11" t="n">
        <f aca="false">SMALL('Data Residual'!$B$3:$B$81,21)</f>
        <v>-122.423</v>
      </c>
      <c r="C28" s="12" t="n">
        <f aca="false">(B28-$H$4)/$H$5</f>
        <v>-0.695566666410301</v>
      </c>
      <c r="D28" s="12" t="n">
        <f aca="false">NORMSDIST(C28)</f>
        <v>0.243350123765264</v>
      </c>
      <c r="E28" s="12" t="n">
        <f aca="false">21/$H$3</f>
        <v>0.265822784810127</v>
      </c>
      <c r="F28" s="12" t="n">
        <f aca="false">20/$H$3</f>
        <v>0.253164556962025</v>
      </c>
      <c r="G28" s="12" t="n">
        <f aca="false">ABS(E28-D28)</f>
        <v>0.0224726610448624</v>
      </c>
      <c r="H28" s="12" t="n">
        <f aca="false">ABS(F28-D28)</f>
        <v>0.0098144331967612</v>
      </c>
      <c r="I28" s="12" t="n">
        <f aca="false">MAX(G28,H28)</f>
        <v>0.0224726610448624</v>
      </c>
    </row>
    <row r="29" customFormat="false" ht="15" hidden="false" customHeight="false" outlineLevel="0" collapsed="false">
      <c r="A29" s="6" t="n">
        <v>22</v>
      </c>
      <c r="B29" s="13" t="n">
        <f aca="false">SMALL('Data Residual'!$B$3:$B$81,22)</f>
        <v>-114.853</v>
      </c>
      <c r="C29" s="14" t="n">
        <f aca="false">(B29-$H$4)/$H$5</f>
        <v>-0.652614833321565</v>
      </c>
      <c r="D29" s="14" t="n">
        <f aca="false">NORMSDIST(C29)</f>
        <v>0.257002310162322</v>
      </c>
      <c r="E29" s="14" t="n">
        <f aca="false">22/$H$3</f>
        <v>0.278481012658228</v>
      </c>
      <c r="F29" s="14" t="n">
        <f aca="false">21/$H$3</f>
        <v>0.265822784810127</v>
      </c>
      <c r="G29" s="14" t="n">
        <f aca="false">ABS(E29-D29)</f>
        <v>0.0214787024959057</v>
      </c>
      <c r="H29" s="14" t="n">
        <f aca="false">ABS(F29-D29)</f>
        <v>0.00882047464780439</v>
      </c>
      <c r="I29" s="14" t="n">
        <f aca="false">MAX(G29,H29)</f>
        <v>0.0214787024959057</v>
      </c>
    </row>
    <row r="30" customFormat="false" ht="15" hidden="false" customHeight="false" outlineLevel="0" collapsed="false">
      <c r="A30" s="4" t="n">
        <v>23</v>
      </c>
      <c r="B30" s="11" t="n">
        <f aca="false">SMALL('Data Residual'!$B$3:$B$81,23)</f>
        <v>-110.491</v>
      </c>
      <c r="C30" s="12" t="n">
        <f aca="false">(B30-$H$4)/$H$5</f>
        <v>-0.627865045219442</v>
      </c>
      <c r="D30" s="12" t="n">
        <f aca="false">NORMSDIST(C30)</f>
        <v>0.265046175599392</v>
      </c>
      <c r="E30" s="12" t="n">
        <f aca="false">23/$H$3</f>
        <v>0.291139240506329</v>
      </c>
      <c r="F30" s="12" t="n">
        <f aca="false">22/$H$3</f>
        <v>0.278481012658228</v>
      </c>
      <c r="G30" s="12" t="n">
        <f aca="false">ABS(E30-D30)</f>
        <v>0.0260930649069373</v>
      </c>
      <c r="H30" s="12" t="n">
        <f aca="false">ABS(F30-D30)</f>
        <v>0.013434837058836</v>
      </c>
      <c r="I30" s="12" t="n">
        <f aca="false">MAX(G30,H30)</f>
        <v>0.0260930649069373</v>
      </c>
    </row>
    <row r="31" customFormat="false" ht="15" hidden="false" customHeight="false" outlineLevel="0" collapsed="false">
      <c r="A31" s="6" t="n">
        <v>24</v>
      </c>
      <c r="B31" s="13" t="n">
        <f aca="false">SMALL('Data Residual'!$B$3:$B$81,24)</f>
        <v>-98.206</v>
      </c>
      <c r="C31" s="14" t="n">
        <f aca="false">(B31-$H$4)/$H$5</f>
        <v>-0.558160518205555</v>
      </c>
      <c r="D31" s="14" t="n">
        <f aca="false">NORMSDIST(C31)</f>
        <v>0.288367389243613</v>
      </c>
      <c r="E31" s="14" t="n">
        <f aca="false">24/$H$3</f>
        <v>0.30379746835443</v>
      </c>
      <c r="F31" s="14" t="n">
        <f aca="false">23/$H$3</f>
        <v>0.291139240506329</v>
      </c>
      <c r="G31" s="14" t="n">
        <f aca="false">ABS(E31-D31)</f>
        <v>0.0154300791108178</v>
      </c>
      <c r="H31" s="14" t="n">
        <f aca="false">ABS(F31-D31)</f>
        <v>0.00277185126271656</v>
      </c>
      <c r="I31" s="14" t="n">
        <f aca="false">MAX(G31,H31)</f>
        <v>0.0154300791108178</v>
      </c>
    </row>
    <row r="32" customFormat="false" ht="15" hidden="false" customHeight="false" outlineLevel="0" collapsed="false">
      <c r="A32" s="4" t="n">
        <v>25</v>
      </c>
      <c r="B32" s="11" t="n">
        <f aca="false">SMALL('Data Residual'!$B$3:$B$81,25)</f>
        <v>-89.303</v>
      </c>
      <c r="C32" s="12" t="n">
        <f aca="false">(B32-$H$4)/$H$5</f>
        <v>-0.507645304204363</v>
      </c>
      <c r="D32" s="12" t="n">
        <f aca="false">NORMSDIST(C32)</f>
        <v>0.305851056414224</v>
      </c>
      <c r="E32" s="12" t="n">
        <f aca="false">25/$H$3</f>
        <v>0.316455696202532</v>
      </c>
      <c r="F32" s="12" t="n">
        <f aca="false">24/$H$3</f>
        <v>0.30379746835443</v>
      </c>
      <c r="G32" s="12" t="n">
        <f aca="false">ABS(E32-D32)</f>
        <v>0.0106046397883078</v>
      </c>
      <c r="H32" s="12" t="n">
        <f aca="false">ABS(F32-D32)</f>
        <v>0.00205358805979344</v>
      </c>
      <c r="I32" s="12" t="n">
        <f aca="false">MAX(G32,H32)</f>
        <v>0.0106046397883078</v>
      </c>
    </row>
    <row r="33" customFormat="false" ht="15" hidden="false" customHeight="false" outlineLevel="0" collapsed="false">
      <c r="A33" s="6" t="n">
        <v>26</v>
      </c>
      <c r="B33" s="13" t="n">
        <f aca="false">SMALL('Data Residual'!$B$3:$B$81,26)</f>
        <v>-80.758</v>
      </c>
      <c r="C33" s="14" t="n">
        <f aca="false">(B33-$H$4)/$H$5</f>
        <v>-0.459161365797064</v>
      </c>
      <c r="D33" s="14" t="n">
        <f aca="false">NORMSDIST(C33)</f>
        <v>0.323059145950025</v>
      </c>
      <c r="E33" s="14" t="n">
        <f aca="false">26/$H$3</f>
        <v>0.329113924050633</v>
      </c>
      <c r="F33" s="14" t="n">
        <f aca="false">25/$H$3</f>
        <v>0.316455696202532</v>
      </c>
      <c r="G33" s="14" t="n">
        <f aca="false">ABS(E33-D33)</f>
        <v>0.00605477810060784</v>
      </c>
      <c r="H33" s="14" t="n">
        <f aca="false">ABS(F33-D33)</f>
        <v>0.00660344974749338</v>
      </c>
      <c r="I33" s="14" t="n">
        <f aca="false">MAX(G33,H33)</f>
        <v>0.00660344974749338</v>
      </c>
    </row>
    <row r="34" customFormat="false" ht="15" hidden="false" customHeight="false" outlineLevel="0" collapsed="false">
      <c r="A34" s="4" t="n">
        <v>27</v>
      </c>
      <c r="B34" s="11" t="n">
        <f aca="false">SMALL('Data Residual'!$B$3:$B$81,27)</f>
        <v>-66.7</v>
      </c>
      <c r="C34" s="12" t="n">
        <f aca="false">(B34-$H$4)/$H$5</f>
        <v>-0.379396918034653</v>
      </c>
      <c r="D34" s="12" t="n">
        <f aca="false">NORMSDIST(C34)</f>
        <v>0.352196569423637</v>
      </c>
      <c r="E34" s="12" t="n">
        <f aca="false">27/$H$3</f>
        <v>0.341772151898734</v>
      </c>
      <c r="F34" s="12" t="n">
        <f aca="false">26/$H$3</f>
        <v>0.329113924050633</v>
      </c>
      <c r="G34" s="12" t="n">
        <f aca="false">ABS(E34-D34)</f>
        <v>0.0104244175249026</v>
      </c>
      <c r="H34" s="12" t="n">
        <f aca="false">ABS(F34-D34)</f>
        <v>0.0230826453730039</v>
      </c>
      <c r="I34" s="12" t="n">
        <f aca="false">MAX(G34,H34)</f>
        <v>0.0230826453730039</v>
      </c>
    </row>
    <row r="35" customFormat="false" ht="15" hidden="false" customHeight="false" outlineLevel="0" collapsed="false">
      <c r="A35" s="6" t="n">
        <v>28</v>
      </c>
      <c r="B35" s="13" t="n">
        <f aca="false">SMALL('Data Residual'!$B$3:$B$81,28)</f>
        <v>-38.177</v>
      </c>
      <c r="C35" s="14" t="n">
        <f aca="false">(B35-$H$4)/$H$5</f>
        <v>-0.217558723161465</v>
      </c>
      <c r="D35" s="14" t="n">
        <f aca="false">NORMSDIST(C35)</f>
        <v>0.41388647411605</v>
      </c>
      <c r="E35" s="14" t="n">
        <f aca="false">28/$H$3</f>
        <v>0.354430379746835</v>
      </c>
      <c r="F35" s="14" t="n">
        <f aca="false">27/$H$3</f>
        <v>0.341772151898734</v>
      </c>
      <c r="G35" s="14" t="n">
        <f aca="false">ABS(E35-D35)</f>
        <v>0.0594560943692145</v>
      </c>
      <c r="H35" s="14" t="n">
        <f aca="false">ABS(F35-D35)</f>
        <v>0.0721143222173158</v>
      </c>
      <c r="I35" s="14" t="n">
        <f aca="false">MAX(G35,H35)</f>
        <v>0.0721143222173158</v>
      </c>
    </row>
    <row r="36" customFormat="false" ht="15" hidden="false" customHeight="false" outlineLevel="0" collapsed="false">
      <c r="A36" s="4" t="n">
        <v>29</v>
      </c>
      <c r="B36" s="11" t="n">
        <f aca="false">SMALL('Data Residual'!$B$3:$B$81,29)</f>
        <v>-30.351</v>
      </c>
      <c r="C36" s="12" t="n">
        <f aca="false">(B36-$H$4)/$H$5</f>
        <v>-0.17315435780447</v>
      </c>
      <c r="D36" s="12" t="n">
        <f aca="false">NORMSDIST(C36)</f>
        <v>0.431265049418027</v>
      </c>
      <c r="E36" s="12" t="n">
        <f aca="false">29/$H$3</f>
        <v>0.367088607594937</v>
      </c>
      <c r="F36" s="12" t="n">
        <f aca="false">28/$H$3</f>
        <v>0.354430379746835</v>
      </c>
      <c r="G36" s="12" t="n">
        <f aca="false">ABS(E36-D36)</f>
        <v>0.0641764418230904</v>
      </c>
      <c r="H36" s="12" t="n">
        <f aca="false">ABS(F36-D36)</f>
        <v>0.0768346696711917</v>
      </c>
      <c r="I36" s="12" t="n">
        <f aca="false">MAX(G36,H36)</f>
        <v>0.0768346696711917</v>
      </c>
    </row>
    <row r="37" customFormat="false" ht="15" hidden="false" customHeight="false" outlineLevel="0" collapsed="false">
      <c r="A37" s="6" t="n">
        <v>30</v>
      </c>
      <c r="B37" s="13" t="n">
        <f aca="false">SMALL('Data Residual'!$B$3:$B$81,30)</f>
        <v>-24.431</v>
      </c>
      <c r="C37" s="14" t="n">
        <f aca="false">(B37-$H$4)/$H$5</f>
        <v>-0.139564549100994</v>
      </c>
      <c r="D37" s="14" t="n">
        <f aca="false">NORMSDIST(C37)</f>
        <v>0.444502026068074</v>
      </c>
      <c r="E37" s="14" t="n">
        <f aca="false">30/$H$3</f>
        <v>0.379746835443038</v>
      </c>
      <c r="F37" s="14" t="n">
        <f aca="false">29/$H$3</f>
        <v>0.367088607594937</v>
      </c>
      <c r="G37" s="14" t="n">
        <f aca="false">ABS(E37-D37)</f>
        <v>0.0647551906250361</v>
      </c>
      <c r="H37" s="14" t="n">
        <f aca="false">ABS(F37-D37)</f>
        <v>0.0774134184731374</v>
      </c>
      <c r="I37" s="14" t="n">
        <f aca="false">MAX(G37,H37)</f>
        <v>0.0774134184731374</v>
      </c>
    </row>
    <row r="38" customFormat="false" ht="15" hidden="false" customHeight="false" outlineLevel="0" collapsed="false">
      <c r="A38" s="4" t="n">
        <v>31</v>
      </c>
      <c r="B38" s="11" t="n">
        <f aca="false">SMALL('Data Residual'!$B$3:$B$81,31)</f>
        <v>-15.357</v>
      </c>
      <c r="C38" s="12" t="n">
        <f aca="false">(B38-$H$4)/$H$5</f>
        <v>-0.0880790889362387</v>
      </c>
      <c r="D38" s="12" t="n">
        <f aca="false">NORMSDIST(C38)</f>
        <v>0.464906908193453</v>
      </c>
      <c r="E38" s="12" t="n">
        <f aca="false">31/$H$3</f>
        <v>0.392405063291139</v>
      </c>
      <c r="F38" s="12" t="n">
        <f aca="false">30/$H$3</f>
        <v>0.379746835443038</v>
      </c>
      <c r="G38" s="12" t="n">
        <f aca="false">ABS(E38-D38)</f>
        <v>0.0725018449023135</v>
      </c>
      <c r="H38" s="12" t="n">
        <f aca="false">ABS(F38-D38)</f>
        <v>0.0851600727504147</v>
      </c>
      <c r="I38" s="12" t="n">
        <f aca="false">MAX(G38,H38)</f>
        <v>0.0851600727504147</v>
      </c>
    </row>
    <row r="39" customFormat="false" ht="15" hidden="false" customHeight="false" outlineLevel="0" collapsed="false">
      <c r="A39" s="6" t="n">
        <v>32</v>
      </c>
      <c r="B39" s="13" t="n">
        <f aca="false">SMALL('Data Residual'!$B$3:$B$81,32)</f>
        <v>-14.964</v>
      </c>
      <c r="C39" s="14" t="n">
        <f aca="false">(B39-$H$4)/$H$5</f>
        <v>-0.0858492249462951</v>
      </c>
      <c r="D39" s="14" t="n">
        <f aca="false">NORMSDIST(C39)</f>
        <v>0.465793137519766</v>
      </c>
      <c r="E39" s="14" t="n">
        <f aca="false">32/$H$3</f>
        <v>0.405063291139241</v>
      </c>
      <c r="F39" s="14" t="n">
        <f aca="false">31/$H$3</f>
        <v>0.392405063291139</v>
      </c>
      <c r="G39" s="14" t="n">
        <f aca="false">ABS(E39-D39)</f>
        <v>0.0607298463805258</v>
      </c>
      <c r="H39" s="14" t="n">
        <f aca="false">ABS(F39-D39)</f>
        <v>0.073388074228627</v>
      </c>
      <c r="I39" s="14" t="n">
        <f aca="false">MAX(G39,H39)</f>
        <v>0.073388074228627</v>
      </c>
    </row>
    <row r="40" customFormat="false" ht="15" hidden="false" customHeight="false" outlineLevel="0" collapsed="false">
      <c r="A40" s="4" t="n">
        <v>33</v>
      </c>
      <c r="B40" s="11" t="n">
        <f aca="false">SMALL('Data Residual'!$B$3:$B$81,33)</f>
        <v>-9.692</v>
      </c>
      <c r="C40" s="12" t="n">
        <f aca="false">(B40-$H$4)/$H$5</f>
        <v>-0.0559361385468475</v>
      </c>
      <c r="D40" s="12" t="n">
        <f aca="false">NORMSDIST(C40)</f>
        <v>0.477696340743933</v>
      </c>
      <c r="E40" s="12" t="n">
        <f aca="false">33/$H$3</f>
        <v>0.417721518987342</v>
      </c>
      <c r="F40" s="12" t="n">
        <f aca="false">32/$H$3</f>
        <v>0.405063291139241</v>
      </c>
      <c r="G40" s="12" t="n">
        <f aca="false">ABS(E40-D40)</f>
        <v>0.0599748217565908</v>
      </c>
      <c r="H40" s="12" t="n">
        <f aca="false">ABS(F40-D40)</f>
        <v>0.0726330496046921</v>
      </c>
      <c r="I40" s="12" t="n">
        <f aca="false">MAX(G40,H40)</f>
        <v>0.0726330496046921</v>
      </c>
    </row>
    <row r="41" customFormat="false" ht="15" hidden="false" customHeight="false" outlineLevel="0" collapsed="false">
      <c r="A41" s="6" t="n">
        <v>34</v>
      </c>
      <c r="B41" s="13" t="n">
        <f aca="false">SMALL('Data Residual'!$B$3:$B$81,34)</f>
        <v>-7.237</v>
      </c>
      <c r="C41" s="14" t="n">
        <f aca="false">(B41-$H$4)/$H$5</f>
        <v>-0.0420065810524158</v>
      </c>
      <c r="D41" s="14" t="n">
        <f aca="false">NORMSDIST(C41)</f>
        <v>0.483246725914175</v>
      </c>
      <c r="E41" s="14" t="n">
        <f aca="false">34/$H$3</f>
        <v>0.430379746835443</v>
      </c>
      <c r="F41" s="14" t="n">
        <f aca="false">33/$H$3</f>
        <v>0.417721518987342</v>
      </c>
      <c r="G41" s="14" t="n">
        <f aca="false">ABS(E41-D41)</f>
        <v>0.0528669790787316</v>
      </c>
      <c r="H41" s="14" t="n">
        <f aca="false">ABS(F41-D41)</f>
        <v>0.0655252069268329</v>
      </c>
      <c r="I41" s="14" t="n">
        <f aca="false">MAX(G41,H41)</f>
        <v>0.0655252069268329</v>
      </c>
    </row>
    <row r="42" customFormat="false" ht="15" hidden="false" customHeight="false" outlineLevel="0" collapsed="false">
      <c r="A42" s="4" t="n">
        <v>35</v>
      </c>
      <c r="B42" s="11" t="n">
        <f aca="false">SMALL('Data Residual'!$B$3:$B$81,35)</f>
        <v>-1.431</v>
      </c>
      <c r="C42" s="12" t="n">
        <f aca="false">(B42-$H$4)/$H$5</f>
        <v>-0.00906360312464777</v>
      </c>
      <c r="D42" s="12" t="n">
        <f aca="false">NORMSDIST(C42)</f>
        <v>0.496384195006602</v>
      </c>
      <c r="E42" s="12" t="n">
        <f aca="false">35/$H$3</f>
        <v>0.443037974683544</v>
      </c>
      <c r="F42" s="12" t="n">
        <f aca="false">34/$H$3</f>
        <v>0.430379746835443</v>
      </c>
      <c r="G42" s="12" t="n">
        <f aca="false">ABS(E42-D42)</f>
        <v>0.0533462203230578</v>
      </c>
      <c r="H42" s="12" t="n">
        <f aca="false">ABS(F42-D42)</f>
        <v>0.066004448171159</v>
      </c>
      <c r="I42" s="12" t="n">
        <f aca="false">MAX(G42,H42)</f>
        <v>0.066004448171159</v>
      </c>
    </row>
    <row r="43" customFormat="false" ht="15" hidden="false" customHeight="false" outlineLevel="0" collapsed="false">
      <c r="A43" s="6" t="n">
        <v>36</v>
      </c>
      <c r="B43" s="13" t="n">
        <f aca="false">SMALL('Data Residual'!$B$3:$B$81,36)</f>
        <v>4.378</v>
      </c>
      <c r="C43" s="14" t="n">
        <f aca="false">(B43-$H$4)/$H$5</f>
        <v>0.0238963966656389</v>
      </c>
      <c r="D43" s="14" t="n">
        <f aca="false">NORMSDIST(C43)</f>
        <v>0.509532375746097</v>
      </c>
      <c r="E43" s="14" t="n">
        <f aca="false">36/$H$3</f>
        <v>0.455696202531646</v>
      </c>
      <c r="F43" s="14" t="n">
        <f aca="false">35/$H$3</f>
        <v>0.443037974683544</v>
      </c>
      <c r="G43" s="14" t="n">
        <f aca="false">ABS(E43-D43)</f>
        <v>0.0538361732144513</v>
      </c>
      <c r="H43" s="14" t="n">
        <f aca="false">ABS(F43-D43)</f>
        <v>0.0664944010625526</v>
      </c>
      <c r="I43" s="14" t="n">
        <f aca="false">MAX(G43,H43)</f>
        <v>0.0664944010625526</v>
      </c>
    </row>
    <row r="44" customFormat="false" ht="15" hidden="false" customHeight="false" outlineLevel="0" collapsed="false">
      <c r="A44" s="4" t="n">
        <v>37</v>
      </c>
      <c r="B44" s="11" t="n">
        <f aca="false">SMALL('Data Residual'!$B$3:$B$81,37)</f>
        <v>4.73</v>
      </c>
      <c r="C44" s="12" t="n">
        <f aca="false">(B44-$H$4)/$H$5</f>
        <v>0.0258936285344943</v>
      </c>
      <c r="D44" s="12" t="n">
        <f aca="false">NORMSDIST(C44)</f>
        <v>0.510328908981376</v>
      </c>
      <c r="E44" s="12" t="n">
        <f aca="false">37/$H$3</f>
        <v>0.468354430379747</v>
      </c>
      <c r="F44" s="12" t="n">
        <f aca="false">36/$H$3</f>
        <v>0.455696202531646</v>
      </c>
      <c r="G44" s="12" t="n">
        <f aca="false">ABS(E44-D44)</f>
        <v>0.0419744786016295</v>
      </c>
      <c r="H44" s="12" t="n">
        <f aca="false">ABS(F44-D44)</f>
        <v>0.0546327064497307</v>
      </c>
      <c r="I44" s="12" t="n">
        <f aca="false">MAX(G44,H44)</f>
        <v>0.0546327064497307</v>
      </c>
    </row>
    <row r="45" customFormat="false" ht="15" hidden="false" customHeight="false" outlineLevel="0" collapsed="false">
      <c r="A45" s="6" t="n">
        <v>38</v>
      </c>
      <c r="B45" s="13" t="n">
        <f aca="false">SMALL('Data Residual'!$B$3:$B$81,38)</f>
        <v>17.638</v>
      </c>
      <c r="C45" s="14" t="n">
        <f aca="false">(B45-$H$4)/$H$5</f>
        <v>0.0991330289980887</v>
      </c>
      <c r="D45" s="14" t="n">
        <f aca="false">NORMSDIST(C45)</f>
        <v>0.53948367605367</v>
      </c>
      <c r="E45" s="14" t="n">
        <f aca="false">38/$H$3</f>
        <v>0.481012658227848</v>
      </c>
      <c r="F45" s="14" t="n">
        <f aca="false">37/$H$3</f>
        <v>0.468354430379747</v>
      </c>
      <c r="G45" s="14" t="n">
        <f aca="false">ABS(E45-D45)</f>
        <v>0.0584710178258222</v>
      </c>
      <c r="H45" s="14" t="n">
        <f aca="false">ABS(F45-D45)</f>
        <v>0.0711292456739235</v>
      </c>
      <c r="I45" s="14" t="n">
        <f aca="false">MAX(G45,H45)</f>
        <v>0.0711292456739235</v>
      </c>
    </row>
    <row r="46" customFormat="false" ht="15" hidden="false" customHeight="false" outlineLevel="0" collapsed="false">
      <c r="A46" s="4" t="n">
        <v>39</v>
      </c>
      <c r="B46" s="11" t="n">
        <f aca="false">SMALL('Data Residual'!$B$3:$B$81,39)</f>
        <v>19.687</v>
      </c>
      <c r="C46" s="12" t="n">
        <f aca="false">(B46-$H$4)/$H$5</f>
        <v>0.110758961098329</v>
      </c>
      <c r="D46" s="12" t="n">
        <f aca="false">NORMSDIST(C46)</f>
        <v>0.544096255323354</v>
      </c>
      <c r="E46" s="12" t="n">
        <f aca="false">39/$H$3</f>
        <v>0.493670886075949</v>
      </c>
      <c r="F46" s="12" t="n">
        <f aca="false">38/$H$3</f>
        <v>0.481012658227848</v>
      </c>
      <c r="G46" s="12" t="n">
        <f aca="false">ABS(E46-D46)</f>
        <v>0.050425369247405</v>
      </c>
      <c r="H46" s="12" t="n">
        <f aca="false">ABS(F46-D46)</f>
        <v>0.0630835970955063</v>
      </c>
      <c r="I46" s="12" t="n">
        <f aca="false">MAX(G46,H46)</f>
        <v>0.0630835970955063</v>
      </c>
    </row>
    <row r="47" customFormat="false" ht="15" hidden="false" customHeight="false" outlineLevel="0" collapsed="false">
      <c r="A47" s="6" t="n">
        <v>40</v>
      </c>
      <c r="B47" s="13" t="n">
        <f aca="false">SMALL('Data Residual'!$B$3:$B$81,40)</f>
        <v>19.689</v>
      </c>
      <c r="C47" s="14" t="n">
        <f aca="false">(B47-$H$4)/$H$5</f>
        <v>0.110770309006675</v>
      </c>
      <c r="D47" s="14" t="n">
        <f aca="false">NORMSDIST(C47)</f>
        <v>0.544100754797371</v>
      </c>
      <c r="E47" s="14" t="n">
        <f aca="false">40/$H$3</f>
        <v>0.506329113924051</v>
      </c>
      <c r="F47" s="14" t="n">
        <f aca="false">39/$H$3</f>
        <v>0.493670886075949</v>
      </c>
      <c r="G47" s="14" t="n">
        <f aca="false">ABS(E47-D47)</f>
        <v>0.0377716408733206</v>
      </c>
      <c r="H47" s="14" t="n">
        <f aca="false">ABS(F47-D47)</f>
        <v>0.0504298687214219</v>
      </c>
      <c r="I47" s="14" t="n">
        <f aca="false">MAX(G47,H47)</f>
        <v>0.0504298687214219</v>
      </c>
    </row>
    <row r="48" customFormat="false" ht="15" hidden="false" customHeight="false" outlineLevel="0" collapsed="false">
      <c r="A48" s="4" t="n">
        <v>41</v>
      </c>
      <c r="B48" s="11" t="n">
        <f aca="false">SMALL('Data Residual'!$B$3:$B$81,41)</f>
        <v>23.741</v>
      </c>
      <c r="C48" s="12" t="n">
        <f aca="false">(B48-$H$4)/$H$5</f>
        <v>0.133761171315203</v>
      </c>
      <c r="D48" s="12" t="n">
        <f aca="false">NORMSDIST(C48)</f>
        <v>0.553204283997338</v>
      </c>
      <c r="E48" s="12" t="n">
        <f aca="false">41/$H$3</f>
        <v>0.518987341772152</v>
      </c>
      <c r="F48" s="12" t="n">
        <f aca="false">40/$H$3</f>
        <v>0.506329113924051</v>
      </c>
      <c r="G48" s="12" t="n">
        <f aca="false">ABS(E48-D48)</f>
        <v>0.0342169422251856</v>
      </c>
      <c r="H48" s="12" t="n">
        <f aca="false">ABS(F48-D48)</f>
        <v>0.0468751700732868</v>
      </c>
      <c r="I48" s="12" t="n">
        <f aca="false">MAX(G48,H48)</f>
        <v>0.0468751700732868</v>
      </c>
    </row>
    <row r="49" customFormat="false" ht="15" hidden="false" customHeight="false" outlineLevel="0" collapsed="false">
      <c r="A49" s="6" t="n">
        <v>42</v>
      </c>
      <c r="B49" s="13" t="n">
        <f aca="false">SMALL('Data Residual'!$B$3:$B$81,42)</f>
        <v>25.375</v>
      </c>
      <c r="C49" s="14" t="n">
        <f aca="false">(B49-$H$4)/$H$5</f>
        <v>0.143032412433697</v>
      </c>
      <c r="D49" s="14" t="n">
        <f aca="false">NORMSDIST(C49)</f>
        <v>0.556867708527781</v>
      </c>
      <c r="E49" s="14" t="n">
        <f aca="false">42/$H$3</f>
        <v>0.531645569620253</v>
      </c>
      <c r="F49" s="14" t="n">
        <f aca="false">41/$H$3</f>
        <v>0.518987341772152</v>
      </c>
      <c r="G49" s="14" t="n">
        <f aca="false">ABS(E49-D49)</f>
        <v>0.0252221389075281</v>
      </c>
      <c r="H49" s="14" t="n">
        <f aca="false">ABS(F49-D49)</f>
        <v>0.0378803667556293</v>
      </c>
      <c r="I49" s="14" t="n">
        <f aca="false">MAX(G49,H49)</f>
        <v>0.0378803667556293</v>
      </c>
    </row>
    <row r="50" customFormat="false" ht="15" hidden="false" customHeight="false" outlineLevel="0" collapsed="false">
      <c r="A50" s="4" t="n">
        <v>43</v>
      </c>
      <c r="B50" s="11" t="n">
        <f aca="false">SMALL('Data Residual'!$B$3:$B$81,43)</f>
        <v>27.547</v>
      </c>
      <c r="C50" s="12" t="n">
        <f aca="false">(B50-$H$4)/$H$5</f>
        <v>0.155356240897202</v>
      </c>
      <c r="D50" s="12" t="n">
        <f aca="false">NORMSDIST(C50)</f>
        <v>0.561729760025207</v>
      </c>
      <c r="E50" s="12" t="n">
        <f aca="false">43/$H$3</f>
        <v>0.544303797468354</v>
      </c>
      <c r="F50" s="12" t="n">
        <f aca="false">42/$H$3</f>
        <v>0.531645569620253</v>
      </c>
      <c r="G50" s="12" t="n">
        <f aca="false">ABS(E50-D50)</f>
        <v>0.0174259625568522</v>
      </c>
      <c r="H50" s="12" t="n">
        <f aca="false">ABS(F50-D50)</f>
        <v>0.0300841904049536</v>
      </c>
      <c r="I50" s="12" t="n">
        <f aca="false">MAX(G50,H50)</f>
        <v>0.0300841904049536</v>
      </c>
    </row>
    <row r="51" customFormat="false" ht="15" hidden="false" customHeight="false" outlineLevel="0" collapsed="false">
      <c r="A51" s="6" t="n">
        <v>44</v>
      </c>
      <c r="B51" s="13" t="n">
        <f aca="false">SMALL('Data Residual'!$B$3:$B$81,44)</f>
        <v>38.146</v>
      </c>
      <c r="C51" s="14" t="n">
        <f aca="false">(B51-$H$4)/$H$5</f>
        <v>0.215494481175606</v>
      </c>
      <c r="D51" s="14" t="n">
        <f aca="false">NORMSDIST(C51)</f>
        <v>0.585309092809647</v>
      </c>
      <c r="E51" s="14" t="n">
        <f aca="false">44/$H$3</f>
        <v>0.556962025316456</v>
      </c>
      <c r="F51" s="14" t="n">
        <f aca="false">43/$H$3</f>
        <v>0.544303797468354</v>
      </c>
      <c r="G51" s="14" t="n">
        <f aca="false">ABS(E51-D51)</f>
        <v>0.0283470674931909</v>
      </c>
      <c r="H51" s="14" t="n">
        <f aca="false">ABS(F51-D51)</f>
        <v>0.0410052953412922</v>
      </c>
      <c r="I51" s="14" t="n">
        <f aca="false">MAX(G51,H51)</f>
        <v>0.0410052953412922</v>
      </c>
    </row>
    <row r="52" customFormat="false" ht="15" hidden="false" customHeight="false" outlineLevel="0" collapsed="false">
      <c r="A52" s="4" t="n">
        <v>45</v>
      </c>
      <c r="B52" s="11" t="n">
        <f aca="false">SMALL('Data Residual'!$B$3:$B$81,45)</f>
        <v>44.115</v>
      </c>
      <c r="C52" s="12" t="n">
        <f aca="false">(B52-$H$4)/$H$5</f>
        <v>0.249362313633554</v>
      </c>
      <c r="D52" s="12" t="n">
        <f aca="false">NORMSDIST(C52)</f>
        <v>0.598459733057639</v>
      </c>
      <c r="E52" s="12" t="n">
        <f aca="false">45/$H$3</f>
        <v>0.569620253164557</v>
      </c>
      <c r="F52" s="12" t="n">
        <f aca="false">44/$H$3</f>
        <v>0.556962025316456</v>
      </c>
      <c r="G52" s="12" t="n">
        <f aca="false">ABS(E52-D52)</f>
        <v>0.0288394798930821</v>
      </c>
      <c r="H52" s="12" t="n">
        <f aca="false">ABS(F52-D52)</f>
        <v>0.0414977077411834</v>
      </c>
      <c r="I52" s="12" t="n">
        <f aca="false">MAX(G52,H52)</f>
        <v>0.0414977077411834</v>
      </c>
    </row>
    <row r="53" customFormat="false" ht="15" hidden="false" customHeight="false" outlineLevel="0" collapsed="false">
      <c r="A53" s="6" t="n">
        <v>46</v>
      </c>
      <c r="B53" s="13" t="n">
        <f aca="false">SMALL('Data Residual'!$B$3:$B$81,46)</f>
        <v>47.699</v>
      </c>
      <c r="C53" s="14" t="n">
        <f aca="false">(B53-$H$4)/$H$5</f>
        <v>0.269697765389173</v>
      </c>
      <c r="D53" s="14" t="n">
        <f aca="false">NORMSDIST(C53)</f>
        <v>0.606303610086407</v>
      </c>
      <c r="E53" s="14" t="n">
        <f aca="false">46/$H$3</f>
        <v>0.582278481012658</v>
      </c>
      <c r="F53" s="14" t="n">
        <f aca="false">45/$H$3</f>
        <v>0.569620253164557</v>
      </c>
      <c r="G53" s="14" t="n">
        <f aca="false">ABS(E53-D53)</f>
        <v>0.024025129073749</v>
      </c>
      <c r="H53" s="14" t="n">
        <f aca="false">ABS(F53-D53)</f>
        <v>0.0366833569218502</v>
      </c>
      <c r="I53" s="14" t="n">
        <f aca="false">MAX(G53,H53)</f>
        <v>0.0366833569218502</v>
      </c>
    </row>
    <row r="54" customFormat="false" ht="15" hidden="false" customHeight="false" outlineLevel="0" collapsed="false">
      <c r="A54" s="4" t="n">
        <v>47</v>
      </c>
      <c r="B54" s="11" t="n">
        <f aca="false">SMALL('Data Residual'!$B$3:$B$81,47)</f>
        <v>51.64</v>
      </c>
      <c r="C54" s="12" t="n">
        <f aca="false">(B54-$H$4)/$H$5</f>
        <v>0.292058818784511</v>
      </c>
      <c r="D54" s="12" t="n">
        <f aca="false">NORMSDIST(C54)</f>
        <v>0.614879173773202</v>
      </c>
      <c r="E54" s="12" t="n">
        <f aca="false">47/$H$3</f>
        <v>0.594936708860759</v>
      </c>
      <c r="F54" s="12" t="n">
        <f aca="false">46/$H$3</f>
        <v>0.582278481012658</v>
      </c>
      <c r="G54" s="12" t="n">
        <f aca="false">ABS(E54-D54)</f>
        <v>0.0199424649124422</v>
      </c>
      <c r="H54" s="12" t="n">
        <f aca="false">ABS(F54-D54)</f>
        <v>0.0326006927605435</v>
      </c>
      <c r="I54" s="12" t="n">
        <f aca="false">MAX(G54,H54)</f>
        <v>0.0326006927605435</v>
      </c>
    </row>
    <row r="55" customFormat="false" ht="15" hidden="false" customHeight="false" outlineLevel="0" collapsed="false">
      <c r="A55" s="6" t="n">
        <v>48</v>
      </c>
      <c r="B55" s="13" t="n">
        <f aca="false">SMALL('Data Residual'!$B$3:$B$81,48)</f>
        <v>53.986</v>
      </c>
      <c r="C55" s="14" t="n">
        <f aca="false">(B55-$H$4)/$H$5</f>
        <v>0.305369915274098</v>
      </c>
      <c r="D55" s="14" t="n">
        <f aca="false">NORMSDIST(C55)</f>
        <v>0.6199577838449</v>
      </c>
      <c r="E55" s="14" t="n">
        <f aca="false">48/$H$3</f>
        <v>0.607594936708861</v>
      </c>
      <c r="F55" s="14" t="n">
        <f aca="false">47/$H$3</f>
        <v>0.594936708860759</v>
      </c>
      <c r="G55" s="14" t="n">
        <f aca="false">ABS(E55-D55)</f>
        <v>0.0123628471360394</v>
      </c>
      <c r="H55" s="14" t="n">
        <f aca="false">ABS(F55-D55)</f>
        <v>0.0250210749841407</v>
      </c>
      <c r="I55" s="14" t="n">
        <f aca="false">MAX(G55,H55)</f>
        <v>0.0250210749841407</v>
      </c>
    </row>
    <row r="56" customFormat="false" ht="15" hidden="false" customHeight="false" outlineLevel="0" collapsed="false">
      <c r="A56" s="4" t="n">
        <v>49</v>
      </c>
      <c r="B56" s="11" t="n">
        <f aca="false">SMALL('Data Residual'!$B$3:$B$81,49)</f>
        <v>60.389</v>
      </c>
      <c r="C56" s="12" t="n">
        <f aca="false">(B56-$H$4)/$H$5</f>
        <v>0.341700243843078</v>
      </c>
      <c r="D56" s="12" t="n">
        <f aca="false">NORMSDIST(C56)</f>
        <v>0.633711755708676</v>
      </c>
      <c r="E56" s="12" t="n">
        <f aca="false">49/$H$3</f>
        <v>0.620253164556962</v>
      </c>
      <c r="F56" s="12" t="n">
        <f aca="false">48/$H$3</f>
        <v>0.607594936708861</v>
      </c>
      <c r="G56" s="12" t="n">
        <f aca="false">ABS(E56-D56)</f>
        <v>0.0134585911517142</v>
      </c>
      <c r="H56" s="12" t="n">
        <f aca="false">ABS(F56-D56)</f>
        <v>0.0261168189998154</v>
      </c>
      <c r="I56" s="12" t="n">
        <f aca="false">MAX(G56,H56)</f>
        <v>0.0261168189998154</v>
      </c>
    </row>
    <row r="57" customFormat="false" ht="15" hidden="false" customHeight="false" outlineLevel="0" collapsed="false">
      <c r="A57" s="6" t="n">
        <v>50</v>
      </c>
      <c r="B57" s="13" t="n">
        <f aca="false">SMALL('Data Residual'!$B$3:$B$81,50)</f>
        <v>68.325</v>
      </c>
      <c r="C57" s="14" t="n">
        <f aca="false">(B57-$H$4)/$H$5</f>
        <v>0.386728744159091</v>
      </c>
      <c r="D57" s="14" t="n">
        <f aca="false">NORMSDIST(C57)</f>
        <v>0.650521483003581</v>
      </c>
      <c r="E57" s="14" t="n">
        <f aca="false">50/$H$3</f>
        <v>0.632911392405063</v>
      </c>
      <c r="F57" s="14" t="n">
        <f aca="false">49/$H$3</f>
        <v>0.620253164556962</v>
      </c>
      <c r="G57" s="14" t="n">
        <f aca="false">ABS(E57-D57)</f>
        <v>0.0176100905985175</v>
      </c>
      <c r="H57" s="14" t="n">
        <f aca="false">ABS(F57-D57)</f>
        <v>0.0302683184466188</v>
      </c>
      <c r="I57" s="14" t="n">
        <f aca="false">MAX(G57,H57)</f>
        <v>0.0302683184466188</v>
      </c>
    </row>
    <row r="58" customFormat="false" ht="15" hidden="false" customHeight="false" outlineLevel="0" collapsed="false">
      <c r="A58" s="4" t="n">
        <v>51</v>
      </c>
      <c r="B58" s="11" t="n">
        <f aca="false">SMALL('Data Residual'!$B$3:$B$81,51)</f>
        <v>69.229</v>
      </c>
      <c r="C58" s="12" t="n">
        <f aca="false">(B58-$H$4)/$H$5</f>
        <v>0.391857998731378</v>
      </c>
      <c r="D58" s="12" t="n">
        <f aca="false">NORMSDIST(C58)</f>
        <v>0.652418430879115</v>
      </c>
      <c r="E58" s="12" t="n">
        <f aca="false">51/$H$3</f>
        <v>0.645569620253165</v>
      </c>
      <c r="F58" s="12" t="n">
        <f aca="false">50/$H$3</f>
        <v>0.632911392405063</v>
      </c>
      <c r="G58" s="12" t="n">
        <f aca="false">ABS(E58-D58)</f>
        <v>0.00684881062595033</v>
      </c>
      <c r="H58" s="12" t="n">
        <f aca="false">ABS(F58-D58)</f>
        <v>0.0195070384740516</v>
      </c>
      <c r="I58" s="12" t="n">
        <f aca="false">MAX(G58,H58)</f>
        <v>0.0195070384740516</v>
      </c>
    </row>
    <row r="59" customFormat="false" ht="15" hidden="false" customHeight="false" outlineLevel="0" collapsed="false">
      <c r="A59" s="6" t="n">
        <v>52</v>
      </c>
      <c r="B59" s="13" t="n">
        <f aca="false">SMALL('Data Residual'!$B$3:$B$81,52)</f>
        <v>82.048</v>
      </c>
      <c r="C59" s="14" t="n">
        <f aca="false">(B59-$H$4)/$H$5</f>
        <v>0.464592417273586</v>
      </c>
      <c r="D59" s="14" t="n">
        <f aca="false">NORMSDIST(C59)</f>
        <v>0.678888318268931</v>
      </c>
      <c r="E59" s="14" t="n">
        <f aca="false">52/$H$3</f>
        <v>0.658227848101266</v>
      </c>
      <c r="F59" s="14" t="n">
        <f aca="false">51/$H$3</f>
        <v>0.645569620253165</v>
      </c>
      <c r="G59" s="14" t="n">
        <f aca="false">ABS(E59-D59)</f>
        <v>0.0206604701676647</v>
      </c>
      <c r="H59" s="14" t="n">
        <f aca="false">ABS(F59-D59)</f>
        <v>0.0333186980157659</v>
      </c>
      <c r="I59" s="14" t="n">
        <f aca="false">MAX(G59,H59)</f>
        <v>0.0333186980157659</v>
      </c>
    </row>
    <row r="60" customFormat="false" ht="15" hidden="false" customHeight="false" outlineLevel="0" collapsed="false">
      <c r="A60" s="4" t="n">
        <v>53</v>
      </c>
      <c r="B60" s="11" t="n">
        <f aca="false">SMALL('Data Residual'!$B$3:$B$81,53)</f>
        <v>86.783</v>
      </c>
      <c r="C60" s="12" t="n">
        <f aca="false">(B60-$H$4)/$H$5</f>
        <v>0.491458590282194</v>
      </c>
      <c r="D60" s="12" t="n">
        <f aca="false">NORMSDIST(C60)</f>
        <v>0.688448933309948</v>
      </c>
      <c r="E60" s="12" t="n">
        <f aca="false">53/$H$3</f>
        <v>0.670886075949367</v>
      </c>
      <c r="F60" s="12" t="n">
        <f aca="false">52/$H$3</f>
        <v>0.658227848101266</v>
      </c>
      <c r="G60" s="12" t="n">
        <f aca="false">ABS(E60-D60)</f>
        <v>0.0175628573605804</v>
      </c>
      <c r="H60" s="12" t="n">
        <f aca="false">ABS(F60-D60)</f>
        <v>0.0302210852086817</v>
      </c>
      <c r="I60" s="12" t="n">
        <f aca="false">MAX(G60,H60)</f>
        <v>0.0302210852086817</v>
      </c>
    </row>
    <row r="61" customFormat="false" ht="15" hidden="false" customHeight="false" outlineLevel="0" collapsed="false">
      <c r="A61" s="6" t="n">
        <v>54</v>
      </c>
      <c r="B61" s="13" t="n">
        <f aca="false">SMALL('Data Residual'!$B$3:$B$81,54)</f>
        <v>90.878</v>
      </c>
      <c r="C61" s="14" t="n">
        <f aca="false">(B61-$H$4)/$H$5</f>
        <v>0.514693432620157</v>
      </c>
      <c r="D61" s="14" t="n">
        <f aca="false">NORMSDIST(C61)</f>
        <v>0.696616368309694</v>
      </c>
      <c r="E61" s="14" t="n">
        <f aca="false">54/$H$3</f>
        <v>0.683544303797468</v>
      </c>
      <c r="F61" s="14" t="n">
        <f aca="false">53/$H$3</f>
        <v>0.670886075949367</v>
      </c>
      <c r="G61" s="14" t="n">
        <f aca="false">ABS(E61-D61)</f>
        <v>0.0130720645122256</v>
      </c>
      <c r="H61" s="14" t="n">
        <f aca="false">ABS(F61-D61)</f>
        <v>0.0257302923603269</v>
      </c>
      <c r="I61" s="14" t="n">
        <f aca="false">MAX(G61,H61)</f>
        <v>0.0257302923603269</v>
      </c>
    </row>
    <row r="62" customFormat="false" ht="15" hidden="false" customHeight="false" outlineLevel="0" collapsed="false">
      <c r="A62" s="4" t="n">
        <v>55</v>
      </c>
      <c r="B62" s="11" t="n">
        <f aca="false">SMALL('Data Residual'!$B$3:$B$81,55)</f>
        <v>94.805</v>
      </c>
      <c r="C62" s="12" t="n">
        <f aca="false">(B62-$H$4)/$H$5</f>
        <v>0.536975050657075</v>
      </c>
      <c r="D62" s="12" t="n">
        <f aca="false">NORMSDIST(C62)</f>
        <v>0.704357576023514</v>
      </c>
      <c r="E62" s="12" t="n">
        <f aca="false">55/$H$3</f>
        <v>0.69620253164557</v>
      </c>
      <c r="F62" s="12" t="n">
        <f aca="false">54/$H$3</f>
        <v>0.683544303797468</v>
      </c>
      <c r="G62" s="12" t="n">
        <f aca="false">ABS(E62-D62)</f>
        <v>0.00815504437794445</v>
      </c>
      <c r="H62" s="12" t="n">
        <f aca="false">ABS(F62-D62)</f>
        <v>0.0208132722260458</v>
      </c>
      <c r="I62" s="12" t="n">
        <f aca="false">MAX(G62,H62)</f>
        <v>0.0208132722260458</v>
      </c>
    </row>
    <row r="63" customFormat="false" ht="15" hidden="false" customHeight="false" outlineLevel="0" collapsed="false">
      <c r="A63" s="6" t="n">
        <v>56</v>
      </c>
      <c r="B63" s="13" t="n">
        <f aca="false">SMALL('Data Residual'!$B$3:$B$81,56)</f>
        <v>99.791</v>
      </c>
      <c r="C63" s="14" t="n">
        <f aca="false">(B63-$H$4)/$H$5</f>
        <v>0.565265386163077</v>
      </c>
      <c r="D63" s="14" t="n">
        <f aca="false">NORMSDIST(C63)</f>
        <v>0.714053365777586</v>
      </c>
      <c r="E63" s="14" t="n">
        <f aca="false">56/$H$3</f>
        <v>0.708860759493671</v>
      </c>
      <c r="F63" s="14" t="n">
        <f aca="false">55/$H$3</f>
        <v>0.69620253164557</v>
      </c>
      <c r="G63" s="14" t="n">
        <f aca="false">ABS(E63-D63)</f>
        <v>0.0051926062839146</v>
      </c>
      <c r="H63" s="14" t="n">
        <f aca="false">ABS(F63-D63)</f>
        <v>0.0178508341320158</v>
      </c>
      <c r="I63" s="14" t="n">
        <f aca="false">MAX(G63,H63)</f>
        <v>0.0178508341320158</v>
      </c>
    </row>
    <row r="64" customFormat="false" ht="15" hidden="false" customHeight="false" outlineLevel="0" collapsed="false">
      <c r="A64" s="4" t="n">
        <v>57</v>
      </c>
      <c r="B64" s="11" t="n">
        <f aca="false">SMALL('Data Residual'!$B$3:$B$81,57)</f>
        <v>105.056</v>
      </c>
      <c r="C64" s="12" t="n">
        <f aca="false">(B64-$H$4)/$H$5</f>
        <v>0.595138754883315</v>
      </c>
      <c r="D64" s="12" t="n">
        <f aca="false">NORMSDIST(C64)</f>
        <v>0.724124637472344</v>
      </c>
      <c r="E64" s="12" t="n">
        <f aca="false">57/$H$3</f>
        <v>0.721518987341772</v>
      </c>
      <c r="F64" s="12" t="n">
        <f aca="false">56/$H$3</f>
        <v>0.708860759493671</v>
      </c>
      <c r="G64" s="12" t="n">
        <f aca="false">ABS(E64-D64)</f>
        <v>0.00260565013057146</v>
      </c>
      <c r="H64" s="12" t="n">
        <f aca="false">ABS(F64-D64)</f>
        <v>0.0152638779786727</v>
      </c>
      <c r="I64" s="12" t="n">
        <f aca="false">MAX(G64,H64)</f>
        <v>0.0152638779786727</v>
      </c>
    </row>
    <row r="65" customFormat="false" ht="15" hidden="false" customHeight="false" outlineLevel="0" collapsed="false">
      <c r="A65" s="6" t="n">
        <v>58</v>
      </c>
      <c r="B65" s="13" t="n">
        <f aca="false">SMALL('Data Residual'!$B$3:$B$81,58)</f>
        <v>115.65</v>
      </c>
      <c r="C65" s="14" t="n">
        <f aca="false">(B65-$H$4)/$H$5</f>
        <v>0.655248625390854</v>
      </c>
      <c r="D65" s="14" t="n">
        <f aca="false">NORMSDIST(C65)</f>
        <v>0.743846154033005</v>
      </c>
      <c r="E65" s="14" t="n">
        <f aca="false">58/$H$3</f>
        <v>0.734177215189873</v>
      </c>
      <c r="F65" s="14" t="n">
        <f aca="false">57/$H$3</f>
        <v>0.721518987341772</v>
      </c>
      <c r="G65" s="14" t="n">
        <f aca="false">ABS(E65-D65)</f>
        <v>0.00966893884313103</v>
      </c>
      <c r="H65" s="14" t="n">
        <f aca="false">ABS(F65-D65)</f>
        <v>0.0223271666912324</v>
      </c>
      <c r="I65" s="14" t="n">
        <f aca="false">MAX(G65,H65)</f>
        <v>0.0223271666912324</v>
      </c>
    </row>
    <row r="66" customFormat="false" ht="15" hidden="false" customHeight="false" outlineLevel="0" collapsed="false">
      <c r="A66" s="4" t="n">
        <v>59</v>
      </c>
      <c r="B66" s="11" t="n">
        <f aca="false">SMALL('Data Residual'!$B$3:$B$81,59)</f>
        <v>132.973</v>
      </c>
      <c r="C66" s="12" t="n">
        <f aca="false">(B66-$H$4)/$H$5</f>
        <v>0.753538533527734</v>
      </c>
      <c r="D66" s="12" t="n">
        <f aca="false">NORMSDIST(C66)</f>
        <v>0.774436817576018</v>
      </c>
      <c r="E66" s="12" t="n">
        <f aca="false">59/$H$3</f>
        <v>0.746835443037975</v>
      </c>
      <c r="F66" s="12" t="n">
        <f aca="false">58/$H$3</f>
        <v>0.734177215189873</v>
      </c>
      <c r="G66" s="12" t="n">
        <f aca="false">ABS(E66-D66)</f>
        <v>0.027601374538043</v>
      </c>
      <c r="H66" s="12" t="n">
        <f aca="false">ABS(F66-D66)</f>
        <v>0.0402596023861442</v>
      </c>
      <c r="I66" s="12" t="n">
        <f aca="false">MAX(G66,H66)</f>
        <v>0.0402596023861442</v>
      </c>
    </row>
    <row r="67" customFormat="false" ht="15" hidden="false" customHeight="false" outlineLevel="0" collapsed="false">
      <c r="A67" s="6" t="n">
        <v>60</v>
      </c>
      <c r="B67" s="13" t="n">
        <f aca="false">SMALL('Data Residual'!$B$3:$B$81,60)</f>
        <v>140.681</v>
      </c>
      <c r="C67" s="14" t="n">
        <f aca="false">(B67-$H$4)/$H$5</f>
        <v>0.797273372292329</v>
      </c>
      <c r="D67" s="14" t="n">
        <f aca="false">NORMSDIST(C67)</f>
        <v>0.787353859271184</v>
      </c>
      <c r="E67" s="14" t="n">
        <f aca="false">60/$H$3</f>
        <v>0.759493670886076</v>
      </c>
      <c r="F67" s="14" t="n">
        <f aca="false">59/$H$3</f>
        <v>0.746835443037975</v>
      </c>
      <c r="G67" s="14" t="n">
        <f aca="false">ABS(E67-D67)</f>
        <v>0.0278601883851075</v>
      </c>
      <c r="H67" s="14" t="n">
        <f aca="false">ABS(F67-D67)</f>
        <v>0.0405184162332088</v>
      </c>
      <c r="I67" s="14" t="n">
        <f aca="false">MAX(G67,H67)</f>
        <v>0.0405184162332088</v>
      </c>
    </row>
    <row r="68" customFormat="false" ht="15" hidden="false" customHeight="false" outlineLevel="0" collapsed="false">
      <c r="A68" s="4" t="n">
        <v>61</v>
      </c>
      <c r="B68" s="11" t="n">
        <f aca="false">SMALL('Data Residual'!$B$3:$B$81,61)</f>
        <v>142.721</v>
      </c>
      <c r="C68" s="12" t="n">
        <f aca="false">(B68-$H$4)/$H$5</f>
        <v>0.808848238805013</v>
      </c>
      <c r="D68" s="12" t="n">
        <f aca="false">NORMSDIST(C68)</f>
        <v>0.790698777419222</v>
      </c>
      <c r="E68" s="12" t="n">
        <f aca="false">61/$H$3</f>
        <v>0.772151898734177</v>
      </c>
      <c r="F68" s="12" t="n">
        <f aca="false">60/$H$3</f>
        <v>0.759493670886076</v>
      </c>
      <c r="G68" s="12" t="n">
        <f aca="false">ABS(E68-D68)</f>
        <v>0.0185468786850448</v>
      </c>
      <c r="H68" s="12" t="n">
        <f aca="false">ABS(F68-D68)</f>
        <v>0.031205106533146</v>
      </c>
      <c r="I68" s="12" t="n">
        <f aca="false">MAX(G68,H68)</f>
        <v>0.031205106533146</v>
      </c>
    </row>
    <row r="69" customFormat="false" ht="15" hidden="false" customHeight="false" outlineLevel="0" collapsed="false">
      <c r="A69" s="6" t="n">
        <v>62</v>
      </c>
      <c r="B69" s="13" t="n">
        <f aca="false">SMALL('Data Residual'!$B$3:$B$81,62)</f>
        <v>145.948</v>
      </c>
      <c r="C69" s="14" t="n">
        <f aca="false">(B69-$H$4)/$H$5</f>
        <v>0.827158088920912</v>
      </c>
      <c r="D69" s="14" t="n">
        <f aca="false">NORMSDIST(C69)</f>
        <v>0.795926268413626</v>
      </c>
      <c r="E69" s="14" t="n">
        <f aca="false">62/$H$3</f>
        <v>0.784810126582278</v>
      </c>
      <c r="F69" s="14" t="n">
        <f aca="false">61/$H$3</f>
        <v>0.772151898734177</v>
      </c>
      <c r="G69" s="14" t="n">
        <f aca="false">ABS(E69-D69)</f>
        <v>0.0111161418313471</v>
      </c>
      <c r="H69" s="14" t="n">
        <f aca="false">ABS(F69-D69)</f>
        <v>0.0237743696794484</v>
      </c>
      <c r="I69" s="14" t="n">
        <f aca="false">MAX(G69,H69)</f>
        <v>0.0237743696794484</v>
      </c>
    </row>
    <row r="70" customFormat="false" ht="15" hidden="false" customHeight="false" outlineLevel="0" collapsed="false">
      <c r="A70" s="4" t="n">
        <v>63</v>
      </c>
      <c r="B70" s="11" t="n">
        <f aca="false">SMALL('Data Residual'!$B$3:$B$81,63)</f>
        <v>156.282</v>
      </c>
      <c r="C70" s="12" t="n">
        <f aca="false">(B70-$H$4)/$H$5</f>
        <v>0.885792731343501</v>
      </c>
      <c r="D70" s="12" t="n">
        <f aca="false">NORMSDIST(C70)</f>
        <v>0.81213538631015</v>
      </c>
      <c r="E70" s="12" t="n">
        <f aca="false">63/$H$3</f>
        <v>0.79746835443038</v>
      </c>
      <c r="F70" s="12" t="n">
        <f aca="false">62/$H$3</f>
        <v>0.784810126582278</v>
      </c>
      <c r="G70" s="12" t="n">
        <f aca="false">ABS(E70-D70)</f>
        <v>0.0146670318797703</v>
      </c>
      <c r="H70" s="12" t="n">
        <f aca="false">ABS(F70-D70)</f>
        <v>0.0273252597278716</v>
      </c>
      <c r="I70" s="12" t="n">
        <f aca="false">MAX(G70,H70)</f>
        <v>0.0273252597278716</v>
      </c>
    </row>
    <row r="71" customFormat="false" ht="15" hidden="false" customHeight="false" outlineLevel="0" collapsed="false">
      <c r="A71" s="6" t="n">
        <v>64</v>
      </c>
      <c r="B71" s="13" t="n">
        <f aca="false">SMALL('Data Residual'!$B$3:$B$81,64)</f>
        <v>164.741</v>
      </c>
      <c r="C71" s="14" t="n">
        <f aca="false">(B71-$H$4)/$H$5</f>
        <v>0.933788709691932</v>
      </c>
      <c r="D71" s="14" t="n">
        <f aca="false">NORMSDIST(C71)</f>
        <v>0.824793552713249</v>
      </c>
      <c r="E71" s="14" t="n">
        <f aca="false">64/$H$3</f>
        <v>0.810126582278481</v>
      </c>
      <c r="F71" s="14" t="n">
        <f aca="false">63/$H$3</f>
        <v>0.79746835443038</v>
      </c>
      <c r="G71" s="14" t="n">
        <f aca="false">ABS(E71-D71)</f>
        <v>0.0146669704347682</v>
      </c>
      <c r="H71" s="14" t="n">
        <f aca="false">ABS(F71-D71)</f>
        <v>0.0273251982828694</v>
      </c>
      <c r="I71" s="14" t="n">
        <f aca="false">MAX(G71,H71)</f>
        <v>0.0273251982828694</v>
      </c>
    </row>
    <row r="72" customFormat="false" ht="15" hidden="false" customHeight="false" outlineLevel="0" collapsed="false">
      <c r="A72" s="4" t="n">
        <v>65</v>
      </c>
      <c r="B72" s="11" t="n">
        <f aca="false">SMALL('Data Residual'!$B$3:$B$81,65)</f>
        <v>166.793</v>
      </c>
      <c r="C72" s="12" t="n">
        <f aca="false">(B72-$H$4)/$H$5</f>
        <v>0.945431663654691</v>
      </c>
      <c r="D72" s="12" t="n">
        <f aca="false">NORMSDIST(C72)</f>
        <v>0.827780728358424</v>
      </c>
      <c r="E72" s="12" t="n">
        <f aca="false">65/$H$3</f>
        <v>0.822784810126582</v>
      </c>
      <c r="F72" s="12" t="n">
        <f aca="false">64/$H$3</f>
        <v>0.810126582278481</v>
      </c>
      <c r="G72" s="12" t="n">
        <f aca="false">ABS(E72-D72)</f>
        <v>0.00499591823184153</v>
      </c>
      <c r="H72" s="12" t="n">
        <f aca="false">ABS(F72-D72)</f>
        <v>0.0176541460799429</v>
      </c>
      <c r="I72" s="12" t="n">
        <f aca="false">MAX(G72,H72)</f>
        <v>0.0176541460799429</v>
      </c>
    </row>
    <row r="73" customFormat="false" ht="15" hidden="false" customHeight="false" outlineLevel="0" collapsed="false">
      <c r="A73" s="6" t="n">
        <v>66</v>
      </c>
      <c r="B73" s="13" t="n">
        <f aca="false">SMALL('Data Residual'!$B$3:$B$81,66)</f>
        <v>178.086</v>
      </c>
      <c r="C73" s="14" t="n">
        <f aca="false">(B73-$H$4)/$H$5</f>
        <v>1.00950762812908</v>
      </c>
      <c r="D73" s="14" t="n">
        <f aca="false">NORMSDIST(C73)</f>
        <v>0.843634377428915</v>
      </c>
      <c r="E73" s="14" t="n">
        <f aca="false">66/$H$3</f>
        <v>0.835443037974684</v>
      </c>
      <c r="F73" s="14" t="n">
        <f aca="false">65/$H$3</f>
        <v>0.822784810126582</v>
      </c>
      <c r="G73" s="14" t="n">
        <f aca="false">ABS(E73-D73)</f>
        <v>0.00819133945423189</v>
      </c>
      <c r="H73" s="14" t="n">
        <f aca="false">ABS(F73-D73)</f>
        <v>0.0208495673023331</v>
      </c>
      <c r="I73" s="14" t="n">
        <f aca="false">MAX(G73,H73)</f>
        <v>0.0208495673023331</v>
      </c>
    </row>
    <row r="74" customFormat="false" ht="15" hidden="false" customHeight="false" outlineLevel="0" collapsed="false">
      <c r="A74" s="4" t="n">
        <v>67</v>
      </c>
      <c r="B74" s="11" t="n">
        <f aca="false">SMALL('Data Residual'!$B$3:$B$81,67)</f>
        <v>189.815</v>
      </c>
      <c r="C74" s="12" t="n">
        <f aca="false">(B74-$H$4)/$H$5</f>
        <v>1.07605743662284</v>
      </c>
      <c r="D74" s="12" t="n">
        <f aca="false">NORMSDIST(C74)</f>
        <v>0.85904921513058</v>
      </c>
      <c r="E74" s="12" t="n">
        <f aca="false">67/$H$3</f>
        <v>0.848101265822785</v>
      </c>
      <c r="F74" s="12" t="n">
        <f aca="false">66/$H$3</f>
        <v>0.835443037974684</v>
      </c>
      <c r="G74" s="12" t="n">
        <f aca="false">ABS(E74-D74)</f>
        <v>0.0109479493077956</v>
      </c>
      <c r="H74" s="12" t="n">
        <f aca="false">ABS(F74-D74)</f>
        <v>0.0236061771558969</v>
      </c>
      <c r="I74" s="12" t="n">
        <f aca="false">MAX(G74,H74)</f>
        <v>0.0236061771558969</v>
      </c>
    </row>
    <row r="75" customFormat="false" ht="15" hidden="false" customHeight="false" outlineLevel="0" collapsed="false">
      <c r="A75" s="6" t="n">
        <v>68</v>
      </c>
      <c r="B75" s="13" t="n">
        <f aca="false">SMALL('Data Residual'!$B$3:$B$81,68)</f>
        <v>192.026</v>
      </c>
      <c r="C75" s="14" t="n">
        <f aca="false">(B75-$H$4)/$H$5</f>
        <v>1.08860254929909</v>
      </c>
      <c r="D75" s="14" t="n">
        <f aca="false">NORMSDIST(C75)</f>
        <v>0.86183540394509</v>
      </c>
      <c r="E75" s="14" t="n">
        <f aca="false">68/$H$3</f>
        <v>0.860759493670886</v>
      </c>
      <c r="F75" s="14" t="n">
        <f aca="false">67/$H$3</f>
        <v>0.848101265822785</v>
      </c>
      <c r="G75" s="14" t="n">
        <f aca="false">ABS(E75-D75)</f>
        <v>0.00107591027420362</v>
      </c>
      <c r="H75" s="14" t="n">
        <f aca="false">ABS(F75-D75)</f>
        <v>0.013734138122305</v>
      </c>
      <c r="I75" s="14" t="n">
        <f aca="false">MAX(G75,H75)</f>
        <v>0.013734138122305</v>
      </c>
    </row>
    <row r="76" customFormat="false" ht="15" hidden="false" customHeight="false" outlineLevel="0" collapsed="false">
      <c r="A76" s="4" t="n">
        <v>69</v>
      </c>
      <c r="B76" s="11" t="n">
        <f aca="false">SMALL('Data Residual'!$B$3:$B$81,69)</f>
        <v>195.826</v>
      </c>
      <c r="C76" s="12" t="n">
        <f aca="false">(B76-$H$4)/$H$5</f>
        <v>1.11016357515605</v>
      </c>
      <c r="D76" s="12" t="n">
        <f aca="false">NORMSDIST(C76)</f>
        <v>0.86653572716016</v>
      </c>
      <c r="E76" s="12" t="n">
        <f aca="false">69/$H$3</f>
        <v>0.873417721518987</v>
      </c>
      <c r="F76" s="12" t="n">
        <f aca="false">68/$H$3</f>
        <v>0.860759493670886</v>
      </c>
      <c r="G76" s="12" t="n">
        <f aca="false">ABS(E76-D76)</f>
        <v>0.00688199435882697</v>
      </c>
      <c r="H76" s="12" t="n">
        <f aca="false">ABS(F76-D76)</f>
        <v>0.00577623348927425</v>
      </c>
      <c r="I76" s="12" t="n">
        <f aca="false">MAX(G76,H76)</f>
        <v>0.00688199435882697</v>
      </c>
    </row>
    <row r="77" customFormat="false" ht="15" hidden="false" customHeight="false" outlineLevel="0" collapsed="false">
      <c r="A77" s="6" t="n">
        <v>70</v>
      </c>
      <c r="B77" s="13" t="n">
        <f aca="false">SMALL('Data Residual'!$B$3:$B$81,70)</f>
        <v>220.143</v>
      </c>
      <c r="C77" s="14" t="n">
        <f aca="false">(B77-$H$4)/$H$5</f>
        <v>1.24813711877809</v>
      </c>
      <c r="D77" s="14" t="n">
        <f aca="false">NORMSDIST(C77)</f>
        <v>0.89400957651377</v>
      </c>
      <c r="E77" s="14" t="n">
        <f aca="false">70/$H$3</f>
        <v>0.886075949367089</v>
      </c>
      <c r="F77" s="14" t="n">
        <f aca="false">69/$H$3</f>
        <v>0.873417721518987</v>
      </c>
      <c r="G77" s="14" t="n">
        <f aca="false">ABS(E77-D77)</f>
        <v>0.007933627146681</v>
      </c>
      <c r="H77" s="14" t="n">
        <f aca="false">ABS(F77-D77)</f>
        <v>0.0205918549947822</v>
      </c>
      <c r="I77" s="14" t="n">
        <f aca="false">MAX(G77,H77)</f>
        <v>0.0205918549947822</v>
      </c>
    </row>
    <row r="78" customFormat="false" ht="15" hidden="false" customHeight="false" outlineLevel="0" collapsed="false">
      <c r="A78" s="4" t="n">
        <v>71</v>
      </c>
      <c r="B78" s="11" t="n">
        <f aca="false">SMALL('Data Residual'!$B$3:$B$81,71)</f>
        <v>222.023</v>
      </c>
      <c r="C78" s="12" t="n">
        <f aca="false">(B78-$H$4)/$H$5</f>
        <v>1.25880415262311</v>
      </c>
      <c r="D78" s="12" t="n">
        <f aca="false">NORMSDIST(C78)</f>
        <v>0.895949459963936</v>
      </c>
      <c r="E78" s="12" t="n">
        <f aca="false">71/$H$3</f>
        <v>0.89873417721519</v>
      </c>
      <c r="F78" s="12" t="n">
        <f aca="false">70/$H$3</f>
        <v>0.886075949367089</v>
      </c>
      <c r="G78" s="12" t="n">
        <f aca="false">ABS(E78-D78)</f>
        <v>0.00278471725125362</v>
      </c>
      <c r="H78" s="12" t="n">
        <f aca="false">ABS(F78-D78)</f>
        <v>0.00987351059684771</v>
      </c>
      <c r="I78" s="12" t="n">
        <f aca="false">MAX(G78,H78)</f>
        <v>0.00987351059684771</v>
      </c>
    </row>
    <row r="79" customFormat="false" ht="15" hidden="false" customHeight="false" outlineLevel="0" collapsed="false">
      <c r="A79" s="6" t="n">
        <v>72</v>
      </c>
      <c r="B79" s="13" t="n">
        <f aca="false">SMALL('Data Residual'!$B$3:$B$81,72)</f>
        <v>222.657</v>
      </c>
      <c r="C79" s="14" t="n">
        <f aca="false">(B79-$H$4)/$H$5</f>
        <v>1.26240143956872</v>
      </c>
      <c r="D79" s="14" t="n">
        <f aca="false">NORMSDIST(C79)</f>
        <v>0.89659781425589</v>
      </c>
      <c r="E79" s="14" t="n">
        <f aca="false">72/$H$3</f>
        <v>0.911392405063291</v>
      </c>
      <c r="F79" s="14" t="n">
        <f aca="false">71/$H$3</f>
        <v>0.89873417721519</v>
      </c>
      <c r="G79" s="14" t="n">
        <f aca="false">ABS(E79-D79)</f>
        <v>0.014794590807401</v>
      </c>
      <c r="H79" s="14" t="n">
        <f aca="false">ABS(F79-D79)</f>
        <v>0.00213636295929975</v>
      </c>
      <c r="I79" s="14" t="n">
        <f aca="false">MAX(G79,H79)</f>
        <v>0.014794590807401</v>
      </c>
    </row>
    <row r="80" customFormat="false" ht="15" hidden="false" customHeight="false" outlineLevel="0" collapsed="false">
      <c r="A80" s="4" t="n">
        <v>73</v>
      </c>
      <c r="B80" s="11" t="n">
        <f aca="false">SMALL('Data Residual'!$B$3:$B$81,73)</f>
        <v>243.088</v>
      </c>
      <c r="C80" s="12" t="n">
        <f aca="false">(B80-$H$4)/$H$5</f>
        <v>1.37832599727492</v>
      </c>
      <c r="D80" s="12" t="n">
        <f aca="false">NORMSDIST(C80)</f>
        <v>0.915948669953818</v>
      </c>
      <c r="E80" s="12" t="n">
        <f aca="false">73/$H$3</f>
        <v>0.924050632911392</v>
      </c>
      <c r="F80" s="12" t="n">
        <f aca="false">72/$H$3</f>
        <v>0.911392405063291</v>
      </c>
      <c r="G80" s="12" t="n">
        <f aca="false">ABS(E80-D80)</f>
        <v>0.00810196295757404</v>
      </c>
      <c r="H80" s="12" t="n">
        <f aca="false">ABS(F80-D80)</f>
        <v>0.0045562648905273</v>
      </c>
      <c r="I80" s="12" t="n">
        <f aca="false">MAX(G80,H80)</f>
        <v>0.00810196295757404</v>
      </c>
    </row>
    <row r="81" customFormat="false" ht="15" hidden="false" customHeight="false" outlineLevel="0" collapsed="false">
      <c r="A81" s="6" t="n">
        <v>74</v>
      </c>
      <c r="B81" s="13" t="n">
        <f aca="false">SMALL('Data Residual'!$B$3:$B$81,74)</f>
        <v>254.829</v>
      </c>
      <c r="C81" s="14" t="n">
        <f aca="false">(B81-$H$4)/$H$5</f>
        <v>1.44494389321876</v>
      </c>
      <c r="D81" s="14" t="n">
        <f aca="false">NORMSDIST(C81)</f>
        <v>0.925763177037237</v>
      </c>
      <c r="E81" s="14" t="n">
        <f aca="false">74/$H$3</f>
        <v>0.936708860759494</v>
      </c>
      <c r="F81" s="14" t="n">
        <f aca="false">73/$H$3</f>
        <v>0.924050632911392</v>
      </c>
      <c r="G81" s="14" t="n">
        <f aca="false">ABS(E81-D81)</f>
        <v>0.0109456837222568</v>
      </c>
      <c r="H81" s="14" t="n">
        <f aca="false">ABS(F81-D81)</f>
        <v>0.00171254412584443</v>
      </c>
      <c r="I81" s="14" t="n">
        <f aca="false">MAX(G81,H81)</f>
        <v>0.0109456837222568</v>
      </c>
    </row>
    <row r="82" customFormat="false" ht="15" hidden="false" customHeight="false" outlineLevel="0" collapsed="false">
      <c r="A82" s="4" t="n">
        <v>75</v>
      </c>
      <c r="B82" s="11" t="n">
        <f aca="false">SMALL('Data Residual'!$B$3:$B$81,75)</f>
        <v>260.641</v>
      </c>
      <c r="C82" s="12" t="n">
        <f aca="false">(B82-$H$4)/$H$5</f>
        <v>1.47792091487157</v>
      </c>
      <c r="D82" s="12" t="n">
        <f aca="false">NORMSDIST(C82)</f>
        <v>0.930285526250609</v>
      </c>
      <c r="E82" s="12" t="n">
        <f aca="false">75/$H$3</f>
        <v>0.949367088607595</v>
      </c>
      <c r="F82" s="12" t="n">
        <f aca="false">74/$H$3</f>
        <v>0.936708860759494</v>
      </c>
      <c r="G82" s="12" t="n">
        <f aca="false">ABS(E82-D82)</f>
        <v>0.0190815623569862</v>
      </c>
      <c r="H82" s="12" t="n">
        <f aca="false">ABS(F82-D82)</f>
        <v>0.00642333450888499</v>
      </c>
      <c r="I82" s="12" t="n">
        <f aca="false">MAX(G82,H82)</f>
        <v>0.0190815623569862</v>
      </c>
    </row>
    <row r="83" customFormat="false" ht="15" hidden="false" customHeight="false" outlineLevel="0" collapsed="false">
      <c r="A83" s="6" t="n">
        <v>76</v>
      </c>
      <c r="B83" s="13" t="n">
        <f aca="false">SMALL('Data Residual'!$B$3:$B$81,76)</f>
        <v>283.077</v>
      </c>
      <c r="C83" s="14" t="n">
        <f aca="false">(B83-$H$4)/$H$5</f>
        <v>1.6052217506944</v>
      </c>
      <c r="D83" s="14" t="n">
        <f aca="false">NORMSDIST(C83)</f>
        <v>0.945777493800151</v>
      </c>
      <c r="E83" s="14" t="n">
        <f aca="false">76/$H$3</f>
        <v>0.962025316455696</v>
      </c>
      <c r="F83" s="14" t="n">
        <f aca="false">75/$H$3</f>
        <v>0.949367088607595</v>
      </c>
      <c r="G83" s="14" t="n">
        <f aca="false">ABS(E83-D83)</f>
        <v>0.0162478226555456</v>
      </c>
      <c r="H83" s="14" t="n">
        <f aca="false">ABS(F83-D83)</f>
        <v>0.00358959480744425</v>
      </c>
      <c r="I83" s="14" t="n">
        <f aca="false">MAX(G83,H83)</f>
        <v>0.0162478226555456</v>
      </c>
    </row>
    <row r="84" customFormat="false" ht="15" hidden="false" customHeight="false" outlineLevel="0" collapsed="false">
      <c r="A84" s="4" t="n">
        <v>77</v>
      </c>
      <c r="B84" s="11" t="n">
        <f aca="false">SMALL('Data Residual'!$B$3:$B$81,77)</f>
        <v>288.802</v>
      </c>
      <c r="C84" s="12" t="n">
        <f aca="false">(B84-$H$4)/$H$5</f>
        <v>1.63770513833417</v>
      </c>
      <c r="D84" s="12" t="n">
        <f aca="false">NORMSDIST(C84)</f>
        <v>0.94925839089</v>
      </c>
      <c r="E84" s="12" t="n">
        <f aca="false">77/$H$3</f>
        <v>0.974683544303797</v>
      </c>
      <c r="F84" s="12" t="n">
        <f aca="false">76/$H$3</f>
        <v>0.962025316455696</v>
      </c>
      <c r="G84" s="12" t="n">
        <f aca="false">ABS(E84-D84)</f>
        <v>0.0254251534137971</v>
      </c>
      <c r="H84" s="12" t="n">
        <f aca="false">ABS(F84-D84)</f>
        <v>0.0127669255656959</v>
      </c>
      <c r="I84" s="12" t="n">
        <f aca="false">MAX(G84,H84)</f>
        <v>0.0254251534137971</v>
      </c>
    </row>
    <row r="85" customFormat="false" ht="15" hidden="false" customHeight="false" outlineLevel="0" collapsed="false">
      <c r="A85" s="6" t="n">
        <v>78</v>
      </c>
      <c r="B85" s="13" t="n">
        <f aca="false">SMALL('Data Residual'!$B$3:$B$81,78)</f>
        <v>294.052</v>
      </c>
      <c r="C85" s="14" t="n">
        <f aca="false">(B85-$H$4)/$H$5</f>
        <v>1.66749339774181</v>
      </c>
      <c r="D85" s="14" t="n">
        <f aca="false">NORMSDIST(C85)</f>
        <v>0.952291831926531</v>
      </c>
      <c r="E85" s="14" t="n">
        <f aca="false">78/$H$3</f>
        <v>0.987341772151899</v>
      </c>
      <c r="F85" s="14" t="n">
        <f aca="false">77/$H$3</f>
        <v>0.974683544303797</v>
      </c>
      <c r="G85" s="14" t="n">
        <f aca="false">ABS(E85-D85)</f>
        <v>0.0350499402253676</v>
      </c>
      <c r="H85" s="14" t="n">
        <f aca="false">ABS(F85-D85)</f>
        <v>0.0223917123772662</v>
      </c>
      <c r="I85" s="14" t="n">
        <f aca="false">MAX(G85,H85)</f>
        <v>0.0350499402253676</v>
      </c>
    </row>
    <row r="86" customFormat="false" ht="15" hidden="false" customHeight="false" outlineLevel="0" collapsed="false">
      <c r="A86" s="4" t="n">
        <v>79</v>
      </c>
      <c r="B86" s="11" t="n">
        <f aca="false">SMALL('Data Residual'!$B$3:$B$81,79)</f>
        <v>308.2</v>
      </c>
      <c r="C86" s="12" t="n">
        <f aca="false">(B86-$H$4)/$H$5</f>
        <v>1.74776850137978</v>
      </c>
      <c r="D86" s="12" t="n">
        <f aca="false">NORMSDIST(C86)</f>
        <v>0.95974793916653</v>
      </c>
      <c r="E86" s="12" t="n">
        <f aca="false">79/$H$3</f>
        <v>1</v>
      </c>
      <c r="F86" s="12" t="n">
        <f aca="false">78/$H$3</f>
        <v>0.987341772151899</v>
      </c>
      <c r="G86" s="12" t="n">
        <f aca="false">ABS(E86-D86)</f>
        <v>0.0402520608334697</v>
      </c>
      <c r="H86" s="12" t="n">
        <f aca="false">ABS(F86-D86)</f>
        <v>0.0275938329853684</v>
      </c>
      <c r="I86" s="12" t="n">
        <f aca="false">MAX(G86,H86)</f>
        <v>0.0402520608334697</v>
      </c>
    </row>
    <row r="88" customFormat="false" ht="15" hidden="false" customHeight="false" outlineLevel="0" collapsed="false">
      <c r="A88" s="1" t="s">
        <v>15</v>
      </c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9" t="s">
        <v>16</v>
      </c>
      <c r="B89" s="9"/>
      <c r="C89" s="9"/>
      <c r="D89" s="9"/>
      <c r="E89" s="9"/>
      <c r="F89" s="9"/>
      <c r="G89" s="9"/>
      <c r="H89" s="9"/>
      <c r="I89" s="15" t="n">
        <f aca="false">MAX(I8:I86)</f>
        <v>0.0851600727504147</v>
      </c>
    </row>
    <row r="90" customFormat="false" ht="15" hidden="false" customHeight="false" outlineLevel="0" collapsed="false">
      <c r="A90" s="9" t="s">
        <v>17</v>
      </c>
      <c r="B90" s="9"/>
      <c r="C90" s="9"/>
      <c r="D90" s="9"/>
      <c r="E90" s="9"/>
      <c r="F90" s="9"/>
      <c r="G90" s="9"/>
      <c r="H90" s="9"/>
      <c r="I90" s="16" t="n">
        <f aca="false">1.36/SQRT($H$3)</f>
        <v>0.153011954525939</v>
      </c>
    </row>
    <row r="91" customFormat="false" ht="15" hidden="false" customHeight="false" outlineLevel="0" collapsed="false">
      <c r="A91" s="9" t="s">
        <v>18</v>
      </c>
      <c r="B91" s="9"/>
      <c r="C91" s="9"/>
      <c r="D91" s="9"/>
      <c r="E91" s="9"/>
      <c r="F91" s="9"/>
      <c r="G91" s="9"/>
      <c r="H91" s="9"/>
      <c r="I91" s="16" t="n">
        <f aca="false">1.628/SQRT($H$3)</f>
        <v>0.183164310270757</v>
      </c>
    </row>
    <row r="92" customFormat="false" ht="15" hidden="false" customHeight="false" outlineLevel="0" collapsed="false">
      <c r="A92" s="9" t="s">
        <v>19</v>
      </c>
      <c r="B92" s="9"/>
      <c r="C92" s="9"/>
      <c r="D92" s="9"/>
      <c r="E92" s="9"/>
      <c r="F92" s="9"/>
      <c r="G92" s="9"/>
      <c r="H92" s="9"/>
      <c r="I92" s="17" t="str">
        <f aca="false">IF(I89&lt;=I90,"NORMAL","TIDAK NORMAL")</f>
        <v>NORMAL</v>
      </c>
    </row>
    <row r="93" customFormat="false" ht="15" hidden="false" customHeight="false" outlineLevel="0" collapsed="false">
      <c r="A93" s="9" t="s">
        <v>20</v>
      </c>
      <c r="B93" s="9"/>
      <c r="C93" s="9"/>
      <c r="D93" s="9"/>
      <c r="E93" s="9"/>
      <c r="F93" s="9"/>
      <c r="G93" s="9"/>
      <c r="H93" s="9"/>
      <c r="I93" s="17" t="str">
        <f aca="false">IF(I89&lt;=I91,"NORMAL","TIDAK NORMAL")</f>
        <v>NORMAL</v>
      </c>
    </row>
  </sheetData>
  <mergeCells count="13">
    <mergeCell ref="A1:I1"/>
    <mergeCell ref="A3:G3"/>
    <mergeCell ref="H3:I3"/>
    <mergeCell ref="A4:G4"/>
    <mergeCell ref="H4:I4"/>
    <mergeCell ref="A5:G5"/>
    <mergeCell ref="H5:I5"/>
    <mergeCell ref="A88:I88"/>
    <mergeCell ref="A89:H89"/>
    <mergeCell ref="A90:H90"/>
    <mergeCell ref="A91:H91"/>
    <mergeCell ref="A92:H92"/>
    <mergeCell ref="A93:H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1" t="s">
        <v>21</v>
      </c>
      <c r="B1" s="1"/>
    </row>
    <row r="2" customFormat="false" ht="15" hidden="false" customHeight="false" outlineLevel="0" collapsed="false">
      <c r="A2" s="3" t="s">
        <v>22</v>
      </c>
      <c r="B2" s="3" t="s">
        <v>23</v>
      </c>
    </row>
    <row r="3" customFormat="false" ht="15" hidden="false" customHeight="false" outlineLevel="0" collapsed="false">
      <c r="A3" s="18" t="s">
        <v>7</v>
      </c>
      <c r="B3" s="19" t="s">
        <v>24</v>
      </c>
    </row>
    <row r="4" customFormat="false" ht="15" hidden="false" customHeight="false" outlineLevel="0" collapsed="false">
      <c r="A4" s="20" t="s">
        <v>25</v>
      </c>
      <c r="B4" s="21" t="s">
        <v>26</v>
      </c>
    </row>
    <row r="5" customFormat="false" ht="15" hidden="false" customHeight="false" outlineLevel="0" collapsed="false">
      <c r="A5" s="18" t="s">
        <v>27</v>
      </c>
      <c r="B5" s="19" t="s">
        <v>28</v>
      </c>
    </row>
    <row r="6" customFormat="false" ht="15" hidden="false" customHeight="false" outlineLevel="0" collapsed="false">
      <c r="A6" s="20" t="s">
        <v>29</v>
      </c>
      <c r="B6" s="21" t="s">
        <v>30</v>
      </c>
    </row>
    <row r="7" customFormat="false" ht="15" hidden="false" customHeight="false" outlineLevel="0" collapsed="false">
      <c r="A7" s="18" t="s">
        <v>31</v>
      </c>
      <c r="B7" s="19" t="s">
        <v>32</v>
      </c>
    </row>
    <row r="8" customFormat="false" ht="15" hidden="false" customHeight="false" outlineLevel="0" collapsed="false">
      <c r="A8" s="20" t="s">
        <v>33</v>
      </c>
      <c r="B8" s="21" t="s">
        <v>34</v>
      </c>
    </row>
    <row r="9" customFormat="false" ht="15" hidden="false" customHeight="false" outlineLevel="0" collapsed="false">
      <c r="A9" s="18" t="s">
        <v>35</v>
      </c>
      <c r="B9" s="19" t="s">
        <v>36</v>
      </c>
    </row>
    <row r="10" customFormat="false" ht="15" hidden="false" customHeight="false" outlineLevel="0" collapsed="false">
      <c r="A10" s="20" t="s">
        <v>37</v>
      </c>
      <c r="B10" s="21" t="s">
        <v>38</v>
      </c>
    </row>
    <row r="11" customFormat="false" ht="15" hidden="false" customHeight="false" outlineLevel="0" collapsed="false">
      <c r="A11" s="18" t="s">
        <v>39</v>
      </c>
      <c r="B11" s="19" t="s">
        <v>40</v>
      </c>
    </row>
    <row r="12" customFormat="false" ht="15" hidden="false" customHeight="false" outlineLevel="0" collapsed="false">
      <c r="A12" s="20" t="s">
        <v>41</v>
      </c>
      <c r="B12" s="21" t="s">
        <v>42</v>
      </c>
    </row>
    <row r="13" customFormat="false" ht="15" hidden="false" customHeight="false" outlineLevel="0" collapsed="false">
      <c r="A13" s="18" t="s">
        <v>43</v>
      </c>
      <c r="B13" s="19" t="s">
        <v>44</v>
      </c>
    </row>
    <row r="14" customFormat="false" ht="15" hidden="false" customHeight="false" outlineLevel="0" collapsed="false">
      <c r="A14" s="20" t="s">
        <v>45</v>
      </c>
      <c r="B14" s="21" t="s">
        <v>46</v>
      </c>
    </row>
    <row r="15" customFormat="false" ht="15" hidden="false" customHeight="false" outlineLevel="0" collapsed="false">
      <c r="A15" s="18" t="s">
        <v>47</v>
      </c>
      <c r="B15" s="19" t="s">
        <v>48</v>
      </c>
    </row>
    <row r="16" customFormat="false" ht="15" hidden="false" customHeight="false" outlineLevel="0" collapsed="false">
      <c r="A16" s="20" t="s">
        <v>49</v>
      </c>
      <c r="B16" s="21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Putri Fradila</dc:creator>
  <dc:description/>
  <cp:lastModifiedBy/>
  <cp:revision>0</cp:revision>
  <dcterms:created xsi:type="dcterms:W3CDTF">2026-06-17T10:00:24Z</dcterms:created>
  <dcterms:modified xsi:type="dcterms:W3CDTF">2026-06-17T10:00:24Z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