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Residual" sheetId="1" state="visible" r:id="rId3"/>
    <sheet name="Langkah Manu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<sst xmlns="http://schemas.openxmlformats.org/spreadsheetml/2006/main" count="50" uniqueCount="49">
  <si>
    <t xml:space="preserve">Obs</t>
  </si>
  <si>
    <t xml:space="preserve">Residual (eₜ)</t>
  </si>
  <si>
    <t xml:space="preserve">eₜ²</t>
  </si>
  <si>
    <t xml:space="preserve">n (jumlah observasi)</t>
  </si>
  <si>
    <t xml:space="preserve">SSE = Σeₜ²</t>
  </si>
  <si>
    <t xml:space="preserve">σ̂² = SSE/n</t>
  </si>
  <si>
    <t xml:space="preserve">ln(σ̂²)</t>
  </si>
  <si>
    <t xml:space="preserve">ln(2π)</t>
  </si>
  <si>
    <t xml:space="preserve">n·ln(σ̂²)</t>
  </si>
  <si>
    <t xml:space="preserve">n·ln(2π)</t>
  </si>
  <si>
    <t xml:space="preserve">k (jumlah parameter)</t>
  </si>
  <si>
    <t xml:space="preserve">2k</t>
  </si>
  <si>
    <t xml:space="preserve">AIC = n·ln(σ̂²) + n·ln(2π) + n + 2k</t>
  </si>
  <si>
    <t xml:space="preserve">Step</t>
  </si>
  <si>
    <t xml:space="preserve">Keterangan</t>
  </si>
  <si>
    <t xml:space="preserve">Formula / Nilai</t>
  </si>
  <si>
    <t xml:space="preserve">Hasil</t>
  </si>
  <si>
    <t xml:space="preserve">1</t>
  </si>
  <si>
    <t xml:space="preserve">Jumlah observasi</t>
  </si>
  <si>
    <t xml:space="preserve">n = 75 (obs 6 s.d. 80)</t>
  </si>
  <si>
    <t xml:space="preserve">2</t>
  </si>
  <si>
    <t xml:space="preserve">Sum of Squared Errors</t>
  </si>
  <si>
    <t xml:space="preserve">SSE = Σ eₜ²</t>
  </si>
  <si>
    <t xml:space="preserve">3</t>
  </si>
  <si>
    <t xml:space="preserve">Variance estimate</t>
  </si>
  <si>
    <t xml:space="preserve">σ̂² = SSE / n</t>
  </si>
  <si>
    <t xml:space="preserve">4</t>
  </si>
  <si>
    <t xml:space="preserve">Log variance</t>
  </si>
  <si>
    <t xml:space="preserve">ln(σ̂²) = LN(σ̂²)</t>
  </si>
  <si>
    <t xml:space="preserve">5</t>
  </si>
  <si>
    <t xml:space="preserve">Log 2π</t>
  </si>
  <si>
    <t xml:space="preserve">ln(2π) = LN(2×PI())</t>
  </si>
  <si>
    <t xml:space="preserve">6</t>
  </si>
  <si>
    <t xml:space="preserve">Komponen 1</t>
  </si>
  <si>
    <t xml:space="preserve">n × ln(σ̂²)</t>
  </si>
  <si>
    <t xml:space="preserve">7</t>
  </si>
  <si>
    <t xml:space="preserve">Komponen 2</t>
  </si>
  <si>
    <t xml:space="preserve">n × ln(2π)</t>
  </si>
  <si>
    <t xml:space="preserve">8</t>
  </si>
  <si>
    <t xml:space="preserve">Jumlah parameter</t>
  </si>
  <si>
    <t xml:space="preserve">k = 5 (MU, MA1,1, NUM1, NUM1,1, NUM2)</t>
  </si>
  <si>
    <t xml:space="preserve">9</t>
  </si>
  <si>
    <t xml:space="preserve">2 × k</t>
  </si>
  <si>
    <t xml:space="preserve">10</t>
  </si>
  <si>
    <t xml:space="preserve">AIC (formula SAS)</t>
  </si>
  <si>
    <t xml:space="preserve">n·ln(σ̂²) + n·ln(2π) + n + 2k</t>
  </si>
  <si>
    <t xml:space="preserve">Ref</t>
  </si>
  <si>
    <t xml:space="preserve">AIC dari SAS</t>
  </si>
  <si>
    <t xml:space="preserve">Dilaporkan output SAS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</si>
</sst>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0"/>
    <numFmt numFmtId="167" formatCode="#,##0.0000"/>
    <numFmt numFmtId="168" formatCode="0.0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0"/>
      <color rgb="FF1A527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D6E4F0"/>
        <bgColor rgb="FFD6EAF8"/>
      </patternFill>
    </fill>
    <fill>
      <patternFill patternType="solid">
        <fgColor rgb="FFFDEBD0"/>
        <bgColor rgb="FFFFFFFF"/>
      </patternFill>
    </fill>
    <fill>
      <patternFill patternType="solid">
        <fgColor rgb="FFD6EAF8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BD0"/>
      <rgbColor rgb="FFD6EAF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C0392B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8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n">
        <v>6</v>
      </c>
      <c r="B2" s="4" t="n">
        <v>-62.6136</v>
      </c>
      <c r="C2" s="5" t="n">
        <f aca="false">B2^2</f>
        <v>3920.46290496</v>
      </c>
    </row>
    <row r="3" customFormat="false" ht="15" hidden="false" customHeight="true" outlineLevel="0" collapsed="false">
      <c r="A3" s="3" t="n">
        <v>7</v>
      </c>
      <c r="B3" s="4" t="n">
        <v>-40.7847</v>
      </c>
      <c r="C3" s="5" t="n">
        <f aca="false">B3^2</f>
        <v>1663.39175409</v>
      </c>
    </row>
    <row r="4" customFormat="false" ht="15" hidden="false" customHeight="true" outlineLevel="0" collapsed="false">
      <c r="A4" s="3" t="n">
        <v>8</v>
      </c>
      <c r="B4" s="4" t="n">
        <v>-47.1624</v>
      </c>
      <c r="C4" s="5" t="n">
        <f aca="false">B4^2</f>
        <v>2224.29197376</v>
      </c>
    </row>
    <row r="5" customFormat="false" ht="15" hidden="false" customHeight="true" outlineLevel="0" collapsed="false">
      <c r="A5" s="3" t="n">
        <v>9</v>
      </c>
      <c r="B5" s="4" t="n">
        <v>-21.3223</v>
      </c>
      <c r="C5" s="5" t="n">
        <f aca="false">B5^2</f>
        <v>454.64047729</v>
      </c>
    </row>
    <row r="6" customFormat="false" ht="15" hidden="false" customHeight="true" outlineLevel="0" collapsed="false">
      <c r="A6" s="3" t="n">
        <v>10</v>
      </c>
      <c r="B6" s="4" t="n">
        <v>20.957</v>
      </c>
      <c r="C6" s="5" t="n">
        <f aca="false">B6^2</f>
        <v>439.195849</v>
      </c>
    </row>
    <row r="7" customFormat="false" ht="15" hidden="false" customHeight="true" outlineLevel="0" collapsed="false">
      <c r="A7" s="3" t="n">
        <v>11</v>
      </c>
      <c r="B7" s="4" t="n">
        <v>-10.7194</v>
      </c>
      <c r="C7" s="5" t="n">
        <f aca="false">B7^2</f>
        <v>114.90553636</v>
      </c>
    </row>
    <row r="8" customFormat="false" ht="15" hidden="false" customHeight="true" outlineLevel="0" collapsed="false">
      <c r="A8" s="3" t="n">
        <v>12</v>
      </c>
      <c r="B8" s="4" t="n">
        <v>48.2226</v>
      </c>
      <c r="C8" s="5" t="n">
        <f aca="false">B8^2</f>
        <v>2325.41915076</v>
      </c>
    </row>
    <row r="9" customFormat="false" ht="15" hidden="false" customHeight="true" outlineLevel="0" collapsed="false">
      <c r="A9" s="3" t="n">
        <v>13</v>
      </c>
      <c r="B9" s="4" t="n">
        <v>3.7227</v>
      </c>
      <c r="C9" s="5" t="n">
        <f aca="false">B9^2</f>
        <v>13.85849529</v>
      </c>
    </row>
    <row r="10" customFormat="false" ht="15" hidden="false" customHeight="true" outlineLevel="0" collapsed="false">
      <c r="A10" s="3" t="n">
        <v>14</v>
      </c>
      <c r="B10" s="4" t="n">
        <v>-42.0823</v>
      </c>
      <c r="C10" s="5" t="n">
        <f aca="false">B10^2</f>
        <v>1770.91997329</v>
      </c>
    </row>
    <row r="11" customFormat="false" ht="15" hidden="false" customHeight="true" outlineLevel="0" collapsed="false">
      <c r="A11" s="3" t="n">
        <v>15</v>
      </c>
      <c r="B11" s="4" t="n">
        <v>-56.8243</v>
      </c>
      <c r="C11" s="5" t="n">
        <f aca="false">B11^2</f>
        <v>3229.00107049</v>
      </c>
    </row>
    <row r="12" customFormat="false" ht="15" hidden="false" customHeight="true" outlineLevel="0" collapsed="false">
      <c r="A12" s="3" t="n">
        <v>16</v>
      </c>
      <c r="B12" s="4" t="n">
        <v>-16.5321</v>
      </c>
      <c r="C12" s="5" t="n">
        <f aca="false">B12^2</f>
        <v>273.31033041</v>
      </c>
    </row>
    <row r="13" customFormat="false" ht="15" hidden="false" customHeight="true" outlineLevel="0" collapsed="false">
      <c r="A13" s="3" t="n">
        <v>17</v>
      </c>
      <c r="B13" s="4" t="n">
        <v>20.6126</v>
      </c>
      <c r="C13" s="5" t="n">
        <f aca="false">B13^2</f>
        <v>424.87927876</v>
      </c>
    </row>
    <row r="14" customFormat="false" ht="15" hidden="false" customHeight="true" outlineLevel="0" collapsed="false">
      <c r="A14" s="3" t="n">
        <v>18</v>
      </c>
      <c r="B14" s="4" t="n">
        <v>93.3089</v>
      </c>
      <c r="C14" s="5" t="n">
        <f aca="false">B14^2</f>
        <v>8706.55081921</v>
      </c>
    </row>
    <row r="15" customFormat="false" ht="15" hidden="false" customHeight="true" outlineLevel="0" collapsed="false">
      <c r="A15" s="3" t="n">
        <v>19</v>
      </c>
      <c r="B15" s="4" t="n">
        <v>-7.8372</v>
      </c>
      <c r="C15" s="5" t="n">
        <f aca="false">B15^2</f>
        <v>61.42170384</v>
      </c>
    </row>
    <row r="16" customFormat="false" ht="15" hidden="false" customHeight="true" outlineLevel="0" collapsed="false">
      <c r="A16" s="3" t="n">
        <v>20</v>
      </c>
      <c r="B16" s="4" t="n">
        <v>70.2832</v>
      </c>
      <c r="C16" s="5" t="n">
        <f aca="false">B16^2</f>
        <v>4939.72820224</v>
      </c>
    </row>
    <row r="17" customFormat="false" ht="15" hidden="false" customHeight="true" outlineLevel="0" collapsed="false">
      <c r="A17" s="3" t="n">
        <v>21</v>
      </c>
      <c r="B17" s="4" t="n">
        <v>-78.5427</v>
      </c>
      <c r="C17" s="5" t="n">
        <f aca="false">B17^2</f>
        <v>6168.95572329</v>
      </c>
    </row>
    <row r="18" customFormat="false" ht="15" hidden="false" customHeight="true" outlineLevel="0" collapsed="false">
      <c r="A18" s="3" t="n">
        <v>22</v>
      </c>
      <c r="B18" s="4" t="n">
        <v>22.2871</v>
      </c>
      <c r="C18" s="5" t="n">
        <f aca="false">B18^2</f>
        <v>496.71482641</v>
      </c>
    </row>
    <row r="19" customFormat="false" ht="15" hidden="false" customHeight="true" outlineLevel="0" collapsed="false">
      <c r="A19" s="3" t="n">
        <v>23</v>
      </c>
      <c r="B19" s="4" t="n">
        <v>-62.6844</v>
      </c>
      <c r="C19" s="5" t="n">
        <f aca="false">B19^2</f>
        <v>3929.33400336</v>
      </c>
    </row>
    <row r="20" customFormat="false" ht="15" hidden="false" customHeight="true" outlineLevel="0" collapsed="false">
      <c r="A20" s="3" t="n">
        <v>24</v>
      </c>
      <c r="B20" s="4" t="n">
        <v>65.5246</v>
      </c>
      <c r="C20" s="5" t="n">
        <f aca="false">B20^2</f>
        <v>4293.47320516</v>
      </c>
    </row>
    <row r="21" customFormat="false" ht="15" hidden="false" customHeight="true" outlineLevel="0" collapsed="false">
      <c r="A21" s="3" t="n">
        <v>25</v>
      </c>
      <c r="B21" s="4" t="n">
        <v>46.1369</v>
      </c>
      <c r="C21" s="5" t="n">
        <f aca="false">B21^2</f>
        <v>2128.61354161</v>
      </c>
    </row>
    <row r="22" customFormat="false" ht="15" hidden="false" customHeight="true" outlineLevel="0" collapsed="false">
      <c r="A22" s="3" t="n">
        <v>26</v>
      </c>
      <c r="B22" s="4" t="n">
        <v>22.4953</v>
      </c>
      <c r="C22" s="5" t="n">
        <f aca="false">B22^2</f>
        <v>506.03852209</v>
      </c>
    </row>
    <row r="23" customFormat="false" ht="15" hidden="false" customHeight="true" outlineLevel="0" collapsed="false">
      <c r="A23" s="3" t="n">
        <v>27</v>
      </c>
      <c r="B23" s="4" t="n">
        <v>-19.6111</v>
      </c>
      <c r="C23" s="5" t="n">
        <f aca="false">B23^2</f>
        <v>384.59524321</v>
      </c>
    </row>
    <row r="24" customFormat="false" ht="15" hidden="false" customHeight="true" outlineLevel="0" collapsed="false">
      <c r="A24" s="3" t="n">
        <v>28</v>
      </c>
      <c r="B24" s="4" t="n">
        <v>79.291</v>
      </c>
      <c r="C24" s="5" t="n">
        <f aca="false">B24^2</f>
        <v>6287.062681</v>
      </c>
    </row>
    <row r="25" customFormat="false" ht="15" hidden="false" customHeight="true" outlineLevel="0" collapsed="false">
      <c r="A25" s="3" t="n">
        <v>29</v>
      </c>
      <c r="B25" s="4" t="n">
        <v>9.1718</v>
      </c>
      <c r="C25" s="5" t="n">
        <f aca="false">B25^2</f>
        <v>84.12191524</v>
      </c>
    </row>
    <row r="26" customFormat="false" ht="15" hidden="false" customHeight="true" outlineLevel="0" collapsed="false">
      <c r="A26" s="3" t="n">
        <v>30</v>
      </c>
      <c r="B26" s="4" t="n">
        <v>-24.393</v>
      </c>
      <c r="C26" s="5" t="n">
        <f aca="false">B26^2</f>
        <v>595.018449</v>
      </c>
    </row>
    <row r="27" customFormat="false" ht="15" hidden="false" customHeight="true" outlineLevel="0" collapsed="false">
      <c r="A27" s="3" t="n">
        <v>31</v>
      </c>
      <c r="B27" s="4" t="n">
        <v>105.7081</v>
      </c>
      <c r="C27" s="5" t="n">
        <f aca="false">B27^2</f>
        <v>11174.20240561</v>
      </c>
    </row>
    <row r="28" customFormat="false" ht="15" hidden="false" customHeight="true" outlineLevel="0" collapsed="false">
      <c r="A28" s="3" t="n">
        <v>32</v>
      </c>
      <c r="B28" s="4" t="n">
        <v>16.2758</v>
      </c>
      <c r="C28" s="5" t="n">
        <f aca="false">B28^2</f>
        <v>264.90166564</v>
      </c>
    </row>
    <row r="29" customFormat="false" ht="15" hidden="false" customHeight="true" outlineLevel="0" collapsed="false">
      <c r="A29" s="3" t="n">
        <v>33</v>
      </c>
      <c r="B29" s="4" t="n">
        <v>20.2724</v>
      </c>
      <c r="C29" s="5" t="n">
        <f aca="false">B29^2</f>
        <v>410.97020176</v>
      </c>
    </row>
    <row r="30" customFormat="false" ht="15" hidden="false" customHeight="true" outlineLevel="0" collapsed="false">
      <c r="A30" s="3" t="n">
        <v>34</v>
      </c>
      <c r="B30" s="4" t="n">
        <v>27.4838</v>
      </c>
      <c r="C30" s="5" t="n">
        <f aca="false">B30^2</f>
        <v>755.35926244</v>
      </c>
    </row>
    <row r="31" customFormat="false" ht="15" hidden="false" customHeight="true" outlineLevel="0" collapsed="false">
      <c r="A31" s="3" t="n">
        <v>35</v>
      </c>
      <c r="B31" s="4" t="n">
        <v>-116.7903</v>
      </c>
      <c r="C31" s="5" t="n">
        <f aca="false">B31^2</f>
        <v>13639.97417409</v>
      </c>
    </row>
    <row r="32" customFormat="false" ht="15" hidden="false" customHeight="true" outlineLevel="0" collapsed="false">
      <c r="A32" s="3" t="n">
        <v>36</v>
      </c>
      <c r="B32" s="4" t="n">
        <v>71.4476</v>
      </c>
      <c r="C32" s="5" t="n">
        <f aca="false">B32^2</f>
        <v>5104.75954576</v>
      </c>
    </row>
    <row r="33" customFormat="false" ht="15" hidden="false" customHeight="true" outlineLevel="0" collapsed="false">
      <c r="A33" s="3" t="n">
        <v>37</v>
      </c>
      <c r="B33" s="4" t="n">
        <v>-22.1209</v>
      </c>
      <c r="C33" s="5" t="n">
        <f aca="false">B33^2</f>
        <v>489.33421681</v>
      </c>
    </row>
    <row r="34" customFormat="false" ht="15" hidden="false" customHeight="true" outlineLevel="0" collapsed="false">
      <c r="A34" s="3" t="n">
        <v>38</v>
      </c>
      <c r="B34" s="4" t="n">
        <v>-139.9967</v>
      </c>
      <c r="C34" s="5" t="n">
        <f aca="false">B34^2</f>
        <v>19599.07601089</v>
      </c>
    </row>
    <row r="35" customFormat="false" ht="15" hidden="false" customHeight="true" outlineLevel="0" collapsed="false">
      <c r="A35" s="3" t="n">
        <v>39</v>
      </c>
      <c r="B35" s="4" t="n">
        <v>-19.7138</v>
      </c>
      <c r="C35" s="5" t="n">
        <f aca="false">B35^2</f>
        <v>388.63391044</v>
      </c>
    </row>
    <row r="36" customFormat="false" ht="15" hidden="false" customHeight="true" outlineLevel="0" collapsed="false">
      <c r="A36" s="3" t="n">
        <v>40</v>
      </c>
      <c r="B36" s="4" t="n">
        <v>20.5982</v>
      </c>
      <c r="C36" s="5" t="n">
        <f aca="false">B36^2</f>
        <v>424.28584324</v>
      </c>
    </row>
    <row r="37" customFormat="false" ht="15" hidden="false" customHeight="true" outlineLevel="0" collapsed="false">
      <c r="A37" s="3" t="n">
        <v>41</v>
      </c>
      <c r="B37" s="4" t="n">
        <v>90.492</v>
      </c>
      <c r="C37" s="5" t="n">
        <f aca="false">B37^2</f>
        <v>8188.802064</v>
      </c>
    </row>
    <row r="38" customFormat="false" ht="15" hidden="false" customHeight="true" outlineLevel="0" collapsed="false">
      <c r="A38" s="3" t="n">
        <v>42</v>
      </c>
      <c r="B38" s="4" t="n">
        <v>-125.8684</v>
      </c>
      <c r="C38" s="5" t="n">
        <f aca="false">B38^2</f>
        <v>15842.85411856</v>
      </c>
    </row>
    <row r="39" customFormat="false" ht="15" hidden="false" customHeight="true" outlineLevel="0" collapsed="false">
      <c r="A39" s="3" t="n">
        <v>43</v>
      </c>
      <c r="B39" s="4" t="n">
        <v>7.841</v>
      </c>
      <c r="C39" s="5" t="n">
        <f aca="false">B39^2</f>
        <v>61.481281</v>
      </c>
    </row>
    <row r="40" customFormat="false" ht="15" hidden="false" customHeight="true" outlineLevel="0" collapsed="false">
      <c r="A40" s="3" t="n">
        <v>44</v>
      </c>
      <c r="B40" s="4" t="n">
        <v>-56.1742</v>
      </c>
      <c r="C40" s="5" t="n">
        <f aca="false">B40^2</f>
        <v>3155.54074564</v>
      </c>
    </row>
    <row r="41" customFormat="false" ht="15" hidden="false" customHeight="true" outlineLevel="0" collapsed="false">
      <c r="A41" s="3" t="n">
        <v>45</v>
      </c>
      <c r="B41" s="4" t="n">
        <v>-15.774</v>
      </c>
      <c r="C41" s="5" t="n">
        <f aca="false">B41^2</f>
        <v>248.819076</v>
      </c>
    </row>
    <row r="42" customFormat="false" ht="15" hidden="false" customHeight="true" outlineLevel="0" collapsed="false">
      <c r="A42" s="3" t="n">
        <v>46</v>
      </c>
      <c r="B42" s="4" t="n">
        <v>-21.9117</v>
      </c>
      <c r="C42" s="5" t="n">
        <f aca="false">B42^2</f>
        <v>480.12259689</v>
      </c>
    </row>
    <row r="43" customFormat="false" ht="15" hidden="false" customHeight="true" outlineLevel="0" collapsed="false">
      <c r="A43" s="3" t="n">
        <v>47</v>
      </c>
      <c r="B43" s="4" t="n">
        <v>-1.2174</v>
      </c>
      <c r="C43" s="5" t="n">
        <f aca="false">B43^2</f>
        <v>1.48206276</v>
      </c>
    </row>
    <row r="44" customFormat="false" ht="15" hidden="false" customHeight="true" outlineLevel="0" collapsed="false">
      <c r="A44" s="3" t="n">
        <v>48</v>
      </c>
      <c r="B44" s="4" t="n">
        <v>5.8997</v>
      </c>
      <c r="C44" s="5" t="n">
        <f aca="false">B44^2</f>
        <v>34.80646009</v>
      </c>
    </row>
    <row r="45" customFormat="false" ht="15" hidden="false" customHeight="true" outlineLevel="0" collapsed="false">
      <c r="A45" s="3" t="n">
        <v>49</v>
      </c>
      <c r="B45" s="4" t="n">
        <v>-35.3503</v>
      </c>
      <c r="C45" s="5" t="n">
        <f aca="false">B45^2</f>
        <v>1249.64371009</v>
      </c>
    </row>
    <row r="46" customFormat="false" ht="15" hidden="false" customHeight="true" outlineLevel="0" collapsed="false">
      <c r="A46" s="3" t="n">
        <v>50</v>
      </c>
      <c r="B46" s="4" t="n">
        <v>90.989</v>
      </c>
      <c r="C46" s="5" t="n">
        <f aca="false">B46^2</f>
        <v>8278.998121</v>
      </c>
    </row>
    <row r="47" customFormat="false" ht="15" hidden="false" customHeight="true" outlineLevel="0" collapsed="false">
      <c r="A47" s="3" t="n">
        <v>51</v>
      </c>
      <c r="B47" s="4" t="n">
        <v>5.9543</v>
      </c>
      <c r="C47" s="5" t="n">
        <f aca="false">B47^2</f>
        <v>35.45368849</v>
      </c>
    </row>
    <row r="48" customFormat="false" ht="15" hidden="false" customHeight="true" outlineLevel="0" collapsed="false">
      <c r="A48" s="3" t="n">
        <v>52</v>
      </c>
      <c r="B48" s="4" t="n">
        <v>-36.044</v>
      </c>
      <c r="C48" s="5" t="n">
        <f aca="false">B48^2</f>
        <v>1299.169936</v>
      </c>
    </row>
    <row r="49" customFormat="false" ht="15" hidden="false" customHeight="true" outlineLevel="0" collapsed="false">
      <c r="A49" s="3" t="n">
        <v>53</v>
      </c>
      <c r="B49" s="4" t="n">
        <v>-58.9239</v>
      </c>
      <c r="C49" s="5" t="n">
        <f aca="false">B49^2</f>
        <v>3472.02599121</v>
      </c>
    </row>
    <row r="50" customFormat="false" ht="15" hidden="false" customHeight="true" outlineLevel="0" collapsed="false">
      <c r="A50" s="3" t="n">
        <v>54</v>
      </c>
      <c r="B50" s="4" t="n">
        <v>-20.6861</v>
      </c>
      <c r="C50" s="5" t="n">
        <f aca="false">B50^2</f>
        <v>427.91473321</v>
      </c>
    </row>
    <row r="51" customFormat="false" ht="15" hidden="false" customHeight="true" outlineLevel="0" collapsed="false">
      <c r="A51" s="3" t="n">
        <v>55</v>
      </c>
      <c r="B51" s="4" t="n">
        <v>-70.847</v>
      </c>
      <c r="C51" s="5" t="n">
        <f aca="false">B51^2</f>
        <v>5019.297409</v>
      </c>
    </row>
    <row r="52" customFormat="false" ht="15" hidden="false" customHeight="true" outlineLevel="0" collapsed="false">
      <c r="A52" s="3" t="n">
        <v>56</v>
      </c>
      <c r="B52" s="4" t="n">
        <v>-26.7605</v>
      </c>
      <c r="C52" s="5" t="n">
        <f aca="false">B52^2</f>
        <v>716.12436025</v>
      </c>
    </row>
    <row r="53" customFormat="false" ht="15" hidden="false" customHeight="true" outlineLevel="0" collapsed="false">
      <c r="A53" s="3" t="n">
        <v>57</v>
      </c>
      <c r="B53" s="4" t="n">
        <v>-40.8126</v>
      </c>
      <c r="C53" s="5" t="n">
        <f aca="false">B53^2</f>
        <v>1665.66831876</v>
      </c>
    </row>
    <row r="54" customFormat="false" ht="15" hidden="false" customHeight="true" outlineLevel="0" collapsed="false">
      <c r="A54" s="3" t="n">
        <v>58</v>
      </c>
      <c r="B54" s="4" t="n">
        <v>-80.234</v>
      </c>
      <c r="C54" s="5" t="n">
        <f aca="false">B54^2</f>
        <v>6437.494756</v>
      </c>
    </row>
    <row r="55" customFormat="false" ht="15" hidden="false" customHeight="true" outlineLevel="0" collapsed="false">
      <c r="A55" s="3" t="n">
        <v>59</v>
      </c>
      <c r="B55" s="4" t="n">
        <v>94.7311</v>
      </c>
      <c r="C55" s="5" t="n">
        <f aca="false">B55^2</f>
        <v>8973.98130721</v>
      </c>
    </row>
    <row r="56" customFormat="false" ht="15" hidden="false" customHeight="true" outlineLevel="0" collapsed="false">
      <c r="A56" s="3" t="n">
        <v>60</v>
      </c>
      <c r="B56" s="4" t="n">
        <v>63.4044</v>
      </c>
      <c r="C56" s="5" t="n">
        <f aca="false">B56^2</f>
        <v>4020.11793936</v>
      </c>
    </row>
    <row r="57" customFormat="false" ht="15" hidden="false" customHeight="true" outlineLevel="0" collapsed="false">
      <c r="A57" s="3" t="n">
        <v>61</v>
      </c>
      <c r="B57" s="4" t="n">
        <v>49.0785</v>
      </c>
      <c r="C57" s="5" t="n">
        <f aca="false">B57^2</f>
        <v>2408.69916225</v>
      </c>
    </row>
    <row r="58" customFormat="false" ht="15" hidden="false" customHeight="true" outlineLevel="0" collapsed="false">
      <c r="A58" s="3" t="n">
        <v>62</v>
      </c>
      <c r="B58" s="4" t="n">
        <v>-121.6966</v>
      </c>
      <c r="C58" s="5" t="n">
        <f aca="false">B58^2</f>
        <v>14810.06245156</v>
      </c>
    </row>
    <row r="59" customFormat="false" ht="15" hidden="false" customHeight="true" outlineLevel="0" collapsed="false">
      <c r="A59" s="3" t="n">
        <v>63</v>
      </c>
      <c r="B59" s="4" t="n">
        <v>116.4059</v>
      </c>
      <c r="C59" s="5" t="n">
        <f aca="false">B59^2</f>
        <v>13550.33355481</v>
      </c>
    </row>
    <row r="60" customFormat="false" ht="15" hidden="false" customHeight="true" outlineLevel="0" collapsed="false">
      <c r="A60" s="3" t="n">
        <v>64</v>
      </c>
      <c r="B60" s="4" t="n">
        <v>-39.5077</v>
      </c>
      <c r="C60" s="5" t="n">
        <f aca="false">B60^2</f>
        <v>1560.85835929</v>
      </c>
    </row>
    <row r="61" customFormat="false" ht="15" hidden="false" customHeight="true" outlineLevel="0" collapsed="false">
      <c r="A61" s="3" t="n">
        <v>65</v>
      </c>
      <c r="B61" s="4" t="n">
        <v>-9.6222</v>
      </c>
      <c r="C61" s="5" t="n">
        <f aca="false">B61^2</f>
        <v>92.58673284</v>
      </c>
    </row>
    <row r="62" customFormat="false" ht="15" hidden="false" customHeight="true" outlineLevel="0" collapsed="false">
      <c r="A62" s="3" t="n">
        <v>66</v>
      </c>
      <c r="B62" s="4" t="n">
        <v>-8.2711</v>
      </c>
      <c r="C62" s="5" t="n">
        <f aca="false">B62^2</f>
        <v>68.41109521</v>
      </c>
    </row>
    <row r="63" customFormat="false" ht="15" hidden="false" customHeight="true" outlineLevel="0" collapsed="false">
      <c r="A63" s="3" t="n">
        <v>67</v>
      </c>
      <c r="B63" s="4" t="n">
        <v>14.6902</v>
      </c>
      <c r="C63" s="5" t="n">
        <f aca="false">B63^2</f>
        <v>215.80197604</v>
      </c>
    </row>
    <row r="64" customFormat="false" ht="15" hidden="false" customHeight="true" outlineLevel="0" collapsed="false">
      <c r="A64" s="3" t="n">
        <v>68</v>
      </c>
      <c r="B64" s="4" t="n">
        <v>-117.1449</v>
      </c>
      <c r="C64" s="5" t="n">
        <f aca="false">B64^2</f>
        <v>13722.92759601</v>
      </c>
    </row>
    <row r="65" customFormat="false" ht="15" hidden="false" customHeight="true" outlineLevel="0" collapsed="false">
      <c r="A65" s="3" t="n">
        <v>69</v>
      </c>
      <c r="B65" s="4" t="n">
        <v>-41.0284</v>
      </c>
      <c r="C65" s="5" t="n">
        <f aca="false">B65^2</f>
        <v>1683.32960656</v>
      </c>
    </row>
    <row r="66" customFormat="false" ht="15" hidden="false" customHeight="true" outlineLevel="0" collapsed="false">
      <c r="A66" s="3" t="n">
        <v>70</v>
      </c>
      <c r="B66" s="4" t="n">
        <v>109.1106</v>
      </c>
      <c r="C66" s="5" t="n">
        <f aca="false">B66^2</f>
        <v>11905.12303236</v>
      </c>
    </row>
    <row r="67" customFormat="false" ht="15" hidden="false" customHeight="true" outlineLevel="0" collapsed="false">
      <c r="A67" s="3" t="n">
        <v>71</v>
      </c>
      <c r="B67" s="4" t="n">
        <v>16.3578</v>
      </c>
      <c r="C67" s="5" t="n">
        <f aca="false">B67^2</f>
        <v>267.57762084</v>
      </c>
    </row>
    <row r="68" customFormat="false" ht="15" hidden="false" customHeight="true" outlineLevel="0" collapsed="false">
      <c r="A68" s="3" t="n">
        <v>72</v>
      </c>
      <c r="B68" s="4" t="n">
        <v>1.5618</v>
      </c>
      <c r="C68" s="5" t="n">
        <f aca="false">B68^2</f>
        <v>2.43921924</v>
      </c>
    </row>
    <row r="69" customFormat="false" ht="15" hidden="false" customHeight="true" outlineLevel="0" collapsed="false">
      <c r="A69" s="3" t="n">
        <v>73</v>
      </c>
      <c r="B69" s="4" t="n">
        <v>-42.4008</v>
      </c>
      <c r="C69" s="5" t="n">
        <f aca="false">B69^2</f>
        <v>1797.82784064</v>
      </c>
    </row>
    <row r="70" customFormat="false" ht="15" hidden="false" customHeight="true" outlineLevel="0" collapsed="false">
      <c r="A70" s="3" t="n">
        <v>74</v>
      </c>
      <c r="B70" s="4" t="n">
        <v>-62.1932</v>
      </c>
      <c r="C70" s="5" t="n">
        <f aca="false">B70^2</f>
        <v>3867.99412624</v>
      </c>
    </row>
    <row r="71" customFormat="false" ht="15" hidden="false" customHeight="true" outlineLevel="0" collapsed="false">
      <c r="A71" s="3" t="n">
        <v>75</v>
      </c>
      <c r="B71" s="4" t="n">
        <v>150.9423</v>
      </c>
      <c r="C71" s="5" t="n">
        <f aca="false">B71^2</f>
        <v>22783.57792929</v>
      </c>
    </row>
    <row r="72" customFormat="false" ht="15" hidden="false" customHeight="true" outlineLevel="0" collapsed="false">
      <c r="A72" s="3" t="n">
        <v>76</v>
      </c>
      <c r="B72" s="4" t="n">
        <v>77.9128</v>
      </c>
      <c r="C72" s="5" t="n">
        <f aca="false">B72^2</f>
        <v>6070.40440384</v>
      </c>
    </row>
    <row r="73" customFormat="false" ht="15" hidden="false" customHeight="true" outlineLevel="0" collapsed="false">
      <c r="A73" s="3" t="n">
        <v>77</v>
      </c>
      <c r="B73" s="4" t="n">
        <v>16.61</v>
      </c>
      <c r="C73" s="5" t="n">
        <f aca="false">B73^2</f>
        <v>275.8921</v>
      </c>
    </row>
    <row r="74" customFormat="false" ht="15" hidden="false" customHeight="true" outlineLevel="0" collapsed="false">
      <c r="A74" s="3" t="n">
        <v>78</v>
      </c>
      <c r="B74" s="4" t="n">
        <v>-17.6949</v>
      </c>
      <c r="C74" s="5" t="n">
        <f aca="false">B74^2</f>
        <v>313.10948601</v>
      </c>
    </row>
    <row r="75" customFormat="false" ht="15" hidden="false" customHeight="true" outlineLevel="0" collapsed="false">
      <c r="A75" s="3" t="n">
        <v>79</v>
      </c>
      <c r="B75" s="4" t="n">
        <v>103.0246</v>
      </c>
      <c r="C75" s="5" t="n">
        <f aca="false">B75^2</f>
        <v>10614.06820516</v>
      </c>
    </row>
    <row r="76" customFormat="false" ht="15" hidden="false" customHeight="true" outlineLevel="0" collapsed="false">
      <c r="A76" s="3" t="n">
        <v>80</v>
      </c>
      <c r="B76" s="4" t="n">
        <v>1.8184</v>
      </c>
      <c r="C76" s="5" t="n">
        <f aca="false">B76^2</f>
        <v>3.30657856</v>
      </c>
    </row>
    <row r="78" customFormat="false" ht="15" hidden="false" customHeight="true" outlineLevel="0" collapsed="false">
      <c r="A78" s="6" t="s">
        <v>3</v>
      </c>
      <c r="B78" s="6"/>
      <c r="C78" s="7" t="n">
        <v>75</v>
      </c>
    </row>
    <row r="79" customFormat="false" ht="15" hidden="false" customHeight="true" outlineLevel="0" collapsed="false">
      <c r="A79" s="6" t="s">
        <v>4</v>
      </c>
      <c r="B79" s="6"/>
      <c r="C79" s="8" t="n">
        <f aca="false">SUM(C2:C76)</f>
        <v>283311.53261907</v>
      </c>
    </row>
    <row r="80" customFormat="false" ht="15" hidden="false" customHeight="true" outlineLevel="0" collapsed="false">
      <c r="A80" s="6" t="s">
        <v>5</v>
      </c>
      <c r="B80" s="6"/>
      <c r="C80" s="9" t="n">
        <f aca="false">C79/C78</f>
        <v>3777.4871015876</v>
      </c>
    </row>
    <row r="81" customFormat="false" ht="15" hidden="false" customHeight="true" outlineLevel="0" collapsed="false">
      <c r="A81" s="6" t="s">
        <v>6</v>
      </c>
      <c r="B81" s="6"/>
      <c r="C81" s="10" t="n">
        <f aca="false">LN(C80)</f>
        <v>8.23681427960436</v>
      </c>
    </row>
    <row r="82" customFormat="false" ht="15" hidden="false" customHeight="true" outlineLevel="0" collapsed="false">
      <c r="A82" s="6" t="s">
        <v>7</v>
      </c>
      <c r="B82" s="6"/>
      <c r="C82" s="10" t="n">
        <f aca="false">LN(2*PI())</f>
        <v>1.83787706640935</v>
      </c>
    </row>
    <row r="83" customFormat="false" ht="15" hidden="false" customHeight="true" outlineLevel="0" collapsed="false">
      <c r="A83" s="6" t="s">
        <v>8</v>
      </c>
      <c r="B83" s="6"/>
      <c r="C83" s="8" t="n">
        <f aca="false">C78*C81</f>
        <v>617.761070970327</v>
      </c>
    </row>
    <row r="84" customFormat="false" ht="15" hidden="false" customHeight="true" outlineLevel="0" collapsed="false">
      <c r="A84" s="6" t="s">
        <v>9</v>
      </c>
      <c r="B84" s="6"/>
      <c r="C84" s="8" t="n">
        <f aca="false">C78*C82</f>
        <v>137.840779980701</v>
      </c>
    </row>
    <row r="85" customFormat="false" ht="15" hidden="false" customHeight="true" outlineLevel="0" collapsed="false">
      <c r="A85" s="6" t="s">
        <v>10</v>
      </c>
      <c r="B85" s="6"/>
      <c r="C85" s="7" t="n">
        <v>5</v>
      </c>
    </row>
    <row r="86" customFormat="false" ht="15" hidden="false" customHeight="true" outlineLevel="0" collapsed="false">
      <c r="A86" s="6" t="s">
        <v>11</v>
      </c>
      <c r="B86" s="6"/>
      <c r="C86" s="11" t="n">
        <f aca="false">2*C85</f>
        <v>10</v>
      </c>
    </row>
    <row r="87" customFormat="false" ht="15" hidden="false" customHeight="true" outlineLevel="0" collapsed="false">
      <c r="A87" s="12" t="s">
        <v>12</v>
      </c>
      <c r="B87" s="12"/>
      <c r="C87" s="13" t="n">
        <f aca="false">C83+C84+C78+C86</f>
        <v>840.601850951028</v>
      </c>
    </row>
  </sheetData>
  <mergeCells count="10"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2"/>
    <col collapsed="false" customWidth="true" hidden="false" outlineLevel="0" max="3" min="3" style="1" width="36"/>
    <col collapsed="false" customWidth="true" hidden="false" outlineLevel="0" max="4" min="4" style="1" width="18"/>
  </cols>
  <sheetData>
    <row r="1" customFormat="false" ht="19.5" hidden="false" customHeight="true" outlineLevel="0" collapsed="false">
      <c r="A1" s="2" t="s">
        <v>13</v>
      </c>
      <c r="B1" s="2" t="s">
        <v>14</v>
      </c>
      <c r="C1" s="2" t="s">
        <v>15</v>
      </c>
      <c r="D1" s="2" t="s">
        <v>16</v>
      </c>
    </row>
    <row r="2" customFormat="false" ht="15" hidden="false" customHeight="true" outlineLevel="0" collapsed="false">
      <c r="A2" s="14" t="s">
        <v>17</v>
      </c>
      <c r="B2" s="15" t="s">
        <v>18</v>
      </c>
      <c r="C2" s="15" t="s">
        <v>19</v>
      </c>
      <c r="D2" s="16" t="n">
        <f aca="false">'Data Residual'!C78</f>
        <v>75</v>
      </c>
    </row>
    <row r="3" customFormat="false" ht="15" hidden="false" customHeight="true" outlineLevel="0" collapsed="false">
      <c r="A3" s="14" t="s">
        <v>20</v>
      </c>
      <c r="B3" s="15" t="s">
        <v>21</v>
      </c>
      <c r="C3" s="15" t="s">
        <v>22</v>
      </c>
      <c r="D3" s="5" t="n">
        <f aca="false">'Data Residual'!C79</f>
        <v>283311.53261907</v>
      </c>
    </row>
    <row r="4" customFormat="false" ht="15" hidden="false" customHeight="true" outlineLevel="0" collapsed="false">
      <c r="A4" s="14" t="s">
        <v>23</v>
      </c>
      <c r="B4" s="15" t="s">
        <v>24</v>
      </c>
      <c r="C4" s="15" t="s">
        <v>25</v>
      </c>
      <c r="D4" s="17" t="n">
        <f aca="false">'Data Residual'!C80</f>
        <v>3777.4871015876</v>
      </c>
    </row>
    <row r="5" customFormat="false" ht="15" hidden="false" customHeight="true" outlineLevel="0" collapsed="false">
      <c r="A5" s="14" t="s">
        <v>26</v>
      </c>
      <c r="B5" s="15" t="s">
        <v>27</v>
      </c>
      <c r="C5" s="15" t="s">
        <v>28</v>
      </c>
      <c r="D5" s="18" t="n">
        <f aca="false">'Data Residual'!C81</f>
        <v>8.23681427960436</v>
      </c>
    </row>
    <row r="6" customFormat="false" ht="15" hidden="false" customHeight="true" outlineLevel="0" collapsed="false">
      <c r="A6" s="14" t="s">
        <v>29</v>
      </c>
      <c r="B6" s="15" t="s">
        <v>30</v>
      </c>
      <c r="C6" s="15" t="s">
        <v>31</v>
      </c>
      <c r="D6" s="18" t="n">
        <f aca="false">'Data Residual'!C82</f>
        <v>1.83787706640935</v>
      </c>
    </row>
    <row r="7" customFormat="false" ht="15" hidden="false" customHeight="true" outlineLevel="0" collapsed="false">
      <c r="A7" s="14" t="s">
        <v>32</v>
      </c>
      <c r="B7" s="15" t="s">
        <v>33</v>
      </c>
      <c r="C7" s="15" t="s">
        <v>34</v>
      </c>
      <c r="D7" s="5" t="n">
        <f aca="false">'Data Residual'!C83</f>
        <v>617.761070970327</v>
      </c>
    </row>
    <row r="8" customFormat="false" ht="15" hidden="false" customHeight="true" outlineLevel="0" collapsed="false">
      <c r="A8" s="14" t="s">
        <v>35</v>
      </c>
      <c r="B8" s="15" t="s">
        <v>36</v>
      </c>
      <c r="C8" s="15" t="s">
        <v>37</v>
      </c>
      <c r="D8" s="5" t="n">
        <f aca="false">'Data Residual'!C84</f>
        <v>137.840779980701</v>
      </c>
    </row>
    <row r="9" customFormat="false" ht="15" hidden="false" customHeight="true" outlineLevel="0" collapsed="false">
      <c r="A9" s="14" t="s">
        <v>38</v>
      </c>
      <c r="B9" s="15" t="s">
        <v>39</v>
      </c>
      <c r="C9" s="15" t="s">
        <v>40</v>
      </c>
      <c r="D9" s="16" t="n">
        <f aca="false">'Data Residual'!C85</f>
        <v>5</v>
      </c>
    </row>
    <row r="10" customFormat="false" ht="15" hidden="false" customHeight="true" outlineLevel="0" collapsed="false">
      <c r="A10" s="14" t="s">
        <v>41</v>
      </c>
      <c r="B10" s="15" t="s">
        <v>11</v>
      </c>
      <c r="C10" s="15" t="s">
        <v>42</v>
      </c>
      <c r="D10" s="16" t="n">
        <f aca="false">'Data Residual'!C86</f>
        <v>10</v>
      </c>
    </row>
    <row r="11" customFormat="false" ht="15" hidden="false" customHeight="true" outlineLevel="0" collapsed="false">
      <c r="A11" s="14" t="s">
        <v>43</v>
      </c>
      <c r="B11" s="15" t="s">
        <v>44</v>
      </c>
      <c r="C11" s="15" t="s">
        <v>45</v>
      </c>
      <c r="D11" s="13" t="n">
        <f aca="false">'Data Residual'!C87</f>
        <v>840.601850951028</v>
      </c>
    </row>
    <row r="12" customFormat="false" ht="15" hidden="false" customHeight="true" outlineLevel="0" collapsed="false">
      <c r="A12" s="14" t="s">
        <v>46</v>
      </c>
      <c r="B12" s="15" t="s">
        <v>47</v>
      </c>
      <c r="C12" s="15" t="s">
        <v>48</v>
      </c>
      <c r="D12" s="19" t="n">
        <v>840.9545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2026-05-31T00:30:12Z</dcterms:created>
  <dc:creator>openpyxl</dc:creator>
  <dc:description/>
  <dc:language>en-US</dc:language>
  <cp:lastModifiedBy/>
  <dcterms:modified xsi:type="dcterms:W3CDTF">2026-05-31T00:30:53Z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