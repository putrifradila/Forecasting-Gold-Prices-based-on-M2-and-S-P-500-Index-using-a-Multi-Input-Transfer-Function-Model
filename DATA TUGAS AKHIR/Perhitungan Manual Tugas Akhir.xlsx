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f7c1c5f87ad976/Dokumen/DATA TUGAS AKHIR/"/>
    </mc:Choice>
  </mc:AlternateContent>
  <xr:revisionPtr revIDLastSave="1053" documentId="8_{41A72CA2-FE95-4CF8-A472-E2C0F14E8E1E}" xr6:coauthVersionLast="47" xr6:coauthVersionMax="47" xr10:uidLastSave="{70C7E70F-AB65-4D04-BE0D-10F4A41C65B9}"/>
  <bookViews>
    <workbookView xWindow="-98" yWindow="-98" windowWidth="21795" windowHeight="12975" xr2:uid="{04041EBF-25CD-436F-A4FA-917E84526CE8}"/>
  </bookViews>
  <sheets>
    <sheet name="DATA" sheetId="28" r:id="rId1"/>
    <sheet name="Noise" sheetId="1" r:id="rId2"/>
    <sheet name="simultan " sheetId="22" r:id="rId3"/>
    <sheet name="MLE X2" sheetId="17" r:id="rId4"/>
    <sheet name="MLE X1" sheetId="18" r:id="rId5"/>
    <sheet name="MLE X1 WITH CONSTANTA" sheetId="20" r:id="rId6"/>
    <sheet name="MLE X2 WITH CONSTANTA" sheetId="19" r:id="rId7"/>
    <sheet name="Noise MU" sheetId="16" r:id="rId8"/>
    <sheet name="KS X1" sheetId="23" r:id="rId9"/>
    <sheet name="KSX2 " sheetId="24" r:id="rId10"/>
    <sheet name="KS FTMI" sheetId="25" r:id="rId11"/>
    <sheet name="AIC" sheetId="13" r:id="rId12"/>
    <sheet name="AIC FTMI" sheetId="26" r:id="rId13"/>
    <sheet name="acf pacf" sheetId="2" r:id="rId14"/>
    <sheet name="Prewhitening M2" sheetId="3" r:id="rId15"/>
    <sheet name="Prewhitening Emas M2" sheetId="4" r:id="rId16"/>
    <sheet name="CCF REVISI" sheetId="10" r:id="rId17"/>
    <sheet name="Prewhitening SP 500" sheetId="6" r:id="rId18"/>
    <sheet name="Prewhitening EMAS SP 500" sheetId="8" r:id="rId19"/>
    <sheet name="CCF X2 REVISI " sheetId="9" r:id="rId20"/>
    <sheet name="FORECAST" sheetId="7" r:id="rId21"/>
    <sheet name="cadangan" sheetId="12" r:id="rId22"/>
    <sheet name="FORECAST MASA DEPAN" sheetId="14" r:id="rId23"/>
    <sheet name="FORECAST MASA DEPAN DGN CONSTAN" sheetId="15" r:id="rId24"/>
  </sheets>
  <externalReferences>
    <externalReference r:id="rId25"/>
    <externalReference r:id="rId26"/>
    <externalReference r:id="rId27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C63" i="26"/>
  <c r="C60" i="26"/>
  <c r="C62" i="26" s="1"/>
  <c r="C57" i="26"/>
  <c r="C58" i="26" s="1"/>
  <c r="C59" i="26" s="1"/>
  <c r="C61" i="26" s="1"/>
  <c r="C64" i="26" s="1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B59" i="25"/>
  <c r="B58" i="25"/>
  <c r="B57" i="25"/>
  <c r="B56" i="25"/>
  <c r="B55" i="25"/>
  <c r="B54" i="25"/>
  <c r="B53" i="25"/>
  <c r="B52" i="25"/>
  <c r="B51" i="25"/>
  <c r="B50" i="25"/>
  <c r="B49" i="25"/>
  <c r="B48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H5" i="25"/>
  <c r="H4" i="25"/>
  <c r="H3" i="25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H4" i="24"/>
  <c r="H3" i="24"/>
  <c r="H2" i="24"/>
  <c r="B84" i="23"/>
  <c r="B83" i="23"/>
  <c r="B82" i="23"/>
  <c r="B81" i="23"/>
  <c r="B80" i="23"/>
  <c r="B79" i="23"/>
  <c r="B78" i="23"/>
  <c r="B77" i="23"/>
  <c r="B76" i="23"/>
  <c r="B75" i="23"/>
  <c r="B74" i="23"/>
  <c r="B73" i="23"/>
  <c r="B72" i="23"/>
  <c r="B71" i="23"/>
  <c r="B70" i="23"/>
  <c r="B69" i="23"/>
  <c r="B68" i="23"/>
  <c r="B67" i="23"/>
  <c r="B66" i="23"/>
  <c r="B65" i="23"/>
  <c r="B64" i="23"/>
  <c r="B63" i="23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H4" i="23"/>
  <c r="H3" i="23"/>
  <c r="H2" i="23"/>
  <c r="G81" i="16"/>
  <c r="F81" i="16"/>
  <c r="E81" i="16"/>
  <c r="D81" i="16"/>
  <c r="G81" i="22"/>
  <c r="F81" i="22"/>
  <c r="E81" i="22"/>
  <c r="D81" i="22"/>
  <c r="E81" i="1"/>
  <c r="F81" i="1"/>
  <c r="G81" i="1"/>
  <c r="D81" i="1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14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6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29" i="22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52" i="9" s="1"/>
  <c r="G59" i="9" s="1"/>
  <c r="G66" i="9" s="1"/>
  <c r="G73" i="9" s="1"/>
  <c r="G80" i="9" s="1"/>
  <c r="G46" i="9"/>
  <c r="G47" i="9"/>
  <c r="G48" i="9"/>
  <c r="G49" i="9"/>
  <c r="G50" i="9"/>
  <c r="G51" i="9"/>
  <c r="G53" i="9"/>
  <c r="G54" i="9"/>
  <c r="G55" i="9"/>
  <c r="G56" i="9"/>
  <c r="G57" i="9"/>
  <c r="G64" i="9" s="1"/>
  <c r="G71" i="9" s="1"/>
  <c r="G78" i="9" s="1"/>
  <c r="G58" i="9"/>
  <c r="G60" i="9"/>
  <c r="G61" i="9"/>
  <c r="G68" i="9" s="1"/>
  <c r="G75" i="9" s="1"/>
  <c r="G62" i="9"/>
  <c r="G63" i="9"/>
  <c r="G65" i="9"/>
  <c r="G67" i="9"/>
  <c r="G69" i="9"/>
  <c r="G70" i="9"/>
  <c r="G72" i="9"/>
  <c r="G74" i="9"/>
  <c r="G76" i="9"/>
  <c r="G77" i="9"/>
  <c r="G79" i="9"/>
  <c r="G81" i="9"/>
  <c r="D16" i="9"/>
  <c r="D23" i="9" s="1"/>
  <c r="D30" i="9" s="1"/>
  <c r="D37" i="9" s="1"/>
  <c r="D44" i="9" s="1"/>
  <c r="D51" i="9" s="1"/>
  <c r="D58" i="9" s="1"/>
  <c r="D65" i="9" s="1"/>
  <c r="D72" i="9" s="1"/>
  <c r="D79" i="9" s="1"/>
  <c r="D15" i="9"/>
  <c r="D22" i="9" s="1"/>
  <c r="D29" i="9" s="1"/>
  <c r="D36" i="9" s="1"/>
  <c r="D43" i="9" s="1"/>
  <c r="D50" i="9" s="1"/>
  <c r="D57" i="9" s="1"/>
  <c r="D64" i="9" s="1"/>
  <c r="D71" i="9" s="1"/>
  <c r="D78" i="9" s="1"/>
  <c r="D14" i="9"/>
  <c r="D21" i="9" s="1"/>
  <c r="D28" i="9" s="1"/>
  <c r="D35" i="9" s="1"/>
  <c r="D42" i="9" s="1"/>
  <c r="D49" i="9" s="1"/>
  <c r="D56" i="9" s="1"/>
  <c r="D63" i="9" s="1"/>
  <c r="D70" i="9" s="1"/>
  <c r="D77" i="9" s="1"/>
  <c r="D13" i="9"/>
  <c r="D20" i="9" s="1"/>
  <c r="D27" i="9" s="1"/>
  <c r="D34" i="9" s="1"/>
  <c r="D41" i="9" s="1"/>
  <c r="D48" i="9" s="1"/>
  <c r="D55" i="9" s="1"/>
  <c r="D62" i="9" s="1"/>
  <c r="D69" i="9" s="1"/>
  <c r="D76" i="9" s="1"/>
  <c r="D12" i="9"/>
  <c r="D19" i="9" s="1"/>
  <c r="D26" i="9" s="1"/>
  <c r="D33" i="9" s="1"/>
  <c r="D40" i="9" s="1"/>
  <c r="D47" i="9" s="1"/>
  <c r="D54" i="9" s="1"/>
  <c r="D61" i="9" s="1"/>
  <c r="D68" i="9" s="1"/>
  <c r="D75" i="9" s="1"/>
  <c r="D11" i="9"/>
  <c r="D18" i="9" s="1"/>
  <c r="D25" i="9" s="1"/>
  <c r="D32" i="9" s="1"/>
  <c r="D39" i="9" s="1"/>
  <c r="D46" i="9" s="1"/>
  <c r="D53" i="9" s="1"/>
  <c r="D60" i="9" s="1"/>
  <c r="D67" i="9" s="1"/>
  <c r="D74" i="9" s="1"/>
  <c r="D81" i="9" s="1"/>
  <c r="D10" i="9"/>
  <c r="D17" i="9" s="1"/>
  <c r="D24" i="9" s="1"/>
  <c r="D31" i="9" s="1"/>
  <c r="D38" i="9" s="1"/>
  <c r="D45" i="9" s="1"/>
  <c r="D52" i="9" s="1"/>
  <c r="D59" i="9" s="1"/>
  <c r="D66" i="9" s="1"/>
  <c r="D73" i="9" s="1"/>
  <c r="D80" i="9" s="1"/>
  <c r="D3" i="10"/>
  <c r="D4" i="10" s="1"/>
  <c r="D5" i="10" s="1"/>
  <c r="D6" i="10" s="1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D69" i="10" s="1"/>
  <c r="D70" i="10" s="1"/>
  <c r="D71" i="10" s="1"/>
  <c r="D72" i="10" s="1"/>
  <c r="D73" i="10" s="1"/>
  <c r="D74" i="10" s="1"/>
  <c r="D75" i="10" s="1"/>
  <c r="D76" i="10" s="1"/>
  <c r="D77" i="10" s="1"/>
  <c r="D78" i="10" s="1"/>
  <c r="D79" i="10" s="1"/>
  <c r="D80" i="10" s="1"/>
  <c r="D81" i="10" s="1"/>
  <c r="G3" i="10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I79" i="20"/>
  <c r="H79" i="20"/>
  <c r="G79" i="20"/>
  <c r="F79" i="20"/>
  <c r="E79" i="20"/>
  <c r="D79" i="20"/>
  <c r="C79" i="20"/>
  <c r="B79" i="20"/>
  <c r="D85" i="19"/>
  <c r="B85" i="19"/>
  <c r="D83" i="19"/>
  <c r="D82" i="19"/>
  <c r="D81" i="19"/>
  <c r="D80" i="19"/>
  <c r="D79" i="19"/>
  <c r="D78" i="19"/>
  <c r="D77" i="19"/>
  <c r="D76" i="19"/>
  <c r="D75" i="19"/>
  <c r="D74" i="19"/>
  <c r="E74" i="19" s="1"/>
  <c r="D73" i="19"/>
  <c r="D72" i="19"/>
  <c r="F72" i="19" s="1"/>
  <c r="D71" i="19"/>
  <c r="D70" i="19"/>
  <c r="D69" i="19"/>
  <c r="D68" i="19"/>
  <c r="E68" i="19" s="1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83" i="18"/>
  <c r="C83" i="18"/>
  <c r="D81" i="18"/>
  <c r="C81" i="18"/>
  <c r="D80" i="18"/>
  <c r="C80" i="18"/>
  <c r="D79" i="18"/>
  <c r="C79" i="18"/>
  <c r="D78" i="18"/>
  <c r="C78" i="18"/>
  <c r="D77" i="18"/>
  <c r="C77" i="18"/>
  <c r="D76" i="18"/>
  <c r="C76" i="18"/>
  <c r="D75" i="18"/>
  <c r="C75" i="18"/>
  <c r="D74" i="18"/>
  <c r="C74" i="18"/>
  <c r="D73" i="18"/>
  <c r="C73" i="18"/>
  <c r="D72" i="18"/>
  <c r="C72" i="18"/>
  <c r="D71" i="18"/>
  <c r="C71" i="18"/>
  <c r="D70" i="18"/>
  <c r="C70" i="18"/>
  <c r="D69" i="18"/>
  <c r="C69" i="18"/>
  <c r="D68" i="18"/>
  <c r="C68" i="18"/>
  <c r="D67" i="18"/>
  <c r="C67" i="18"/>
  <c r="D66" i="18"/>
  <c r="C66" i="18"/>
  <c r="D65" i="18"/>
  <c r="C65" i="18"/>
  <c r="D64" i="18"/>
  <c r="H64" i="18" s="1"/>
  <c r="C64" i="18"/>
  <c r="D63" i="18"/>
  <c r="C63" i="18"/>
  <c r="D62" i="18"/>
  <c r="C62" i="18"/>
  <c r="D61" i="18"/>
  <c r="C61" i="18"/>
  <c r="D60" i="18"/>
  <c r="C60" i="18"/>
  <c r="D59" i="18"/>
  <c r="C59" i="18"/>
  <c r="D58" i="18"/>
  <c r="C58" i="18"/>
  <c r="D57" i="18"/>
  <c r="C57" i="18"/>
  <c r="D56" i="18"/>
  <c r="C56" i="18"/>
  <c r="D55" i="18"/>
  <c r="C55" i="18"/>
  <c r="D54" i="18"/>
  <c r="C54" i="18"/>
  <c r="D53" i="18"/>
  <c r="C53" i="18"/>
  <c r="D52" i="18"/>
  <c r="C52" i="18"/>
  <c r="D51" i="18"/>
  <c r="C51" i="18"/>
  <c r="D50" i="18"/>
  <c r="C50" i="18"/>
  <c r="D49" i="18"/>
  <c r="C49" i="18"/>
  <c r="D48" i="18"/>
  <c r="C48" i="18"/>
  <c r="D47" i="18"/>
  <c r="C47" i="18"/>
  <c r="D46" i="18"/>
  <c r="C46" i="18"/>
  <c r="D45" i="18"/>
  <c r="C45" i="18"/>
  <c r="D44" i="18"/>
  <c r="C44" i="18"/>
  <c r="D43" i="18"/>
  <c r="C43" i="18"/>
  <c r="D42" i="18"/>
  <c r="C42" i="18"/>
  <c r="D41" i="18"/>
  <c r="C41" i="18"/>
  <c r="D40" i="18"/>
  <c r="C40" i="18"/>
  <c r="D39" i="18"/>
  <c r="C39" i="18"/>
  <c r="D38" i="18"/>
  <c r="C38" i="18"/>
  <c r="D37" i="18"/>
  <c r="C37" i="18"/>
  <c r="D36" i="18"/>
  <c r="C36" i="18"/>
  <c r="D35" i="18"/>
  <c r="C35" i="18"/>
  <c r="D34" i="18"/>
  <c r="C34" i="18"/>
  <c r="D33" i="18"/>
  <c r="C33" i="18"/>
  <c r="D32" i="18"/>
  <c r="C32" i="18"/>
  <c r="D31" i="18"/>
  <c r="C31" i="18"/>
  <c r="D30" i="18"/>
  <c r="C30" i="18"/>
  <c r="D29" i="18"/>
  <c r="C29" i="18"/>
  <c r="D28" i="18"/>
  <c r="C28" i="18"/>
  <c r="D27" i="18"/>
  <c r="C27" i="18"/>
  <c r="D26" i="18"/>
  <c r="C26" i="18"/>
  <c r="D25" i="18"/>
  <c r="C25" i="18"/>
  <c r="H24" i="18"/>
  <c r="F24" i="18"/>
  <c r="D24" i="18"/>
  <c r="C24" i="18"/>
  <c r="D23" i="18"/>
  <c r="C23" i="18"/>
  <c r="D22" i="18"/>
  <c r="C22" i="18"/>
  <c r="D21" i="18"/>
  <c r="C21" i="18"/>
  <c r="D20" i="18"/>
  <c r="C20" i="18"/>
  <c r="D19" i="18"/>
  <c r="C19" i="18"/>
  <c r="D18" i="18"/>
  <c r="C18" i="18"/>
  <c r="D17" i="18"/>
  <c r="C17" i="18"/>
  <c r="D16" i="18"/>
  <c r="C16" i="18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C4" i="18"/>
  <c r="D82" i="17"/>
  <c r="D81" i="17"/>
  <c r="D80" i="17"/>
  <c r="D79" i="17"/>
  <c r="D78" i="17"/>
  <c r="D77" i="17"/>
  <c r="D76" i="17"/>
  <c r="D75" i="17"/>
  <c r="D74" i="17"/>
  <c r="D73" i="17"/>
  <c r="E72" i="17"/>
  <c r="D72" i="17"/>
  <c r="D71" i="17"/>
  <c r="D70" i="17"/>
  <c r="F70" i="17" s="1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B80" i="13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29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14" i="16"/>
  <c r="I3" i="4"/>
  <c r="O3" i="4"/>
  <c r="I4" i="4"/>
  <c r="O4" i="4"/>
  <c r="D5" i="4"/>
  <c r="I5" i="4"/>
  <c r="O5" i="4"/>
  <c r="D6" i="4"/>
  <c r="I6" i="4"/>
  <c r="O6" i="4"/>
  <c r="D7" i="4"/>
  <c r="I7" i="4"/>
  <c r="O7" i="4"/>
  <c r="D8" i="4"/>
  <c r="I8" i="4"/>
  <c r="O8" i="4"/>
  <c r="D9" i="4"/>
  <c r="I9" i="4"/>
  <c r="O9" i="4"/>
  <c r="D10" i="4"/>
  <c r="I10" i="4"/>
  <c r="O10" i="4"/>
  <c r="D11" i="4"/>
  <c r="I11" i="4"/>
  <c r="O11" i="4"/>
  <c r="D12" i="4"/>
  <c r="I12" i="4"/>
  <c r="O12" i="4"/>
  <c r="D13" i="4"/>
  <c r="I13" i="4"/>
  <c r="O13" i="4"/>
  <c r="D14" i="4"/>
  <c r="I14" i="4"/>
  <c r="O14" i="4"/>
  <c r="D15" i="4"/>
  <c r="I15" i="4"/>
  <c r="O15" i="4"/>
  <c r="D16" i="4"/>
  <c r="I16" i="4"/>
  <c r="O16" i="4"/>
  <c r="D17" i="4"/>
  <c r="I17" i="4"/>
  <c r="O17" i="4"/>
  <c r="D18" i="4"/>
  <c r="I18" i="4"/>
  <c r="O18" i="4"/>
  <c r="D19" i="4"/>
  <c r="O19" i="4"/>
  <c r="D20" i="4"/>
  <c r="O20" i="4"/>
  <c r="D21" i="4"/>
  <c r="O21" i="4"/>
  <c r="D22" i="4"/>
  <c r="O22" i="4"/>
  <c r="D23" i="4"/>
  <c r="O23" i="4"/>
  <c r="D24" i="4"/>
  <c r="O24" i="4"/>
  <c r="D25" i="4"/>
  <c r="O25" i="4"/>
  <c r="O26" i="4"/>
  <c r="P3" i="3"/>
  <c r="I11" i="8"/>
  <c r="I12" i="8"/>
  <c r="I13" i="8"/>
  <c r="I14" i="8"/>
  <c r="I15" i="8"/>
  <c r="I16" i="8"/>
  <c r="I18" i="8"/>
  <c r="I19" i="8"/>
  <c r="I20" i="8"/>
  <c r="I21" i="8"/>
  <c r="I22" i="8"/>
  <c r="I23" i="8"/>
  <c r="I25" i="8"/>
  <c r="I26" i="8"/>
  <c r="I27" i="8"/>
  <c r="I28" i="8"/>
  <c r="I29" i="8"/>
  <c r="I30" i="8"/>
  <c r="I32" i="8"/>
  <c r="I33" i="8"/>
  <c r="I35" i="8"/>
  <c r="I37" i="8"/>
  <c r="I39" i="8"/>
  <c r="I40" i="8"/>
  <c r="I42" i="8"/>
  <c r="I44" i="8"/>
  <c r="I46" i="8"/>
  <c r="I47" i="8"/>
  <c r="I49" i="8"/>
  <c r="I51" i="8"/>
  <c r="I53" i="8"/>
  <c r="I54" i="8"/>
  <c r="I56" i="8"/>
  <c r="I58" i="8"/>
  <c r="I60" i="8"/>
  <c r="I61" i="8"/>
  <c r="I63" i="8"/>
  <c r="I65" i="8"/>
  <c r="I67" i="8"/>
  <c r="I68" i="8"/>
  <c r="I70" i="8"/>
  <c r="I72" i="8"/>
  <c r="I74" i="8"/>
  <c r="I75" i="8"/>
  <c r="I77" i="8"/>
  <c r="I81" i="8"/>
  <c r="I10" i="8"/>
  <c r="H11" i="6"/>
  <c r="H12" i="6"/>
  <c r="H13" i="6"/>
  <c r="H14" i="6"/>
  <c r="H15" i="6"/>
  <c r="H16" i="6"/>
  <c r="H18" i="6"/>
  <c r="H19" i="6"/>
  <c r="H20" i="6"/>
  <c r="H21" i="6"/>
  <c r="H22" i="6"/>
  <c r="H23" i="6"/>
  <c r="H25" i="6"/>
  <c r="H26" i="6"/>
  <c r="H27" i="6"/>
  <c r="H29" i="6"/>
  <c r="H30" i="6"/>
  <c r="H32" i="6"/>
  <c r="H33" i="6"/>
  <c r="H34" i="6"/>
  <c r="H36" i="6"/>
  <c r="H37" i="6"/>
  <c r="H39" i="6"/>
  <c r="H40" i="6"/>
  <c r="H41" i="6"/>
  <c r="H43" i="6"/>
  <c r="H44" i="6"/>
  <c r="H46" i="6"/>
  <c r="H47" i="6"/>
  <c r="H48" i="6"/>
  <c r="H50" i="6"/>
  <c r="H51" i="6"/>
  <c r="H54" i="6"/>
  <c r="H55" i="6"/>
  <c r="H57" i="6"/>
  <c r="H58" i="6"/>
  <c r="H61" i="6"/>
  <c r="H62" i="6"/>
  <c r="H64" i="6"/>
  <c r="H65" i="6"/>
  <c r="H68" i="6"/>
  <c r="H69" i="6"/>
  <c r="H71" i="6"/>
  <c r="H72" i="6"/>
  <c r="H75" i="6"/>
  <c r="H76" i="6"/>
  <c r="H78" i="6"/>
  <c r="H79" i="6"/>
  <c r="H10" i="6"/>
  <c r="G82" i="6"/>
  <c r="N82" i="4"/>
  <c r="E102" i="15"/>
  <c r="E103" i="15"/>
  <c r="E104" i="15"/>
  <c r="E105" i="15"/>
  <c r="E106" i="15"/>
  <c r="E107" i="15"/>
  <c r="E108" i="15"/>
  <c r="E109" i="15"/>
  <c r="E101" i="15"/>
  <c r="E100" i="15"/>
  <c r="E36" i="15"/>
  <c r="E37" i="15"/>
  <c r="E38" i="15"/>
  <c r="E39" i="15"/>
  <c r="E40" i="15"/>
  <c r="E35" i="15"/>
  <c r="E31" i="15"/>
  <c r="E32" i="15"/>
  <c r="E33" i="15"/>
  <c r="E34" i="15"/>
  <c r="E30" i="15"/>
  <c r="H34" i="15"/>
  <c r="H33" i="15"/>
  <c r="H32" i="15"/>
  <c r="H31" i="15"/>
  <c r="H30" i="15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J3" i="3"/>
  <c r="E30" i="14"/>
  <c r="E31" i="14"/>
  <c r="E32" i="14"/>
  <c r="E33" i="14"/>
  <c r="E34" i="14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14" i="1"/>
  <c r="B82" i="6"/>
  <c r="H82" i="4"/>
  <c r="I82" i="3"/>
  <c r="H30" i="14"/>
  <c r="H32" i="14"/>
  <c r="H31" i="14"/>
  <c r="H33" i="14"/>
  <c r="H34" i="14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29" i="1"/>
  <c r="G6" i="1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T3" i="7"/>
  <c r="T2" i="7"/>
  <c r="B78" i="13"/>
  <c r="B79" i="13" s="1"/>
  <c r="B77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2" i="13"/>
  <c r="D10" i="8"/>
  <c r="D16" i="8"/>
  <c r="D23" i="8" s="1"/>
  <c r="D30" i="8" s="1"/>
  <c r="D37" i="8" s="1"/>
  <c r="D44" i="8" s="1"/>
  <c r="D51" i="8" s="1"/>
  <c r="D58" i="8" s="1"/>
  <c r="D65" i="8" s="1"/>
  <c r="D72" i="8" s="1"/>
  <c r="D79" i="8" s="1"/>
  <c r="D15" i="8"/>
  <c r="D22" i="8" s="1"/>
  <c r="D29" i="8" s="1"/>
  <c r="D36" i="8" s="1"/>
  <c r="D43" i="8" s="1"/>
  <c r="D50" i="8" s="1"/>
  <c r="D57" i="8" s="1"/>
  <c r="D64" i="8" s="1"/>
  <c r="D71" i="8" s="1"/>
  <c r="D78" i="8" s="1"/>
  <c r="D14" i="8"/>
  <c r="D21" i="8" s="1"/>
  <c r="D28" i="8" s="1"/>
  <c r="D35" i="8" s="1"/>
  <c r="D42" i="8" s="1"/>
  <c r="D49" i="8" s="1"/>
  <c r="D56" i="8" s="1"/>
  <c r="D63" i="8" s="1"/>
  <c r="D70" i="8" s="1"/>
  <c r="D77" i="8" s="1"/>
  <c r="D13" i="8"/>
  <c r="D20" i="8" s="1"/>
  <c r="D27" i="8" s="1"/>
  <c r="D34" i="8" s="1"/>
  <c r="D41" i="8" s="1"/>
  <c r="D48" i="8" s="1"/>
  <c r="D55" i="8" s="1"/>
  <c r="D62" i="8" s="1"/>
  <c r="D69" i="8" s="1"/>
  <c r="D76" i="8" s="1"/>
  <c r="D12" i="8"/>
  <c r="D19" i="8" s="1"/>
  <c r="D26" i="8" s="1"/>
  <c r="D33" i="8" s="1"/>
  <c r="D40" i="8" s="1"/>
  <c r="D47" i="8" s="1"/>
  <c r="D54" i="8" s="1"/>
  <c r="D61" i="8" s="1"/>
  <c r="D68" i="8" s="1"/>
  <c r="D75" i="8" s="1"/>
  <c r="D11" i="8"/>
  <c r="D18" i="8" s="1"/>
  <c r="D25" i="8" s="1"/>
  <c r="D32" i="8" s="1"/>
  <c r="D39" i="8" s="1"/>
  <c r="D46" i="8" s="1"/>
  <c r="D53" i="8" s="1"/>
  <c r="D60" i="8" s="1"/>
  <c r="D67" i="8" s="1"/>
  <c r="D74" i="8" s="1"/>
  <c r="D81" i="8" s="1"/>
  <c r="D17" i="8"/>
  <c r="D24" i="8" s="1"/>
  <c r="D31" i="8" s="1"/>
  <c r="D38" i="8" s="1"/>
  <c r="D45" i="8" s="1"/>
  <c r="D52" i="8" s="1"/>
  <c r="D59" i="8" s="1"/>
  <c r="D66" i="8" s="1"/>
  <c r="D73" i="8" s="1"/>
  <c r="D80" i="8" s="1"/>
  <c r="C59" i="25" l="1"/>
  <c r="D59" i="25" s="1"/>
  <c r="C38" i="25"/>
  <c r="D38" i="25" s="1"/>
  <c r="C31" i="25"/>
  <c r="D31" i="25" s="1"/>
  <c r="C27" i="25"/>
  <c r="D27" i="25" s="1"/>
  <c r="C25" i="25"/>
  <c r="D25" i="25" s="1"/>
  <c r="C20" i="25"/>
  <c r="D20" i="25" s="1"/>
  <c r="C19" i="25"/>
  <c r="D19" i="25" s="1"/>
  <c r="C14" i="25"/>
  <c r="D14" i="25" s="1"/>
  <c r="C11" i="25"/>
  <c r="D11" i="25" s="1"/>
  <c r="C56" i="25"/>
  <c r="D56" i="25" s="1"/>
  <c r="C50" i="25"/>
  <c r="D50" i="25" s="1"/>
  <c r="C48" i="25"/>
  <c r="D48" i="25" s="1"/>
  <c r="C43" i="25"/>
  <c r="D43" i="25" s="1"/>
  <c r="C39" i="25"/>
  <c r="D39" i="25" s="1"/>
  <c r="C36" i="25"/>
  <c r="D36" i="25" s="1"/>
  <c r="C32" i="25"/>
  <c r="D32" i="25" s="1"/>
  <c r="C28" i="25"/>
  <c r="D28" i="25" s="1"/>
  <c r="C24" i="25"/>
  <c r="D24" i="25" s="1"/>
  <c r="C22" i="25"/>
  <c r="D22" i="25" s="1"/>
  <c r="C17" i="25"/>
  <c r="D17" i="25" s="1"/>
  <c r="C13" i="25"/>
  <c r="D13" i="25" s="1"/>
  <c r="C9" i="25"/>
  <c r="D9" i="25" s="1"/>
  <c r="C49" i="25"/>
  <c r="D49" i="25" s="1"/>
  <c r="C52" i="25"/>
  <c r="D52" i="25" s="1"/>
  <c r="C54" i="25"/>
  <c r="D54" i="25" s="1"/>
  <c r="C47" i="25"/>
  <c r="D47" i="25" s="1"/>
  <c r="C44" i="25"/>
  <c r="D44" i="25" s="1"/>
  <c r="C41" i="25"/>
  <c r="D41" i="25" s="1"/>
  <c r="C33" i="25"/>
  <c r="D33" i="25" s="1"/>
  <c r="C29" i="25"/>
  <c r="D29" i="25" s="1"/>
  <c r="C23" i="25"/>
  <c r="D23" i="25" s="1"/>
  <c r="C21" i="25"/>
  <c r="D21" i="25" s="1"/>
  <c r="C18" i="25"/>
  <c r="D18" i="25" s="1"/>
  <c r="C16" i="25"/>
  <c r="D16" i="25" s="1"/>
  <c r="C12" i="25"/>
  <c r="D12" i="25" s="1"/>
  <c r="C8" i="25"/>
  <c r="D8" i="25" s="1"/>
  <c r="C55" i="25"/>
  <c r="D55" i="25" s="1"/>
  <c r="C51" i="25"/>
  <c r="D51" i="25" s="1"/>
  <c r="C46" i="25"/>
  <c r="D46" i="25" s="1"/>
  <c r="C42" i="25"/>
  <c r="D42" i="25" s="1"/>
  <c r="C37" i="25"/>
  <c r="D37" i="25" s="1"/>
  <c r="C34" i="25"/>
  <c r="D34" i="25" s="1"/>
  <c r="C30" i="25"/>
  <c r="D30" i="25" s="1"/>
  <c r="C53" i="25"/>
  <c r="D53" i="25" s="1"/>
  <c r="C57" i="25"/>
  <c r="D57" i="25" s="1"/>
  <c r="C45" i="25"/>
  <c r="D45" i="25" s="1"/>
  <c r="C40" i="25"/>
  <c r="D40" i="25" s="1"/>
  <c r="C35" i="25"/>
  <c r="D35" i="25" s="1"/>
  <c r="C26" i="25"/>
  <c r="D26" i="25" s="1"/>
  <c r="C15" i="25"/>
  <c r="D15" i="25" s="1"/>
  <c r="C10" i="25"/>
  <c r="D10" i="25" s="1"/>
  <c r="C58" i="25"/>
  <c r="D58" i="25" s="1"/>
  <c r="E28" i="25"/>
  <c r="G28" i="25" s="1"/>
  <c r="F27" i="25"/>
  <c r="H27" i="25" s="1"/>
  <c r="E27" i="25"/>
  <c r="G27" i="25" s="1"/>
  <c r="I27" i="25" s="1"/>
  <c r="F20" i="25"/>
  <c r="H20" i="25" s="1"/>
  <c r="E20" i="25"/>
  <c r="G20" i="25" s="1"/>
  <c r="F19" i="25"/>
  <c r="H19" i="25" s="1"/>
  <c r="E19" i="25"/>
  <c r="G19" i="25" s="1"/>
  <c r="F14" i="25"/>
  <c r="H14" i="25" s="1"/>
  <c r="E14" i="25"/>
  <c r="G14" i="25" s="1"/>
  <c r="I14" i="25" s="1"/>
  <c r="F28" i="25"/>
  <c r="H28" i="25" s="1"/>
  <c r="F24" i="25"/>
  <c r="H24" i="25" s="1"/>
  <c r="F22" i="25"/>
  <c r="H22" i="25" s="1"/>
  <c r="E22" i="25"/>
  <c r="G22" i="25" s="1"/>
  <c r="I22" i="25" s="1"/>
  <c r="F17" i="25"/>
  <c r="H17" i="25" s="1"/>
  <c r="E17" i="25"/>
  <c r="G17" i="25" s="1"/>
  <c r="I17" i="25" s="1"/>
  <c r="F13" i="25"/>
  <c r="H13" i="25" s="1"/>
  <c r="E13" i="25"/>
  <c r="G13" i="25" s="1"/>
  <c r="I13" i="25" s="1"/>
  <c r="F29" i="25"/>
  <c r="H29" i="25" s="1"/>
  <c r="E29" i="25"/>
  <c r="G29" i="25" s="1"/>
  <c r="F25" i="25"/>
  <c r="H25" i="25" s="1"/>
  <c r="E25" i="25"/>
  <c r="G25" i="25" s="1"/>
  <c r="E24" i="25"/>
  <c r="G24" i="25" s="1"/>
  <c r="I24" i="25" s="1"/>
  <c r="F23" i="25"/>
  <c r="H23" i="25" s="1"/>
  <c r="E23" i="25"/>
  <c r="G23" i="25" s="1"/>
  <c r="I23" i="25" s="1"/>
  <c r="F21" i="25"/>
  <c r="H21" i="25" s="1"/>
  <c r="E21" i="25"/>
  <c r="G21" i="25" s="1"/>
  <c r="I21" i="25" s="1"/>
  <c r="F18" i="25"/>
  <c r="H18" i="25" s="1"/>
  <c r="E18" i="25"/>
  <c r="G18" i="25" s="1"/>
  <c r="I18" i="25" s="1"/>
  <c r="E16" i="25"/>
  <c r="G16" i="25" s="1"/>
  <c r="F30" i="25"/>
  <c r="H30" i="25" s="1"/>
  <c r="E30" i="25"/>
  <c r="G30" i="25" s="1"/>
  <c r="F26" i="25"/>
  <c r="H26" i="25" s="1"/>
  <c r="E26" i="25"/>
  <c r="G26" i="25" s="1"/>
  <c r="I26" i="25" s="1"/>
  <c r="F16" i="25"/>
  <c r="H16" i="25" s="1"/>
  <c r="F15" i="25"/>
  <c r="H15" i="25" s="1"/>
  <c r="E15" i="25"/>
  <c r="G15" i="25" s="1"/>
  <c r="C8" i="24"/>
  <c r="D8" i="24" s="1"/>
  <c r="C7" i="24"/>
  <c r="D7" i="24" s="1"/>
  <c r="C9" i="24"/>
  <c r="D9" i="24" s="1"/>
  <c r="C83" i="24"/>
  <c r="D83" i="24" s="1"/>
  <c r="C76" i="24"/>
  <c r="D76" i="24" s="1"/>
  <c r="C70" i="24"/>
  <c r="D70" i="24" s="1"/>
  <c r="C61" i="24"/>
  <c r="D61" i="24" s="1"/>
  <c r="C57" i="24"/>
  <c r="D57" i="24" s="1"/>
  <c r="C52" i="24"/>
  <c r="D52" i="24" s="1"/>
  <c r="C44" i="24"/>
  <c r="D44" i="24" s="1"/>
  <c r="C35" i="24"/>
  <c r="D35" i="24" s="1"/>
  <c r="C27" i="24"/>
  <c r="D27" i="24" s="1"/>
  <c r="C19" i="24"/>
  <c r="D19" i="24" s="1"/>
  <c r="C14" i="24"/>
  <c r="D14" i="24" s="1"/>
  <c r="C84" i="24"/>
  <c r="D84" i="24" s="1"/>
  <c r="C79" i="24"/>
  <c r="D79" i="24" s="1"/>
  <c r="C73" i="24"/>
  <c r="D73" i="24" s="1"/>
  <c r="C67" i="24"/>
  <c r="D67" i="24" s="1"/>
  <c r="C62" i="24"/>
  <c r="D62" i="24" s="1"/>
  <c r="C60" i="24"/>
  <c r="D60" i="24" s="1"/>
  <c r="C53" i="24"/>
  <c r="D53" i="24" s="1"/>
  <c r="C48" i="24"/>
  <c r="D48" i="24" s="1"/>
  <c r="C42" i="24"/>
  <c r="D42" i="24" s="1"/>
  <c r="C41" i="24"/>
  <c r="D41" i="24" s="1"/>
  <c r="C36" i="24"/>
  <c r="D36" i="24" s="1"/>
  <c r="C30" i="24"/>
  <c r="D30" i="24" s="1"/>
  <c r="C22" i="24"/>
  <c r="D22" i="24" s="1"/>
  <c r="C16" i="24"/>
  <c r="D16" i="24" s="1"/>
  <c r="C11" i="24"/>
  <c r="D11" i="24" s="1"/>
  <c r="C82" i="24"/>
  <c r="D82" i="24" s="1"/>
  <c r="C75" i="24"/>
  <c r="D75" i="24" s="1"/>
  <c r="C69" i="24"/>
  <c r="D69" i="24" s="1"/>
  <c r="C64" i="24"/>
  <c r="D64" i="24" s="1"/>
  <c r="C55" i="24"/>
  <c r="D55" i="24" s="1"/>
  <c r="C51" i="24"/>
  <c r="D51" i="24" s="1"/>
  <c r="C46" i="24"/>
  <c r="D46" i="24" s="1"/>
  <c r="C37" i="24"/>
  <c r="D37" i="24" s="1"/>
  <c r="C33" i="24"/>
  <c r="D33" i="24" s="1"/>
  <c r="C28" i="24"/>
  <c r="D28" i="24" s="1"/>
  <c r="C23" i="24"/>
  <c r="D23" i="24" s="1"/>
  <c r="C20" i="24"/>
  <c r="D20" i="24" s="1"/>
  <c r="C15" i="24"/>
  <c r="D15" i="24" s="1"/>
  <c r="C12" i="24"/>
  <c r="D12" i="24" s="1"/>
  <c r="C6" i="24"/>
  <c r="D6" i="24" s="1"/>
  <c r="C80" i="24"/>
  <c r="D80" i="24" s="1"/>
  <c r="C77" i="24"/>
  <c r="D77" i="24" s="1"/>
  <c r="C72" i="24"/>
  <c r="D72" i="24" s="1"/>
  <c r="C65" i="24"/>
  <c r="D65" i="24" s="1"/>
  <c r="C59" i="24"/>
  <c r="D59" i="24" s="1"/>
  <c r="C54" i="24"/>
  <c r="D54" i="24" s="1"/>
  <c r="C47" i="24"/>
  <c r="D47" i="24" s="1"/>
  <c r="C39" i="24"/>
  <c r="D39" i="24" s="1"/>
  <c r="C31" i="24"/>
  <c r="D31" i="24" s="1"/>
  <c r="C25" i="24"/>
  <c r="D25" i="24" s="1"/>
  <c r="C18" i="24"/>
  <c r="D18" i="24" s="1"/>
  <c r="C10" i="24"/>
  <c r="D10" i="24" s="1"/>
  <c r="C40" i="24"/>
  <c r="D40" i="24" s="1"/>
  <c r="C81" i="24"/>
  <c r="D81" i="24" s="1"/>
  <c r="C74" i="24"/>
  <c r="D74" i="24" s="1"/>
  <c r="C66" i="24"/>
  <c r="D66" i="24" s="1"/>
  <c r="C58" i="24"/>
  <c r="D58" i="24" s="1"/>
  <c r="C49" i="24"/>
  <c r="D49" i="24" s="1"/>
  <c r="C43" i="24"/>
  <c r="D43" i="24" s="1"/>
  <c r="C34" i="24"/>
  <c r="D34" i="24" s="1"/>
  <c r="C26" i="24"/>
  <c r="D26" i="24" s="1"/>
  <c r="C17" i="24"/>
  <c r="D17" i="24" s="1"/>
  <c r="C78" i="24"/>
  <c r="D78" i="24" s="1"/>
  <c r="C71" i="24"/>
  <c r="D71" i="24" s="1"/>
  <c r="C68" i="24"/>
  <c r="D68" i="24" s="1"/>
  <c r="C63" i="24"/>
  <c r="D63" i="24" s="1"/>
  <c r="C56" i="24"/>
  <c r="D56" i="24" s="1"/>
  <c r="C50" i="24"/>
  <c r="D50" i="24" s="1"/>
  <c r="C45" i="24"/>
  <c r="D45" i="24" s="1"/>
  <c r="C38" i="24"/>
  <c r="D38" i="24" s="1"/>
  <c r="C32" i="24"/>
  <c r="D32" i="24" s="1"/>
  <c r="C29" i="24"/>
  <c r="D29" i="24" s="1"/>
  <c r="C24" i="24"/>
  <c r="D24" i="24" s="1"/>
  <c r="C21" i="24"/>
  <c r="D21" i="24" s="1"/>
  <c r="C13" i="24"/>
  <c r="D13" i="24" s="1"/>
  <c r="C10" i="23"/>
  <c r="D10" i="23" s="1"/>
  <c r="C13" i="23"/>
  <c r="D13" i="23" s="1"/>
  <c r="C8" i="23"/>
  <c r="D8" i="23" s="1"/>
  <c r="C9" i="23"/>
  <c r="D9" i="23" s="1"/>
  <c r="C7" i="23"/>
  <c r="D7" i="23" s="1"/>
  <c r="C84" i="23"/>
  <c r="D84" i="23" s="1"/>
  <c r="C77" i="23"/>
  <c r="D77" i="23" s="1"/>
  <c r="C71" i="23"/>
  <c r="D71" i="23" s="1"/>
  <c r="C64" i="23"/>
  <c r="D64" i="23" s="1"/>
  <c r="C56" i="23"/>
  <c r="D56" i="23" s="1"/>
  <c r="C50" i="23"/>
  <c r="D50" i="23" s="1"/>
  <c r="C42" i="23"/>
  <c r="D42" i="23" s="1"/>
  <c r="C30" i="23"/>
  <c r="D30" i="23" s="1"/>
  <c r="C21" i="23"/>
  <c r="D21" i="23" s="1"/>
  <c r="C14" i="23"/>
  <c r="D14" i="23" s="1"/>
  <c r="C83" i="23"/>
  <c r="D83" i="23" s="1"/>
  <c r="C75" i="23"/>
  <c r="D75" i="23" s="1"/>
  <c r="C66" i="23"/>
  <c r="D66" i="23" s="1"/>
  <c r="C58" i="23"/>
  <c r="D58" i="23" s="1"/>
  <c r="C45" i="23"/>
  <c r="D45" i="23" s="1"/>
  <c r="C37" i="23"/>
  <c r="D37" i="23" s="1"/>
  <c r="C28" i="23"/>
  <c r="D28" i="23" s="1"/>
  <c r="C17" i="23"/>
  <c r="D17" i="23" s="1"/>
  <c r="C82" i="23"/>
  <c r="D82" i="23" s="1"/>
  <c r="C74" i="23"/>
  <c r="D74" i="23" s="1"/>
  <c r="C65" i="23"/>
  <c r="D65" i="23" s="1"/>
  <c r="C54" i="23"/>
  <c r="D54" i="23" s="1"/>
  <c r="C43" i="23"/>
  <c r="D43" i="23" s="1"/>
  <c r="C27" i="23"/>
  <c r="D27" i="23" s="1"/>
  <c r="C15" i="23"/>
  <c r="D15" i="23" s="1"/>
  <c r="C40" i="23"/>
  <c r="D40" i="23" s="1"/>
  <c r="C39" i="23"/>
  <c r="D39" i="23" s="1"/>
  <c r="C38" i="23"/>
  <c r="D38" i="23" s="1"/>
  <c r="C31" i="23"/>
  <c r="D31" i="23" s="1"/>
  <c r="C22" i="23"/>
  <c r="D22" i="23" s="1"/>
  <c r="C81" i="23"/>
  <c r="D81" i="23" s="1"/>
  <c r="C76" i="23"/>
  <c r="D76" i="23" s="1"/>
  <c r="C69" i="23"/>
  <c r="D69" i="23" s="1"/>
  <c r="C63" i="23"/>
  <c r="D63" i="23" s="1"/>
  <c r="C57" i="23"/>
  <c r="D57" i="23" s="1"/>
  <c r="C53" i="23"/>
  <c r="D53" i="23" s="1"/>
  <c r="C47" i="23"/>
  <c r="D47" i="23" s="1"/>
  <c r="C33" i="23"/>
  <c r="D33" i="23" s="1"/>
  <c r="C24" i="23"/>
  <c r="D24" i="23" s="1"/>
  <c r="C16" i="23"/>
  <c r="D16" i="23" s="1"/>
  <c r="C6" i="23"/>
  <c r="D6" i="23" s="1"/>
  <c r="C80" i="23"/>
  <c r="D80" i="23" s="1"/>
  <c r="C67" i="23"/>
  <c r="D67" i="23" s="1"/>
  <c r="C59" i="23"/>
  <c r="D59" i="23" s="1"/>
  <c r="C49" i="23"/>
  <c r="D49" i="23" s="1"/>
  <c r="C36" i="23"/>
  <c r="D36" i="23" s="1"/>
  <c r="C26" i="23"/>
  <c r="D26" i="23" s="1"/>
  <c r="C19" i="23"/>
  <c r="D19" i="23" s="1"/>
  <c r="C79" i="23"/>
  <c r="D79" i="23" s="1"/>
  <c r="C73" i="23"/>
  <c r="D73" i="23" s="1"/>
  <c r="C62" i="23"/>
  <c r="D62" i="23" s="1"/>
  <c r="C51" i="23"/>
  <c r="D51" i="23" s="1"/>
  <c r="C44" i="23"/>
  <c r="D44" i="23" s="1"/>
  <c r="C35" i="23"/>
  <c r="D35" i="23" s="1"/>
  <c r="C23" i="23"/>
  <c r="D23" i="23" s="1"/>
  <c r="C12" i="23"/>
  <c r="D12" i="23" s="1"/>
  <c r="C78" i="23"/>
  <c r="D78" i="23" s="1"/>
  <c r="C70" i="23"/>
  <c r="D70" i="23" s="1"/>
  <c r="C61" i="23"/>
  <c r="D61" i="23" s="1"/>
  <c r="C48" i="23"/>
  <c r="D48" i="23" s="1"/>
  <c r="C32" i="23"/>
  <c r="D32" i="23" s="1"/>
  <c r="C20" i="23"/>
  <c r="D20" i="23" s="1"/>
  <c r="C11" i="23"/>
  <c r="D11" i="23" s="1"/>
  <c r="C72" i="23"/>
  <c r="D72" i="23" s="1"/>
  <c r="C55" i="23"/>
  <c r="D55" i="23" s="1"/>
  <c r="C41" i="23"/>
  <c r="D41" i="23" s="1"/>
  <c r="C29" i="23"/>
  <c r="D29" i="23" s="1"/>
  <c r="C68" i="23"/>
  <c r="D68" i="23" s="1"/>
  <c r="C60" i="23"/>
  <c r="D60" i="23" s="1"/>
  <c r="C52" i="23"/>
  <c r="D52" i="23" s="1"/>
  <c r="C46" i="23"/>
  <c r="D46" i="23" s="1"/>
  <c r="C34" i="23"/>
  <c r="D34" i="23" s="1"/>
  <c r="C25" i="23"/>
  <c r="D25" i="23" s="1"/>
  <c r="C18" i="23"/>
  <c r="D18" i="23" s="1"/>
  <c r="F77" i="23"/>
  <c r="H77" i="23" s="1"/>
  <c r="E77" i="23"/>
  <c r="G77" i="23" s="1"/>
  <c r="I77" i="23" s="1"/>
  <c r="F71" i="23"/>
  <c r="H71" i="23" s="1"/>
  <c r="E71" i="23"/>
  <c r="G71" i="23" s="1"/>
  <c r="F64" i="23"/>
  <c r="H64" i="23" s="1"/>
  <c r="E64" i="23"/>
  <c r="G64" i="23" s="1"/>
  <c r="E58" i="23"/>
  <c r="G58" i="23" s="1"/>
  <c r="F57" i="23"/>
  <c r="H57" i="23" s="1"/>
  <c r="F56" i="23"/>
  <c r="H56" i="23" s="1"/>
  <c r="F51" i="23"/>
  <c r="H51" i="23" s="1"/>
  <c r="E51" i="23"/>
  <c r="G51" i="23" s="1"/>
  <c r="F50" i="23"/>
  <c r="H50" i="23" s="1"/>
  <c r="E43" i="23"/>
  <c r="G43" i="23" s="1"/>
  <c r="F42" i="23"/>
  <c r="H42" i="23" s="1"/>
  <c r="E42" i="23"/>
  <c r="G42" i="23" s="1"/>
  <c r="I42" i="23" s="1"/>
  <c r="F30" i="23"/>
  <c r="H30" i="23" s="1"/>
  <c r="E30" i="23"/>
  <c r="G30" i="23" s="1"/>
  <c r="I30" i="23" s="1"/>
  <c r="F21" i="23"/>
  <c r="H21" i="23" s="1"/>
  <c r="E21" i="23"/>
  <c r="G21" i="23" s="1"/>
  <c r="F66" i="23"/>
  <c r="H66" i="23" s="1"/>
  <c r="E66" i="23"/>
  <c r="G66" i="23" s="1"/>
  <c r="I66" i="23" s="1"/>
  <c r="F40" i="23"/>
  <c r="H40" i="23" s="1"/>
  <c r="F17" i="23"/>
  <c r="H17" i="23" s="1"/>
  <c r="E75" i="23"/>
  <c r="G75" i="23" s="1"/>
  <c r="F74" i="23"/>
  <c r="H74" i="23" s="1"/>
  <c r="E74" i="23"/>
  <c r="G74" i="23" s="1"/>
  <c r="F65" i="23"/>
  <c r="H65" i="23" s="1"/>
  <c r="E65" i="23"/>
  <c r="G65" i="23" s="1"/>
  <c r="I65" i="23" s="1"/>
  <c r="F54" i="23"/>
  <c r="H54" i="23" s="1"/>
  <c r="E54" i="23"/>
  <c r="G54" i="23" s="1"/>
  <c r="I54" i="23" s="1"/>
  <c r="F16" i="23"/>
  <c r="H16" i="23" s="1"/>
  <c r="F15" i="23"/>
  <c r="H15" i="23" s="1"/>
  <c r="E40" i="23"/>
  <c r="G40" i="23" s="1"/>
  <c r="I40" i="23" s="1"/>
  <c r="F39" i="23"/>
  <c r="H39" i="23" s="1"/>
  <c r="E39" i="23"/>
  <c r="G39" i="23" s="1"/>
  <c r="I39" i="23" s="1"/>
  <c r="F38" i="23"/>
  <c r="H38" i="23" s="1"/>
  <c r="E38" i="23"/>
  <c r="G38" i="23" s="1"/>
  <c r="I38" i="23" s="1"/>
  <c r="F31" i="23"/>
  <c r="H31" i="23" s="1"/>
  <c r="E31" i="23"/>
  <c r="G31" i="23" s="1"/>
  <c r="I31" i="23" s="1"/>
  <c r="F22" i="23"/>
  <c r="H22" i="23" s="1"/>
  <c r="E22" i="23"/>
  <c r="E8" i="23"/>
  <c r="F76" i="23"/>
  <c r="E76" i="23"/>
  <c r="F69" i="23"/>
  <c r="F63" i="23"/>
  <c r="E48" i="23"/>
  <c r="F47" i="23"/>
  <c r="F34" i="23"/>
  <c r="E34" i="23"/>
  <c r="F33" i="23"/>
  <c r="E33" i="23"/>
  <c r="F24" i="23"/>
  <c r="E24" i="23"/>
  <c r="E17" i="23"/>
  <c r="E16" i="23"/>
  <c r="F7" i="23"/>
  <c r="E68" i="23"/>
  <c r="F67" i="23"/>
  <c r="E67" i="23"/>
  <c r="F59" i="23"/>
  <c r="E59" i="23"/>
  <c r="E50" i="23"/>
  <c r="F49" i="23"/>
  <c r="E49" i="23"/>
  <c r="F37" i="23"/>
  <c r="F36" i="23"/>
  <c r="F28" i="23"/>
  <c r="E28" i="23"/>
  <c r="F27" i="23"/>
  <c r="E26" i="23"/>
  <c r="F19" i="23"/>
  <c r="F10" i="23"/>
  <c r="E10" i="23"/>
  <c r="F73" i="23"/>
  <c r="E63" i="23"/>
  <c r="F62" i="23"/>
  <c r="E62" i="23"/>
  <c r="E52" i="23"/>
  <c r="E37" i="23"/>
  <c r="E36" i="23"/>
  <c r="F35" i="23"/>
  <c r="E35" i="23"/>
  <c r="F23" i="23"/>
  <c r="E23" i="23"/>
  <c r="F12" i="23"/>
  <c r="E12" i="23"/>
  <c r="F8" i="23"/>
  <c r="F78" i="23"/>
  <c r="E78" i="23"/>
  <c r="F70" i="23"/>
  <c r="F61" i="23"/>
  <c r="E61" i="23"/>
  <c r="F48" i="23"/>
  <c r="F32" i="23"/>
  <c r="E32" i="23"/>
  <c r="F20" i="23"/>
  <c r="E20" i="23"/>
  <c r="F11" i="23"/>
  <c r="E11" i="23"/>
  <c r="F75" i="23"/>
  <c r="E73" i="23"/>
  <c r="F72" i="23"/>
  <c r="F58" i="23"/>
  <c r="E57" i="23"/>
  <c r="E56" i="23"/>
  <c r="F55" i="23"/>
  <c r="E55" i="23"/>
  <c r="F41" i="23"/>
  <c r="E41" i="23"/>
  <c r="F29" i="23"/>
  <c r="E29" i="23"/>
  <c r="E15" i="23"/>
  <c r="F14" i="23"/>
  <c r="E14" i="23"/>
  <c r="F13" i="23"/>
  <c r="E13" i="23"/>
  <c r="E72" i="23"/>
  <c r="E70" i="23"/>
  <c r="E69" i="23"/>
  <c r="F68" i="23"/>
  <c r="F60" i="23"/>
  <c r="E60" i="23"/>
  <c r="F53" i="23"/>
  <c r="E53" i="23"/>
  <c r="F52" i="23"/>
  <c r="E47" i="23"/>
  <c r="E27" i="23"/>
  <c r="F26" i="23"/>
  <c r="F25" i="23"/>
  <c r="E25" i="23"/>
  <c r="E19" i="23"/>
  <c r="F18" i="23"/>
  <c r="E18" i="23"/>
  <c r="F9" i="23"/>
  <c r="E9" i="23"/>
  <c r="E59" i="25"/>
  <c r="F46" i="25"/>
  <c r="E46" i="25"/>
  <c r="E58" i="25"/>
  <c r="F43" i="25"/>
  <c r="E43" i="25"/>
  <c r="F55" i="25"/>
  <c r="F39" i="25"/>
  <c r="E39" i="25"/>
  <c r="E55" i="25"/>
  <c r="E37" i="25"/>
  <c r="F35" i="25"/>
  <c r="E35" i="25"/>
  <c r="F33" i="25"/>
  <c r="F53" i="25"/>
  <c r="F32" i="25"/>
  <c r="E53" i="25"/>
  <c r="F50" i="25"/>
  <c r="E50" i="25"/>
  <c r="F47" i="25"/>
  <c r="E47" i="25"/>
  <c r="I64" i="25"/>
  <c r="F41" i="25"/>
  <c r="F40" i="25"/>
  <c r="E40" i="25"/>
  <c r="E57" i="25"/>
  <c r="F38" i="25"/>
  <c r="F54" i="25"/>
  <c r="E54" i="25"/>
  <c r="E38" i="25"/>
  <c r="F52" i="25"/>
  <c r="F34" i="25"/>
  <c r="E49" i="25"/>
  <c r="E32" i="25"/>
  <c r="F48" i="25"/>
  <c r="E48" i="25"/>
  <c r="F31" i="25"/>
  <c r="E45" i="25"/>
  <c r="E31" i="25"/>
  <c r="F44" i="25"/>
  <c r="E44" i="25"/>
  <c r="F45" i="25"/>
  <c r="F42" i="25"/>
  <c r="E42" i="25"/>
  <c r="F12" i="25"/>
  <c r="E41" i="25"/>
  <c r="E12" i="25"/>
  <c r="F37" i="25"/>
  <c r="F11" i="25"/>
  <c r="F36" i="25"/>
  <c r="F49" i="25"/>
  <c r="E11" i="25"/>
  <c r="E34" i="25"/>
  <c r="F10" i="25"/>
  <c r="E33" i="25"/>
  <c r="E10" i="25"/>
  <c r="F9" i="25"/>
  <c r="E9" i="25"/>
  <c r="F8" i="25"/>
  <c r="E8" i="25"/>
  <c r="F58" i="25"/>
  <c r="F57" i="25"/>
  <c r="F56" i="25"/>
  <c r="E56" i="25"/>
  <c r="I63" i="25"/>
  <c r="E52" i="25"/>
  <c r="F59" i="25"/>
  <c r="F51" i="25"/>
  <c r="E51" i="25"/>
  <c r="E36" i="25"/>
  <c r="F38" i="24"/>
  <c r="E38" i="24"/>
  <c r="F37" i="24"/>
  <c r="E37" i="24"/>
  <c r="F36" i="24"/>
  <c r="E36" i="24"/>
  <c r="F35" i="24"/>
  <c r="E35" i="24"/>
  <c r="F34" i="24"/>
  <c r="E34" i="24"/>
  <c r="F33" i="24"/>
  <c r="E33" i="24"/>
  <c r="F32" i="24"/>
  <c r="E32" i="24"/>
  <c r="F31" i="24"/>
  <c r="E31" i="24"/>
  <c r="F30" i="24"/>
  <c r="E30" i="24"/>
  <c r="F29" i="24"/>
  <c r="E29" i="24"/>
  <c r="F28" i="24"/>
  <c r="E28" i="24"/>
  <c r="F27" i="24"/>
  <c r="E27" i="24"/>
  <c r="F23" i="24"/>
  <c r="E23" i="24"/>
  <c r="F20" i="24"/>
  <c r="F18" i="24"/>
  <c r="F17" i="24"/>
  <c r="E17" i="24"/>
  <c r="F16" i="24"/>
  <c r="E16" i="24"/>
  <c r="E9" i="24"/>
  <c r="F80" i="24"/>
  <c r="F79" i="24"/>
  <c r="F78" i="24"/>
  <c r="E78" i="24"/>
  <c r="F72" i="24"/>
  <c r="F71" i="24"/>
  <c r="E71" i="24"/>
  <c r="E51" i="24"/>
  <c r="F68" i="24"/>
  <c r="E68" i="24"/>
  <c r="I88" i="24"/>
  <c r="E66" i="24"/>
  <c r="I87" i="24"/>
  <c r="F65" i="24"/>
  <c r="F84" i="24"/>
  <c r="F61" i="24"/>
  <c r="E61" i="24"/>
  <c r="E84" i="24"/>
  <c r="F58" i="24"/>
  <c r="E58" i="24"/>
  <c r="F83" i="24"/>
  <c r="E56" i="24"/>
  <c r="E83" i="24"/>
  <c r="F55" i="24"/>
  <c r="E55" i="24"/>
  <c r="F81" i="24"/>
  <c r="F53" i="24"/>
  <c r="E50" i="24"/>
  <c r="E40" i="24"/>
  <c r="E26" i="24"/>
  <c r="F15" i="24"/>
  <c r="E15" i="24"/>
  <c r="E81" i="24"/>
  <c r="F13" i="24"/>
  <c r="F12" i="24"/>
  <c r="E12" i="24"/>
  <c r="E79" i="24"/>
  <c r="F11" i="24"/>
  <c r="E11" i="24"/>
  <c r="F76" i="24"/>
  <c r="F82" i="24"/>
  <c r="E82" i="24"/>
  <c r="E76" i="24"/>
  <c r="E80" i="24"/>
  <c r="F77" i="24"/>
  <c r="E77" i="24"/>
  <c r="E72" i="24"/>
  <c r="F75" i="24"/>
  <c r="E75" i="24"/>
  <c r="F69" i="24"/>
  <c r="F74" i="24"/>
  <c r="E74" i="24"/>
  <c r="E69" i="24"/>
  <c r="F73" i="24"/>
  <c r="E73" i="24"/>
  <c r="F66" i="24"/>
  <c r="F70" i="24"/>
  <c r="E70" i="24"/>
  <c r="F60" i="24"/>
  <c r="F67" i="24"/>
  <c r="E67" i="24"/>
  <c r="F59" i="24"/>
  <c r="E65" i="24"/>
  <c r="E59" i="24"/>
  <c r="F64" i="24"/>
  <c r="E64" i="24"/>
  <c r="E57" i="24"/>
  <c r="F63" i="24"/>
  <c r="F56" i="24"/>
  <c r="F51" i="24"/>
  <c r="F62" i="24"/>
  <c r="E62" i="24"/>
  <c r="E60" i="24"/>
  <c r="F57" i="24"/>
  <c r="F54" i="24"/>
  <c r="E54" i="24"/>
  <c r="F48" i="24"/>
  <c r="E53" i="24"/>
  <c r="E48" i="24"/>
  <c r="F52" i="24"/>
  <c r="E52" i="24"/>
  <c r="F45" i="24"/>
  <c r="F50" i="24"/>
  <c r="E45" i="24"/>
  <c r="F49" i="24"/>
  <c r="E49" i="24"/>
  <c r="E25" i="24"/>
  <c r="F47" i="24"/>
  <c r="E47" i="24"/>
  <c r="F24" i="24"/>
  <c r="F46" i="24"/>
  <c r="E46" i="24"/>
  <c r="E24" i="24"/>
  <c r="F44" i="24"/>
  <c r="E44" i="24"/>
  <c r="E18" i="24"/>
  <c r="F43" i="24"/>
  <c r="E63" i="24"/>
  <c r="F14" i="24"/>
  <c r="F42" i="24"/>
  <c r="E42" i="24"/>
  <c r="E13" i="24"/>
  <c r="F41" i="24"/>
  <c r="E41" i="24"/>
  <c r="F9" i="24"/>
  <c r="F40" i="24"/>
  <c r="F26" i="24"/>
  <c r="F8" i="24"/>
  <c r="F25" i="24"/>
  <c r="F22" i="24"/>
  <c r="E22" i="24"/>
  <c r="E8" i="24"/>
  <c r="F21" i="24"/>
  <c r="E21" i="24"/>
  <c r="F7" i="24"/>
  <c r="E20" i="24"/>
  <c r="E7" i="24"/>
  <c r="F19" i="24"/>
  <c r="E19" i="24"/>
  <c r="F39" i="24"/>
  <c r="E14" i="24"/>
  <c r="F10" i="24"/>
  <c r="E10" i="24"/>
  <c r="E39" i="24"/>
  <c r="F6" i="24"/>
  <c r="E6" i="24"/>
  <c r="E43" i="24"/>
  <c r="E82" i="23"/>
  <c r="F79" i="23"/>
  <c r="E79" i="23"/>
  <c r="E7" i="23"/>
  <c r="F6" i="23"/>
  <c r="E6" i="23"/>
  <c r="I89" i="23"/>
  <c r="F43" i="23"/>
  <c r="E44" i="23"/>
  <c r="F44" i="23"/>
  <c r="E45" i="23"/>
  <c r="F45" i="23"/>
  <c r="E46" i="23"/>
  <c r="I88" i="23"/>
  <c r="F46" i="23"/>
  <c r="E83" i="23"/>
  <c r="F80" i="23"/>
  <c r="E80" i="23"/>
  <c r="F84" i="23"/>
  <c r="E84" i="23"/>
  <c r="F82" i="23"/>
  <c r="F81" i="23"/>
  <c r="E81" i="23"/>
  <c r="F83" i="23"/>
  <c r="G24" i="18"/>
  <c r="I24" i="18"/>
  <c r="B86" i="20"/>
  <c r="B85" i="20"/>
  <c r="B84" i="20"/>
  <c r="B83" i="20"/>
  <c r="F80" i="19"/>
  <c r="E66" i="19"/>
  <c r="E64" i="19"/>
  <c r="E62" i="19"/>
  <c r="F59" i="19"/>
  <c r="E58" i="19"/>
  <c r="F52" i="19"/>
  <c r="E47" i="19"/>
  <c r="E43" i="19"/>
  <c r="F41" i="19"/>
  <c r="E40" i="19"/>
  <c r="E29" i="19"/>
  <c r="F27" i="19"/>
  <c r="E26" i="19"/>
  <c r="E22" i="19"/>
  <c r="F19" i="19"/>
  <c r="F17" i="19"/>
  <c r="E16" i="19"/>
  <c r="F14" i="19"/>
  <c r="E83" i="19"/>
  <c r="F76" i="19"/>
  <c r="E76" i="19"/>
  <c r="E75" i="19"/>
  <c r="F73" i="19"/>
  <c r="E72" i="19"/>
  <c r="F71" i="19"/>
  <c r="F65" i="19"/>
  <c r="F40" i="19"/>
  <c r="F39" i="19"/>
  <c r="E38" i="19"/>
  <c r="E37" i="19"/>
  <c r="E32" i="19"/>
  <c r="E24" i="19"/>
  <c r="F22" i="19"/>
  <c r="F20" i="19"/>
  <c r="E17" i="19"/>
  <c r="F83" i="19"/>
  <c r="F81" i="19"/>
  <c r="E81" i="19"/>
  <c r="F78" i="19"/>
  <c r="E78" i="19"/>
  <c r="E73" i="19"/>
  <c r="E70" i="19"/>
  <c r="E69" i="19"/>
  <c r="F68" i="19"/>
  <c r="F67" i="19"/>
  <c r="E65" i="19"/>
  <c r="F63" i="19"/>
  <c r="E59" i="19"/>
  <c r="F56" i="19"/>
  <c r="E55" i="19"/>
  <c r="E49" i="19"/>
  <c r="F46" i="19"/>
  <c r="E45" i="19"/>
  <c r="E42" i="19"/>
  <c r="F32" i="19"/>
  <c r="F31" i="19"/>
  <c r="F30" i="19"/>
  <c r="F28" i="19"/>
  <c r="F23" i="19"/>
  <c r="E19" i="19"/>
  <c r="E18" i="19"/>
  <c r="F16" i="19"/>
  <c r="E14" i="19"/>
  <c r="F69" i="19"/>
  <c r="F82" i="19"/>
  <c r="E63" i="19"/>
  <c r="F60" i="19"/>
  <c r="F58" i="19"/>
  <c r="E56" i="19"/>
  <c r="E51" i="19"/>
  <c r="F48" i="19"/>
  <c r="F44" i="19"/>
  <c r="E27" i="19"/>
  <c r="E25" i="19"/>
  <c r="F15" i="19"/>
  <c r="E13" i="19"/>
  <c r="E82" i="19"/>
  <c r="E80" i="19"/>
  <c r="F79" i="19"/>
  <c r="E79" i="19"/>
  <c r="F75" i="19"/>
  <c r="F70" i="19"/>
  <c r="F62" i="19"/>
  <c r="E61" i="19"/>
  <c r="E57" i="19"/>
  <c r="E53" i="19"/>
  <c r="E52" i="19"/>
  <c r="E50" i="19"/>
  <c r="E39" i="19"/>
  <c r="F37" i="19"/>
  <c r="E36" i="19"/>
  <c r="E35" i="19"/>
  <c r="F34" i="19"/>
  <c r="E34" i="19"/>
  <c r="E30" i="19"/>
  <c r="F24" i="19"/>
  <c r="E23" i="19"/>
  <c r="F13" i="19"/>
  <c r="F12" i="19"/>
  <c r="F77" i="19"/>
  <c r="E77" i="19"/>
  <c r="E71" i="19"/>
  <c r="F66" i="19"/>
  <c r="F64" i="19"/>
  <c r="F57" i="19"/>
  <c r="F55" i="19"/>
  <c r="E54" i="19"/>
  <c r="F51" i="19"/>
  <c r="F50" i="19"/>
  <c r="F47" i="19"/>
  <c r="F45" i="19"/>
  <c r="F43" i="19"/>
  <c r="F42" i="19"/>
  <c r="E41" i="19"/>
  <c r="F38" i="19"/>
  <c r="F36" i="19"/>
  <c r="F35" i="19"/>
  <c r="F33" i="19"/>
  <c r="F29" i="19"/>
  <c r="F26" i="19"/>
  <c r="F21" i="19"/>
  <c r="E20" i="19"/>
  <c r="F18" i="19"/>
  <c r="F74" i="19"/>
  <c r="E67" i="19"/>
  <c r="F61" i="19"/>
  <c r="E60" i="19"/>
  <c r="F54" i="19"/>
  <c r="F53" i="19"/>
  <c r="F49" i="19"/>
  <c r="E48" i="19"/>
  <c r="E46" i="19"/>
  <c r="E44" i="19"/>
  <c r="E33" i="19"/>
  <c r="E31" i="19"/>
  <c r="E28" i="19"/>
  <c r="F25" i="19"/>
  <c r="E21" i="19"/>
  <c r="E15" i="19"/>
  <c r="E12" i="19"/>
  <c r="H81" i="18"/>
  <c r="G81" i="18"/>
  <c r="F81" i="18"/>
  <c r="E81" i="18"/>
  <c r="I80" i="18"/>
  <c r="G80" i="18"/>
  <c r="F80" i="18"/>
  <c r="H79" i="18"/>
  <c r="G79" i="18"/>
  <c r="H78" i="18"/>
  <c r="F78" i="18"/>
  <c r="F77" i="18"/>
  <c r="G76" i="18"/>
  <c r="G75" i="18"/>
  <c r="H74" i="18"/>
  <c r="G73" i="18"/>
  <c r="H72" i="18"/>
  <c r="G71" i="18"/>
  <c r="G70" i="18"/>
  <c r="F69" i="18"/>
  <c r="G68" i="18"/>
  <c r="F67" i="18"/>
  <c r="H66" i="18"/>
  <c r="G64" i="18"/>
  <c r="G63" i="18"/>
  <c r="E63" i="18"/>
  <c r="I62" i="18"/>
  <c r="F62" i="18"/>
  <c r="G61" i="18"/>
  <c r="H60" i="18"/>
  <c r="E60" i="18"/>
  <c r="H59" i="18"/>
  <c r="E59" i="18"/>
  <c r="F58" i="18"/>
  <c r="G57" i="18"/>
  <c r="F56" i="18"/>
  <c r="G55" i="18"/>
  <c r="G54" i="18"/>
  <c r="F53" i="18"/>
  <c r="F52" i="18"/>
  <c r="E51" i="18"/>
  <c r="G48" i="18"/>
  <c r="I47" i="18"/>
  <c r="E47" i="18"/>
  <c r="H46" i="18"/>
  <c r="G45" i="18"/>
  <c r="I44" i="18"/>
  <c r="E43" i="18"/>
  <c r="H42" i="18"/>
  <c r="G41" i="18"/>
  <c r="E41" i="18"/>
  <c r="I40" i="18"/>
  <c r="F40" i="18"/>
  <c r="F39" i="18"/>
  <c r="H38" i="18"/>
  <c r="E38" i="18"/>
  <c r="G36" i="18"/>
  <c r="F35" i="18"/>
  <c r="F33" i="18"/>
  <c r="I32" i="18"/>
  <c r="E32" i="18"/>
  <c r="H31" i="18"/>
  <c r="E30" i="18"/>
  <c r="I29" i="18"/>
  <c r="E29" i="18"/>
  <c r="H28" i="18"/>
  <c r="F28" i="18"/>
  <c r="H27" i="18"/>
  <c r="F27" i="18"/>
  <c r="I26" i="18"/>
  <c r="H26" i="18"/>
  <c r="F26" i="18"/>
  <c r="I25" i="18"/>
  <c r="G25" i="18"/>
  <c r="E25" i="18"/>
  <c r="G8" i="18"/>
  <c r="E8" i="18"/>
  <c r="I7" i="18"/>
  <c r="G7" i="18"/>
  <c r="E6" i="18"/>
  <c r="I5" i="18"/>
  <c r="E5" i="18"/>
  <c r="E4" i="18"/>
  <c r="E24" i="18"/>
  <c r="I23" i="18"/>
  <c r="H23" i="18"/>
  <c r="G23" i="18"/>
  <c r="F23" i="18"/>
  <c r="E23" i="18"/>
  <c r="I22" i="18"/>
  <c r="H22" i="18"/>
  <c r="G22" i="18"/>
  <c r="F22" i="18"/>
  <c r="E22" i="18"/>
  <c r="I21" i="18"/>
  <c r="H21" i="18"/>
  <c r="G21" i="18"/>
  <c r="F21" i="18"/>
  <c r="E21" i="18"/>
  <c r="I20" i="18"/>
  <c r="H20" i="18"/>
  <c r="G20" i="18"/>
  <c r="F20" i="18"/>
  <c r="E20" i="18"/>
  <c r="I19" i="18"/>
  <c r="H19" i="18"/>
  <c r="G19" i="18"/>
  <c r="F19" i="18"/>
  <c r="E19" i="18"/>
  <c r="I18" i="18"/>
  <c r="H18" i="18"/>
  <c r="G18" i="18"/>
  <c r="F18" i="18"/>
  <c r="E18" i="18"/>
  <c r="I17" i="18"/>
  <c r="H17" i="18"/>
  <c r="G17" i="18"/>
  <c r="F17" i="18"/>
  <c r="E17" i="18"/>
  <c r="I16" i="18"/>
  <c r="H16" i="18"/>
  <c r="G16" i="18"/>
  <c r="F16" i="18"/>
  <c r="E16" i="18"/>
  <c r="I15" i="18"/>
  <c r="H15" i="18"/>
  <c r="G15" i="18"/>
  <c r="F15" i="18"/>
  <c r="E15" i="18"/>
  <c r="I14" i="18"/>
  <c r="H14" i="18"/>
  <c r="G14" i="18"/>
  <c r="F14" i="18"/>
  <c r="E14" i="18"/>
  <c r="I13" i="18"/>
  <c r="H13" i="18"/>
  <c r="G13" i="18"/>
  <c r="F13" i="18"/>
  <c r="E13" i="18"/>
  <c r="I12" i="18"/>
  <c r="H12" i="18"/>
  <c r="G12" i="18"/>
  <c r="F12" i="18"/>
  <c r="E12" i="18"/>
  <c r="I11" i="18"/>
  <c r="H11" i="18"/>
  <c r="G11" i="18"/>
  <c r="F11" i="18"/>
  <c r="E11" i="18"/>
  <c r="I10" i="18"/>
  <c r="H10" i="18"/>
  <c r="G10" i="18"/>
  <c r="F10" i="18"/>
  <c r="E10" i="18"/>
  <c r="I9" i="18"/>
  <c r="H9" i="18"/>
  <c r="G9" i="18"/>
  <c r="F9" i="18"/>
  <c r="E9" i="18"/>
  <c r="I8" i="18"/>
  <c r="F8" i="18"/>
  <c r="F7" i="18"/>
  <c r="H6" i="18"/>
  <c r="H5" i="18"/>
  <c r="I81" i="18"/>
  <c r="H80" i="18"/>
  <c r="E80" i="18"/>
  <c r="I79" i="18"/>
  <c r="F79" i="18"/>
  <c r="E79" i="18"/>
  <c r="I78" i="18"/>
  <c r="G78" i="18"/>
  <c r="E78" i="18"/>
  <c r="H77" i="18"/>
  <c r="E77" i="18"/>
  <c r="I76" i="18"/>
  <c r="F76" i="18"/>
  <c r="H75" i="18"/>
  <c r="F75" i="18"/>
  <c r="F74" i="18"/>
  <c r="H73" i="18"/>
  <c r="E73" i="18"/>
  <c r="I72" i="18"/>
  <c r="G72" i="18"/>
  <c r="H71" i="18"/>
  <c r="E71" i="18"/>
  <c r="I70" i="18"/>
  <c r="F70" i="18"/>
  <c r="H69" i="18"/>
  <c r="I68" i="18"/>
  <c r="F68" i="18"/>
  <c r="I67" i="18"/>
  <c r="H67" i="18"/>
  <c r="E67" i="18"/>
  <c r="F66" i="18"/>
  <c r="H65" i="18"/>
  <c r="F65" i="18"/>
  <c r="E65" i="18"/>
  <c r="I64" i="18"/>
  <c r="E64" i="18"/>
  <c r="G62" i="18"/>
  <c r="H61" i="18"/>
  <c r="E61" i="18"/>
  <c r="I60" i="18"/>
  <c r="G60" i="18"/>
  <c r="I59" i="18"/>
  <c r="G59" i="18"/>
  <c r="I58" i="18"/>
  <c r="E58" i="18"/>
  <c r="I57" i="18"/>
  <c r="F57" i="18"/>
  <c r="G56" i="18"/>
  <c r="F55" i="18"/>
  <c r="H54" i="18"/>
  <c r="E54" i="18"/>
  <c r="H53" i="18"/>
  <c r="I52" i="18"/>
  <c r="G52" i="18"/>
  <c r="I51" i="18"/>
  <c r="F51" i="18"/>
  <c r="I50" i="18"/>
  <c r="F50" i="18"/>
  <c r="G49" i="18"/>
  <c r="E49" i="18"/>
  <c r="I48" i="18"/>
  <c r="E48" i="18"/>
  <c r="F47" i="18"/>
  <c r="I46" i="18"/>
  <c r="G46" i="18"/>
  <c r="F45" i="18"/>
  <c r="F44" i="18"/>
  <c r="H43" i="18"/>
  <c r="E42" i="18"/>
  <c r="H41" i="18"/>
  <c r="F38" i="18"/>
  <c r="I37" i="18"/>
  <c r="F37" i="18"/>
  <c r="I36" i="18"/>
  <c r="E36" i="18"/>
  <c r="I35" i="18"/>
  <c r="G34" i="18"/>
  <c r="I33" i="18"/>
  <c r="G33" i="18"/>
  <c r="H32" i="18"/>
  <c r="G31" i="18"/>
  <c r="H30" i="18"/>
  <c r="F30" i="18"/>
  <c r="F29" i="18"/>
  <c r="G28" i="18"/>
  <c r="G58" i="18"/>
  <c r="I56" i="18"/>
  <c r="H55" i="18"/>
  <c r="E53" i="18"/>
  <c r="H52" i="18"/>
  <c r="G51" i="18"/>
  <c r="G50" i="18"/>
  <c r="I49" i="18"/>
  <c r="F48" i="18"/>
  <c r="H47" i="18"/>
  <c r="E46" i="18"/>
  <c r="H45" i="18"/>
  <c r="G44" i="18"/>
  <c r="F43" i="18"/>
  <c r="I42" i="18"/>
  <c r="F42" i="18"/>
  <c r="I41" i="18"/>
  <c r="H40" i="18"/>
  <c r="E40" i="18"/>
  <c r="I39" i="18"/>
  <c r="G39" i="18"/>
  <c r="G37" i="18"/>
  <c r="F36" i="18"/>
  <c r="G35" i="18"/>
  <c r="H34" i="18"/>
  <c r="E34" i="18"/>
  <c r="H33" i="18"/>
  <c r="F32" i="18"/>
  <c r="I31" i="18"/>
  <c r="F31" i="18"/>
  <c r="H29" i="18"/>
  <c r="I28" i="18"/>
  <c r="E28" i="18"/>
  <c r="I27" i="18"/>
  <c r="G27" i="18"/>
  <c r="E27" i="18"/>
  <c r="G26" i="18"/>
  <c r="E26" i="18"/>
  <c r="H25" i="18"/>
  <c r="F25" i="18"/>
  <c r="H8" i="18"/>
  <c r="H7" i="18"/>
  <c r="I6" i="18"/>
  <c r="G6" i="18"/>
  <c r="G5" i="18"/>
  <c r="I77" i="18"/>
  <c r="G77" i="18"/>
  <c r="H76" i="18"/>
  <c r="E76" i="18"/>
  <c r="I75" i="18"/>
  <c r="E75" i="18"/>
  <c r="I74" i="18"/>
  <c r="G74" i="18"/>
  <c r="E74" i="18"/>
  <c r="I73" i="18"/>
  <c r="F73" i="18"/>
  <c r="F72" i="18"/>
  <c r="E72" i="18"/>
  <c r="I71" i="18"/>
  <c r="F71" i="18"/>
  <c r="H70" i="18"/>
  <c r="E70" i="18"/>
  <c r="I69" i="18"/>
  <c r="G69" i="18"/>
  <c r="E69" i="18"/>
  <c r="H68" i="18"/>
  <c r="E68" i="18"/>
  <c r="G67" i="18"/>
  <c r="I66" i="18"/>
  <c r="G66" i="18"/>
  <c r="E66" i="18"/>
  <c r="I65" i="18"/>
  <c r="G65" i="18"/>
  <c r="F64" i="18"/>
  <c r="I63" i="18"/>
  <c r="H63" i="18"/>
  <c r="F63" i="18"/>
  <c r="H62" i="18"/>
  <c r="E62" i="18"/>
  <c r="I61" i="18"/>
  <c r="F61" i="18"/>
  <c r="F60" i="18"/>
  <c r="F59" i="18"/>
  <c r="H58" i="18"/>
  <c r="H57" i="18"/>
  <c r="E57" i="18"/>
  <c r="H56" i="18"/>
  <c r="E56" i="18"/>
  <c r="I55" i="18"/>
  <c r="E55" i="18"/>
  <c r="I54" i="18"/>
  <c r="F54" i="18"/>
  <c r="I53" i="18"/>
  <c r="G53" i="18"/>
  <c r="E52" i="18"/>
  <c r="H51" i="18"/>
  <c r="H50" i="18"/>
  <c r="E50" i="18"/>
  <c r="H49" i="18"/>
  <c r="F49" i="18"/>
  <c r="H48" i="18"/>
  <c r="G47" i="18"/>
  <c r="F46" i="18"/>
  <c r="I45" i="18"/>
  <c r="E45" i="18"/>
  <c r="H44" i="18"/>
  <c r="E44" i="18"/>
  <c r="I43" i="18"/>
  <c r="G43" i="18"/>
  <c r="G42" i="18"/>
  <c r="F41" i="18"/>
  <c r="G40" i="18"/>
  <c r="H39" i="18"/>
  <c r="E39" i="18"/>
  <c r="I38" i="18"/>
  <c r="G38" i="18"/>
  <c r="H37" i="18"/>
  <c r="E37" i="18"/>
  <c r="H36" i="18"/>
  <c r="H35" i="18"/>
  <c r="E35" i="18"/>
  <c r="I34" i="18"/>
  <c r="F34" i="18"/>
  <c r="E33" i="18"/>
  <c r="G32" i="18"/>
  <c r="E31" i="18"/>
  <c r="I30" i="18"/>
  <c r="G30" i="18"/>
  <c r="G29" i="18"/>
  <c r="E7" i="18"/>
  <c r="F6" i="18"/>
  <c r="F5" i="18"/>
  <c r="G4" i="18"/>
  <c r="F78" i="17"/>
  <c r="E78" i="17"/>
  <c r="E17" i="17"/>
  <c r="F14" i="17"/>
  <c r="E11" i="17"/>
  <c r="E16" i="17"/>
  <c r="E81" i="17"/>
  <c r="F80" i="17"/>
  <c r="E77" i="17"/>
  <c r="F76" i="17"/>
  <c r="E76" i="17"/>
  <c r="F64" i="17"/>
  <c r="E58" i="17"/>
  <c r="E56" i="17"/>
  <c r="F54" i="17"/>
  <c r="E53" i="17"/>
  <c r="F52" i="17"/>
  <c r="F51" i="17"/>
  <c r="E50" i="17"/>
  <c r="F44" i="17"/>
  <c r="F43" i="17"/>
  <c r="E42" i="17"/>
  <c r="E39" i="17"/>
  <c r="E38" i="17"/>
  <c r="F37" i="17"/>
  <c r="E37" i="17"/>
  <c r="E30" i="17"/>
  <c r="F24" i="17"/>
  <c r="F19" i="17"/>
  <c r="F18" i="17"/>
  <c r="F16" i="17"/>
  <c r="F15" i="17"/>
  <c r="E12" i="17"/>
  <c r="E80" i="17"/>
  <c r="F79" i="17"/>
  <c r="E79" i="17"/>
  <c r="F72" i="17"/>
  <c r="F71" i="17"/>
  <c r="F69" i="17"/>
  <c r="F65" i="17"/>
  <c r="E63" i="17"/>
  <c r="E62" i="17"/>
  <c r="F60" i="17"/>
  <c r="F59" i="17"/>
  <c r="E59" i="17"/>
  <c r="E55" i="17"/>
  <c r="E52" i="17"/>
  <c r="F49" i="17"/>
  <c r="F48" i="17"/>
  <c r="F47" i="17"/>
  <c r="F42" i="17"/>
  <c r="E41" i="17"/>
  <c r="E40" i="17"/>
  <c r="E32" i="17"/>
  <c r="E31" i="17"/>
  <c r="E29" i="17"/>
  <c r="F27" i="17"/>
  <c r="F26" i="17"/>
  <c r="F25" i="17"/>
  <c r="E24" i="17"/>
  <c r="E23" i="17"/>
  <c r="F20" i="17"/>
  <c r="F13" i="17"/>
  <c r="F11" i="17"/>
  <c r="E69" i="17"/>
  <c r="F62" i="17"/>
  <c r="E57" i="17"/>
  <c r="F55" i="17"/>
  <c r="E54" i="17"/>
  <c r="E51" i="17"/>
  <c r="F46" i="17"/>
  <c r="E45" i="17"/>
  <c r="E44" i="17"/>
  <c r="F41" i="17"/>
  <c r="F40" i="17"/>
  <c r="F39" i="17"/>
  <c r="F38" i="17"/>
  <c r="F30" i="17"/>
  <c r="F29" i="17"/>
  <c r="F28" i="17"/>
  <c r="E27" i="17"/>
  <c r="E25" i="17"/>
  <c r="F22" i="17"/>
  <c r="F21" i="17"/>
  <c r="F17" i="17"/>
  <c r="E14" i="17"/>
  <c r="E13" i="17"/>
  <c r="F82" i="17"/>
  <c r="F77" i="17"/>
  <c r="F36" i="17"/>
  <c r="E82" i="17"/>
  <c r="F81" i="17"/>
  <c r="F75" i="17"/>
  <c r="E75" i="17"/>
  <c r="F74" i="17"/>
  <c r="E74" i="17"/>
  <c r="F73" i="17"/>
  <c r="E73" i="17"/>
  <c r="E71" i="17"/>
  <c r="E70" i="17"/>
  <c r="F68" i="17"/>
  <c r="E68" i="17"/>
  <c r="F67" i="17"/>
  <c r="E67" i="17"/>
  <c r="F66" i="17"/>
  <c r="E66" i="17"/>
  <c r="E65" i="17"/>
  <c r="E64" i="17"/>
  <c r="F63" i="17"/>
  <c r="F61" i="17"/>
  <c r="E61" i="17"/>
  <c r="E60" i="17"/>
  <c r="F58" i="17"/>
  <c r="F57" i="17"/>
  <c r="F56" i="17"/>
  <c r="F53" i="17"/>
  <c r="F50" i="17"/>
  <c r="E49" i="17"/>
  <c r="E48" i="17"/>
  <c r="E47" i="17"/>
  <c r="E46" i="17"/>
  <c r="F45" i="17"/>
  <c r="E43" i="17"/>
  <c r="E36" i="17"/>
  <c r="F35" i="17"/>
  <c r="E35" i="17"/>
  <c r="F34" i="17"/>
  <c r="E34" i="17"/>
  <c r="F33" i="17"/>
  <c r="E33" i="17"/>
  <c r="F32" i="17"/>
  <c r="F31" i="17"/>
  <c r="E28" i="17"/>
  <c r="E26" i="17"/>
  <c r="F23" i="17"/>
  <c r="E22" i="17"/>
  <c r="E21" i="17"/>
  <c r="E20" i="17"/>
  <c r="E19" i="17"/>
  <c r="E18" i="17"/>
  <c r="E15" i="17"/>
  <c r="F12" i="17"/>
  <c r="I17" i="8"/>
  <c r="I24" i="8" s="1"/>
  <c r="I31" i="8" s="1"/>
  <c r="I38" i="8" s="1"/>
  <c r="I45" i="8" s="1"/>
  <c r="I52" i="8" s="1"/>
  <c r="I59" i="8" s="1"/>
  <c r="I66" i="8" s="1"/>
  <c r="I73" i="8" s="1"/>
  <c r="I80" i="8" s="1"/>
  <c r="D82" i="8"/>
  <c r="H17" i="6"/>
  <c r="H24" i="6" s="1"/>
  <c r="H31" i="6" s="1"/>
  <c r="H38" i="6" s="1"/>
  <c r="H45" i="6" s="1"/>
  <c r="H28" i="6"/>
  <c r="H35" i="6" s="1"/>
  <c r="H42" i="6" s="1"/>
  <c r="H53" i="6"/>
  <c r="H60" i="6" s="1"/>
  <c r="H67" i="6" s="1"/>
  <c r="H74" i="6" s="1"/>
  <c r="H81" i="6" s="1"/>
  <c r="P4" i="3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J4" i="3"/>
  <c r="J5" i="3" s="1"/>
  <c r="J6" i="3" s="1"/>
  <c r="J7" i="3" s="1"/>
  <c r="J8" i="3" s="1"/>
  <c r="J9" i="3" s="1"/>
  <c r="J10" i="3" s="1"/>
  <c r="J11" i="3" s="1"/>
  <c r="I19" i="4"/>
  <c r="I20" i="4" s="1"/>
  <c r="I21" i="4"/>
  <c r="I22" i="4" s="1"/>
  <c r="I23" i="4" s="1"/>
  <c r="I24" i="4" s="1"/>
  <c r="I25" i="4" s="1"/>
  <c r="I26" i="4" s="1"/>
  <c r="I27" i="4" s="1"/>
  <c r="I28" i="4" s="1"/>
  <c r="I29" i="4" s="1"/>
  <c r="O27" i="4"/>
  <c r="O28" i="4" s="1"/>
  <c r="O29" i="4" s="1"/>
  <c r="O30" i="4" s="1"/>
  <c r="O31" i="4" s="1"/>
  <c r="O32" i="4" s="1"/>
  <c r="D26" i="4"/>
  <c r="D27" i="4" s="1"/>
  <c r="D28" i="4" s="1"/>
  <c r="D29" i="4" s="1"/>
  <c r="D30" i="4" s="1"/>
  <c r="D31" i="4" s="1"/>
  <c r="D32" i="4" s="1"/>
  <c r="D33" i="4" s="1"/>
  <c r="D34" i="4" s="1"/>
  <c r="D35" i="4" s="1"/>
  <c r="I34" i="8"/>
  <c r="I41" i="8" s="1"/>
  <c r="I48" i="8" s="1"/>
  <c r="I55" i="8" s="1"/>
  <c r="I62" i="8" s="1"/>
  <c r="I36" i="8"/>
  <c r="I43" i="8" s="1"/>
  <c r="I50" i="8" s="1"/>
  <c r="I57" i="8" s="1"/>
  <c r="I69" i="8"/>
  <c r="I76" i="8" s="1"/>
  <c r="I64" i="8"/>
  <c r="I71" i="8" s="1"/>
  <c r="I78" i="8" s="1"/>
  <c r="I79" i="8"/>
  <c r="H52" i="6"/>
  <c r="H59" i="6" s="1"/>
  <c r="H66" i="6" s="1"/>
  <c r="H73" i="6" s="1"/>
  <c r="H80" i="6"/>
  <c r="F34" i="15"/>
  <c r="G39" i="15" s="1"/>
  <c r="F33" i="15"/>
  <c r="G38" i="15" s="1"/>
  <c r="F31" i="15"/>
  <c r="G36" i="15" s="1"/>
  <c r="F30" i="15"/>
  <c r="G35" i="15" s="1"/>
  <c r="F32" i="15"/>
  <c r="G37" i="15" s="1"/>
  <c r="F33" i="14"/>
  <c r="G38" i="14" s="1"/>
  <c r="E38" i="14" s="1"/>
  <c r="F30" i="14"/>
  <c r="G35" i="14" s="1"/>
  <c r="E35" i="14" s="1"/>
  <c r="F31" i="14"/>
  <c r="G36" i="14" s="1"/>
  <c r="E36" i="14" s="1"/>
  <c r="F32" i="14"/>
  <c r="G37" i="14" s="1"/>
  <c r="E37" i="14" s="1"/>
  <c r="F34" i="14"/>
  <c r="G39" i="14" s="1"/>
  <c r="E39" i="14" s="1"/>
  <c r="C11" i="6"/>
  <c r="C12" i="6"/>
  <c r="C13" i="6"/>
  <c r="C14" i="6"/>
  <c r="C15" i="6"/>
  <c r="C16" i="6"/>
  <c r="C18" i="6"/>
  <c r="C25" i="6" s="1"/>
  <c r="C32" i="6" s="1"/>
  <c r="C39" i="6" s="1"/>
  <c r="C46" i="6" s="1"/>
  <c r="C53" i="6" s="1"/>
  <c r="C60" i="6" s="1"/>
  <c r="C67" i="6" s="1"/>
  <c r="C74" i="6" s="1"/>
  <c r="C81" i="6" s="1"/>
  <c r="C19" i="6"/>
  <c r="C26" i="6" s="1"/>
  <c r="C33" i="6" s="1"/>
  <c r="C40" i="6" s="1"/>
  <c r="C47" i="6" s="1"/>
  <c r="C54" i="6" s="1"/>
  <c r="C61" i="6" s="1"/>
  <c r="C68" i="6" s="1"/>
  <c r="C75" i="6" s="1"/>
  <c r="C20" i="6"/>
  <c r="C27" i="6" s="1"/>
  <c r="C34" i="6" s="1"/>
  <c r="C41" i="6" s="1"/>
  <c r="C48" i="6" s="1"/>
  <c r="C55" i="6" s="1"/>
  <c r="C62" i="6" s="1"/>
  <c r="C69" i="6" s="1"/>
  <c r="C76" i="6" s="1"/>
  <c r="C21" i="6"/>
  <c r="C28" i="6" s="1"/>
  <c r="C35" i="6" s="1"/>
  <c r="C42" i="6" s="1"/>
  <c r="C49" i="6" s="1"/>
  <c r="C56" i="6" s="1"/>
  <c r="C63" i="6" s="1"/>
  <c r="C70" i="6" s="1"/>
  <c r="C77" i="6" s="1"/>
  <c r="C22" i="6"/>
  <c r="C29" i="6" s="1"/>
  <c r="C36" i="6" s="1"/>
  <c r="C43" i="6" s="1"/>
  <c r="C50" i="6" s="1"/>
  <c r="C57" i="6" s="1"/>
  <c r="C64" i="6" s="1"/>
  <c r="C71" i="6" s="1"/>
  <c r="C78" i="6" s="1"/>
  <c r="C23" i="6"/>
  <c r="C30" i="6"/>
  <c r="C37" i="6" s="1"/>
  <c r="C44" i="6" s="1"/>
  <c r="C51" i="6" s="1"/>
  <c r="C58" i="6" s="1"/>
  <c r="C65" i="6" s="1"/>
  <c r="C72" i="6" s="1"/>
  <c r="C79" i="6" s="1"/>
  <c r="C10" i="6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" i="10"/>
  <c r="O3" i="10"/>
  <c r="E5" i="3"/>
  <c r="R14" i="9"/>
  <c r="W14" i="9" s="1"/>
  <c r="R12" i="9"/>
  <c r="W12" i="9" s="1"/>
  <c r="P11" i="9"/>
  <c r="U11" i="9" s="1"/>
  <c r="R11" i="9"/>
  <c r="W11" i="9" s="1"/>
  <c r="R9" i="9"/>
  <c r="P9" i="9"/>
  <c r="R8" i="9"/>
  <c r="P8" i="9"/>
  <c r="U8" i="9" s="1"/>
  <c r="R7" i="9"/>
  <c r="W7" i="9" s="1"/>
  <c r="P7" i="9"/>
  <c r="U7" i="9" s="1"/>
  <c r="R6" i="9"/>
  <c r="P6" i="9"/>
  <c r="U6" i="9" s="1"/>
  <c r="R5" i="9"/>
  <c r="P5" i="9"/>
  <c r="U5" i="9" s="1"/>
  <c r="R4" i="9"/>
  <c r="P4" i="9"/>
  <c r="U4" i="9" s="1"/>
  <c r="R3" i="9"/>
  <c r="P3" i="9"/>
  <c r="BO19" i="7"/>
  <c r="BP19" i="7" s="1"/>
  <c r="BO18" i="7"/>
  <c r="BP18" i="7" s="1"/>
  <c r="BO17" i="7"/>
  <c r="BP17" i="7" s="1"/>
  <c r="BO16" i="7"/>
  <c r="BP16" i="7" s="1"/>
  <c r="BO15" i="7"/>
  <c r="BP15" i="7" s="1"/>
  <c r="BO14" i="7"/>
  <c r="BP14" i="7" s="1"/>
  <c r="BO13" i="7"/>
  <c r="BP13" i="7" s="1"/>
  <c r="BO12" i="7"/>
  <c r="BP12" i="7" s="1"/>
  <c r="BO11" i="7"/>
  <c r="BP11" i="7" s="1"/>
  <c r="BO10" i="7"/>
  <c r="BP10" i="7" s="1"/>
  <c r="BO9" i="7"/>
  <c r="BP9" i="7" s="1"/>
  <c r="BO8" i="7"/>
  <c r="BP8" i="7" s="1"/>
  <c r="BO7" i="7"/>
  <c r="BP7" i="7" s="1"/>
  <c r="BO6" i="7"/>
  <c r="BP6" i="7" s="1"/>
  <c r="BO5" i="7"/>
  <c r="BP5" i="7" s="1"/>
  <c r="BO4" i="7"/>
  <c r="BP4" i="7" s="1"/>
  <c r="BO3" i="7"/>
  <c r="BP3" i="7" s="1"/>
  <c r="BO2" i="7"/>
  <c r="BP2" i="7" s="1"/>
  <c r="AZ19" i="7"/>
  <c r="BA19" i="7" s="1"/>
  <c r="AZ18" i="7"/>
  <c r="BA18" i="7" s="1"/>
  <c r="AZ17" i="7"/>
  <c r="BA17" i="7" s="1"/>
  <c r="AZ16" i="7"/>
  <c r="BA16" i="7" s="1"/>
  <c r="AZ15" i="7"/>
  <c r="BA15" i="7" s="1"/>
  <c r="AZ14" i="7"/>
  <c r="BA14" i="7" s="1"/>
  <c r="AZ13" i="7"/>
  <c r="BA13" i="7" s="1"/>
  <c r="AZ12" i="7"/>
  <c r="BA12" i="7" s="1"/>
  <c r="AZ11" i="7"/>
  <c r="BA11" i="7" s="1"/>
  <c r="AZ10" i="7"/>
  <c r="BA10" i="7" s="1"/>
  <c r="AZ9" i="7"/>
  <c r="BA9" i="7" s="1"/>
  <c r="AZ8" i="7"/>
  <c r="BA8" i="7" s="1"/>
  <c r="AZ7" i="7"/>
  <c r="BA7" i="7" s="1"/>
  <c r="AZ6" i="7"/>
  <c r="BA6" i="7" s="1"/>
  <c r="AZ5" i="7"/>
  <c r="BA5" i="7" s="1"/>
  <c r="AZ4" i="7"/>
  <c r="BA4" i="7" s="1"/>
  <c r="AZ3" i="7"/>
  <c r="BA3" i="7" s="1"/>
  <c r="AZ2" i="7"/>
  <c r="BA2" i="7" s="1"/>
  <c r="AL19" i="7"/>
  <c r="AM19" i="7" s="1"/>
  <c r="AL18" i="7"/>
  <c r="AM18" i="7" s="1"/>
  <c r="AL17" i="7"/>
  <c r="AM17" i="7" s="1"/>
  <c r="AL16" i="7"/>
  <c r="AM16" i="7" s="1"/>
  <c r="AL15" i="7"/>
  <c r="AM15" i="7" s="1"/>
  <c r="AL14" i="7"/>
  <c r="AM14" i="7" s="1"/>
  <c r="AM13" i="7"/>
  <c r="AL13" i="7"/>
  <c r="AL12" i="7"/>
  <c r="AM12" i="7" s="1"/>
  <c r="AM11" i="7"/>
  <c r="AL11" i="7"/>
  <c r="AM10" i="7"/>
  <c r="AL10" i="7"/>
  <c r="AM9" i="7"/>
  <c r="AL9" i="7"/>
  <c r="AL8" i="7"/>
  <c r="AM8" i="7" s="1"/>
  <c r="AM7" i="7"/>
  <c r="AL7" i="7"/>
  <c r="AL6" i="7"/>
  <c r="AM6" i="7" s="1"/>
  <c r="AM5" i="7"/>
  <c r="AL5" i="7"/>
  <c r="AM4" i="7"/>
  <c r="AL4" i="7"/>
  <c r="AM3" i="7"/>
  <c r="AL3" i="7"/>
  <c r="AL2" i="7"/>
  <c r="AM2" i="7" s="1"/>
  <c r="AE19" i="7"/>
  <c r="AE18" i="7"/>
  <c r="AE17" i="7"/>
  <c r="AE16" i="7"/>
  <c r="AE15" i="7"/>
  <c r="AE14" i="7"/>
  <c r="AE13" i="7"/>
  <c r="AE12" i="7"/>
  <c r="AE11" i="7"/>
  <c r="AE10" i="7"/>
  <c r="AE9" i="7"/>
  <c r="AE8" i="7"/>
  <c r="AE7" i="7"/>
  <c r="AE6" i="7"/>
  <c r="AE5" i="7"/>
  <c r="AE4" i="7"/>
  <c r="AE3" i="7"/>
  <c r="AE2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R2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G22" i="23" l="1"/>
  <c r="G8" i="23"/>
  <c r="H76" i="23"/>
  <c r="G76" i="23"/>
  <c r="I76" i="23" s="1"/>
  <c r="H69" i="23"/>
  <c r="H63" i="23"/>
  <c r="G48" i="23"/>
  <c r="H47" i="23"/>
  <c r="H34" i="23"/>
  <c r="G34" i="23"/>
  <c r="I34" i="23" s="1"/>
  <c r="H33" i="23"/>
  <c r="G33" i="23"/>
  <c r="H24" i="23"/>
  <c r="G24" i="23"/>
  <c r="G17" i="23"/>
  <c r="G16" i="23"/>
  <c r="H7" i="23"/>
  <c r="G68" i="23"/>
  <c r="H67" i="23"/>
  <c r="G67" i="23"/>
  <c r="H59" i="23"/>
  <c r="G59" i="23"/>
  <c r="G50" i="23"/>
  <c r="H49" i="23"/>
  <c r="G49" i="23"/>
  <c r="I49" i="23" s="1"/>
  <c r="H37" i="23"/>
  <c r="H36" i="23"/>
  <c r="H28" i="23"/>
  <c r="G28" i="23"/>
  <c r="I28" i="23" s="1"/>
  <c r="H27" i="23"/>
  <c r="G26" i="23"/>
  <c r="H19" i="23"/>
  <c r="H10" i="23"/>
  <c r="G10" i="23"/>
  <c r="I10" i="23" s="1"/>
  <c r="H73" i="23"/>
  <c r="G63" i="23"/>
  <c r="H62" i="23"/>
  <c r="G62" i="23"/>
  <c r="I62" i="23" s="1"/>
  <c r="G52" i="23"/>
  <c r="G37" i="23"/>
  <c r="I37" i="23" s="1"/>
  <c r="G36" i="23"/>
  <c r="I36" i="23" s="1"/>
  <c r="H35" i="23"/>
  <c r="G35" i="23"/>
  <c r="I35" i="23" s="1"/>
  <c r="H23" i="23"/>
  <c r="G23" i="23"/>
  <c r="H12" i="23"/>
  <c r="G12" i="23"/>
  <c r="I12" i="23" s="1"/>
  <c r="H8" i="23"/>
  <c r="H78" i="23"/>
  <c r="G78" i="23"/>
  <c r="I78" i="23" s="1"/>
  <c r="H70" i="23"/>
  <c r="H61" i="23"/>
  <c r="G61" i="23"/>
  <c r="H48" i="23"/>
  <c r="H32" i="23"/>
  <c r="G32" i="23"/>
  <c r="I32" i="23" s="1"/>
  <c r="H20" i="23"/>
  <c r="G20" i="23"/>
  <c r="I20" i="23" s="1"/>
  <c r="H11" i="23"/>
  <c r="G11" i="23"/>
  <c r="I11" i="23" s="1"/>
  <c r="H75" i="23"/>
  <c r="G73" i="23"/>
  <c r="I73" i="23" s="1"/>
  <c r="H72" i="23"/>
  <c r="H58" i="23"/>
  <c r="G57" i="23"/>
  <c r="I57" i="23" s="1"/>
  <c r="G56" i="23"/>
  <c r="H55" i="23"/>
  <c r="G55" i="23"/>
  <c r="I55" i="23" s="1"/>
  <c r="H41" i="23"/>
  <c r="G41" i="23"/>
  <c r="I41" i="23" s="1"/>
  <c r="H29" i="23"/>
  <c r="G29" i="23"/>
  <c r="I29" i="23" s="1"/>
  <c r="G15" i="23"/>
  <c r="I15" i="23" s="1"/>
  <c r="H14" i="23"/>
  <c r="G14" i="23"/>
  <c r="H13" i="23"/>
  <c r="G13" i="23"/>
  <c r="I13" i="23" s="1"/>
  <c r="G72" i="23"/>
  <c r="I72" i="23" s="1"/>
  <c r="G70" i="23"/>
  <c r="G69" i="23"/>
  <c r="I69" i="23" s="1"/>
  <c r="H68" i="23"/>
  <c r="H60" i="23"/>
  <c r="G60" i="23"/>
  <c r="H53" i="23"/>
  <c r="G53" i="23"/>
  <c r="H52" i="23"/>
  <c r="G47" i="23"/>
  <c r="G27" i="23"/>
  <c r="H26" i="23"/>
  <c r="H25" i="23"/>
  <c r="G25" i="23"/>
  <c r="I25" i="23" s="1"/>
  <c r="G19" i="23"/>
  <c r="I19" i="23" s="1"/>
  <c r="H18" i="23"/>
  <c r="G18" i="23"/>
  <c r="H9" i="23"/>
  <c r="G9" i="23"/>
  <c r="I9" i="23" s="1"/>
  <c r="G59" i="25"/>
  <c r="H46" i="25"/>
  <c r="G46" i="25"/>
  <c r="I46" i="25" s="1"/>
  <c r="G58" i="25"/>
  <c r="H43" i="25"/>
  <c r="G43" i="25"/>
  <c r="I43" i="25" s="1"/>
  <c r="H55" i="25"/>
  <c r="H39" i="25"/>
  <c r="G39" i="25"/>
  <c r="I39" i="25" s="1"/>
  <c r="G55" i="25"/>
  <c r="I55" i="25" s="1"/>
  <c r="G37" i="25"/>
  <c r="H35" i="25"/>
  <c r="G35" i="25"/>
  <c r="I35" i="25" s="1"/>
  <c r="H33" i="25"/>
  <c r="H53" i="25"/>
  <c r="H32" i="25"/>
  <c r="G53" i="25"/>
  <c r="I53" i="25" s="1"/>
  <c r="H50" i="25"/>
  <c r="G50" i="25"/>
  <c r="I50" i="25" s="1"/>
  <c r="H47" i="25"/>
  <c r="G47" i="25"/>
  <c r="I47" i="25" s="1"/>
  <c r="H41" i="25"/>
  <c r="H40" i="25"/>
  <c r="G40" i="25"/>
  <c r="I40" i="25" s="1"/>
  <c r="G57" i="25"/>
  <c r="H38" i="25"/>
  <c r="H54" i="25"/>
  <c r="G54" i="25"/>
  <c r="I54" i="25" s="1"/>
  <c r="G38" i="25"/>
  <c r="I38" i="25" s="1"/>
  <c r="H52" i="25"/>
  <c r="H34" i="25"/>
  <c r="G49" i="25"/>
  <c r="G32" i="25"/>
  <c r="I32" i="25" s="1"/>
  <c r="H48" i="25"/>
  <c r="G48" i="25"/>
  <c r="I48" i="25" s="1"/>
  <c r="H31" i="25"/>
  <c r="G45" i="25"/>
  <c r="G31" i="25"/>
  <c r="I31" i="25" s="1"/>
  <c r="H44" i="25"/>
  <c r="G44" i="25"/>
  <c r="I44" i="25" s="1"/>
  <c r="H45" i="25"/>
  <c r="H42" i="25"/>
  <c r="G42" i="25"/>
  <c r="I42" i="25" s="1"/>
  <c r="H12" i="25"/>
  <c r="G41" i="25"/>
  <c r="G12" i="25"/>
  <c r="I12" i="25" s="1"/>
  <c r="H37" i="25"/>
  <c r="H11" i="25"/>
  <c r="H36" i="25"/>
  <c r="H49" i="25"/>
  <c r="G11" i="25"/>
  <c r="I11" i="25" s="1"/>
  <c r="G34" i="25"/>
  <c r="H10" i="25"/>
  <c r="G33" i="25"/>
  <c r="G10" i="25"/>
  <c r="I10" i="25" s="1"/>
  <c r="H9" i="25"/>
  <c r="G9" i="25"/>
  <c r="I9" i="25" s="1"/>
  <c r="H8" i="25"/>
  <c r="G8" i="25"/>
  <c r="I8" i="25" s="1"/>
  <c r="H58" i="25"/>
  <c r="H57" i="25"/>
  <c r="H56" i="25"/>
  <c r="G56" i="25"/>
  <c r="I56" i="25" s="1"/>
  <c r="G52" i="25"/>
  <c r="H59" i="25"/>
  <c r="H51" i="25"/>
  <c r="G51" i="25"/>
  <c r="I51" i="25" s="1"/>
  <c r="G36" i="25"/>
  <c r="I36" i="25" s="1"/>
  <c r="G7" i="23"/>
  <c r="H84" i="23"/>
  <c r="G84" i="23"/>
  <c r="I84" i="23" s="1"/>
  <c r="H83" i="23"/>
  <c r="I16" i="25"/>
  <c r="I28" i="25"/>
  <c r="G61" i="24"/>
  <c r="G83" i="24"/>
  <c r="H53" i="24"/>
  <c r="G79" i="24"/>
  <c r="H76" i="24"/>
  <c r="G82" i="24"/>
  <c r="H69" i="24"/>
  <c r="G69" i="24"/>
  <c r="I69" i="24" s="1"/>
  <c r="G70" i="24"/>
  <c r="H67" i="24"/>
  <c r="G59" i="24"/>
  <c r="G57" i="24"/>
  <c r="I57" i="24" s="1"/>
  <c r="H51" i="24"/>
  <c r="G60" i="24"/>
  <c r="G54" i="24"/>
  <c r="G48" i="24"/>
  <c r="G52" i="24"/>
  <c r="I52" i="24" s="1"/>
  <c r="H50" i="24"/>
  <c r="G49" i="24"/>
  <c r="G47" i="24"/>
  <c r="H46" i="24"/>
  <c r="H44" i="24"/>
  <c r="H43" i="24"/>
  <c r="H14" i="24"/>
  <c r="H9" i="24"/>
  <c r="G8" i="24"/>
  <c r="G9" i="24"/>
  <c r="I9" i="24" s="1"/>
  <c r="H61" i="24"/>
  <c r="H83" i="24"/>
  <c r="H11" i="24"/>
  <c r="H82" i="24"/>
  <c r="G76" i="24"/>
  <c r="I76" i="24" s="1"/>
  <c r="G75" i="24"/>
  <c r="H73" i="24"/>
  <c r="H70" i="24"/>
  <c r="G67" i="24"/>
  <c r="I67" i="24" s="1"/>
  <c r="G65" i="24"/>
  <c r="G64" i="24"/>
  <c r="H62" i="24"/>
  <c r="H57" i="24"/>
  <c r="H48" i="24"/>
  <c r="H45" i="24"/>
  <c r="H49" i="24"/>
  <c r="H47" i="24"/>
  <c r="H24" i="24"/>
  <c r="G24" i="24"/>
  <c r="I24" i="24" s="1"/>
  <c r="G18" i="24"/>
  <c r="H7" i="24"/>
  <c r="G7" i="24"/>
  <c r="I7" i="24" s="1"/>
  <c r="G11" i="24"/>
  <c r="H75" i="24"/>
  <c r="G73" i="24"/>
  <c r="H60" i="24"/>
  <c r="H59" i="24"/>
  <c r="H64" i="24"/>
  <c r="G62" i="24"/>
  <c r="I62" i="24" s="1"/>
  <c r="H54" i="24"/>
  <c r="G53" i="24"/>
  <c r="H52" i="24"/>
  <c r="G45" i="24"/>
  <c r="I45" i="24" s="1"/>
  <c r="G25" i="24"/>
  <c r="G46" i="24"/>
  <c r="G44" i="24"/>
  <c r="G63" i="24"/>
  <c r="H42" i="24"/>
  <c r="H8" i="24"/>
  <c r="H55" i="24"/>
  <c r="H15" i="24"/>
  <c r="G12" i="24"/>
  <c r="G80" i="24"/>
  <c r="H77" i="24"/>
  <c r="H56" i="24"/>
  <c r="H84" i="24"/>
  <c r="G84" i="24"/>
  <c r="I84" i="24" s="1"/>
  <c r="G55" i="24"/>
  <c r="I55" i="24" s="1"/>
  <c r="G15" i="24"/>
  <c r="I15" i="24" s="1"/>
  <c r="H12" i="24"/>
  <c r="G77" i="24"/>
  <c r="I77" i="24" s="1"/>
  <c r="G72" i="24"/>
  <c r="H74" i="24"/>
  <c r="G74" i="24"/>
  <c r="I74" i="24" s="1"/>
  <c r="H66" i="24"/>
  <c r="H63" i="24"/>
  <c r="I63" i="24" s="1"/>
  <c r="H38" i="24"/>
  <c r="G38" i="24"/>
  <c r="I38" i="24" s="1"/>
  <c r="H37" i="24"/>
  <c r="G37" i="24"/>
  <c r="I37" i="24" s="1"/>
  <c r="H36" i="24"/>
  <c r="G36" i="24"/>
  <c r="I36" i="24" s="1"/>
  <c r="H35" i="24"/>
  <c r="G35" i="24"/>
  <c r="I35" i="24" s="1"/>
  <c r="H34" i="24"/>
  <c r="G34" i="24"/>
  <c r="I34" i="24" s="1"/>
  <c r="H33" i="24"/>
  <c r="G33" i="24"/>
  <c r="H32" i="24"/>
  <c r="G32" i="24"/>
  <c r="H31" i="24"/>
  <c r="G31" i="24"/>
  <c r="I31" i="24" s="1"/>
  <c r="H30" i="24"/>
  <c r="G30" i="24"/>
  <c r="I30" i="24" s="1"/>
  <c r="H29" i="24"/>
  <c r="H28" i="24"/>
  <c r="G28" i="24"/>
  <c r="I28" i="24" s="1"/>
  <c r="H27" i="24"/>
  <c r="G27" i="24"/>
  <c r="H23" i="24"/>
  <c r="G23" i="24"/>
  <c r="I23" i="24" s="1"/>
  <c r="H20" i="24"/>
  <c r="H18" i="24"/>
  <c r="H17" i="24"/>
  <c r="H16" i="24"/>
  <c r="H79" i="24"/>
  <c r="H78" i="24"/>
  <c r="H72" i="24"/>
  <c r="H71" i="24"/>
  <c r="G51" i="24"/>
  <c r="I51" i="24" s="1"/>
  <c r="G68" i="24"/>
  <c r="G66" i="24"/>
  <c r="H65" i="24"/>
  <c r="H58" i="24"/>
  <c r="G58" i="24"/>
  <c r="I58" i="24" s="1"/>
  <c r="G50" i="24"/>
  <c r="I50" i="24" s="1"/>
  <c r="G29" i="24"/>
  <c r="G17" i="24"/>
  <c r="G16" i="24"/>
  <c r="I16" i="24" s="1"/>
  <c r="H80" i="24"/>
  <c r="G78" i="24"/>
  <c r="I78" i="24" s="1"/>
  <c r="G71" i="24"/>
  <c r="I71" i="24" s="1"/>
  <c r="H68" i="24"/>
  <c r="G56" i="24"/>
  <c r="I56" i="24" s="1"/>
  <c r="H81" i="24"/>
  <c r="G40" i="24"/>
  <c r="G26" i="24"/>
  <c r="G81" i="24"/>
  <c r="I81" i="24" s="1"/>
  <c r="H13" i="24"/>
  <c r="G42" i="24"/>
  <c r="G13" i="24"/>
  <c r="I13" i="24" s="1"/>
  <c r="H41" i="24"/>
  <c r="G41" i="24"/>
  <c r="I41" i="24" s="1"/>
  <c r="H40" i="24"/>
  <c r="H26" i="24"/>
  <c r="H25" i="24"/>
  <c r="H22" i="24"/>
  <c r="G22" i="24"/>
  <c r="I22" i="24" s="1"/>
  <c r="H21" i="24"/>
  <c r="G21" i="24"/>
  <c r="I21" i="24" s="1"/>
  <c r="G20" i="24"/>
  <c r="I20" i="24" s="1"/>
  <c r="H19" i="24"/>
  <c r="G19" i="24"/>
  <c r="I19" i="24" s="1"/>
  <c r="H39" i="24"/>
  <c r="G14" i="24"/>
  <c r="I14" i="24" s="1"/>
  <c r="H10" i="24"/>
  <c r="G10" i="24"/>
  <c r="I10" i="24" s="1"/>
  <c r="G39" i="24"/>
  <c r="I39" i="24" s="1"/>
  <c r="H6" i="24"/>
  <c r="G6" i="24"/>
  <c r="I6" i="24" s="1"/>
  <c r="G43" i="24"/>
  <c r="I43" i="24" s="1"/>
  <c r="I14" i="23"/>
  <c r="I33" i="23"/>
  <c r="I16" i="23"/>
  <c r="G83" i="23"/>
  <c r="H43" i="23"/>
  <c r="I43" i="23" s="1"/>
  <c r="G45" i="23"/>
  <c r="H46" i="23"/>
  <c r="H80" i="23"/>
  <c r="G82" i="23"/>
  <c r="H79" i="23"/>
  <c r="G79" i="23"/>
  <c r="I79" i="23" s="1"/>
  <c r="H6" i="23"/>
  <c r="G6" i="23"/>
  <c r="I6" i="23" s="1"/>
  <c r="G44" i="23"/>
  <c r="H44" i="23"/>
  <c r="H45" i="23"/>
  <c r="G46" i="23"/>
  <c r="H82" i="23"/>
  <c r="G81" i="23"/>
  <c r="G80" i="23"/>
  <c r="I80" i="23" s="1"/>
  <c r="H81" i="23"/>
  <c r="I24" i="23"/>
  <c r="I17" i="23"/>
  <c r="I68" i="23"/>
  <c r="I48" i="23"/>
  <c r="I75" i="23"/>
  <c r="I8" i="23"/>
  <c r="I59" i="25"/>
  <c r="I58" i="25"/>
  <c r="I37" i="25"/>
  <c r="I57" i="25"/>
  <c r="I49" i="25"/>
  <c r="I45" i="25"/>
  <c r="I30" i="25"/>
  <c r="I29" i="25"/>
  <c r="I19" i="25"/>
  <c r="I25" i="25"/>
  <c r="I20" i="25"/>
  <c r="I15" i="25"/>
  <c r="I70" i="23"/>
  <c r="I58" i="23"/>
  <c r="I50" i="23"/>
  <c r="I26" i="23"/>
  <c r="I23" i="23"/>
  <c r="I22" i="23"/>
  <c r="I21" i="23"/>
  <c r="I74" i="23"/>
  <c r="I64" i="23"/>
  <c r="I61" i="23"/>
  <c r="I60" i="23"/>
  <c r="I67" i="23"/>
  <c r="I18" i="23"/>
  <c r="I71" i="23"/>
  <c r="I63" i="23"/>
  <c r="I56" i="23"/>
  <c r="I47" i="23"/>
  <c r="I27" i="23"/>
  <c r="I53" i="23"/>
  <c r="I52" i="23"/>
  <c r="I82" i="23"/>
  <c r="I7" i="23"/>
  <c r="I44" i="23"/>
  <c r="I46" i="23"/>
  <c r="I83" i="23"/>
  <c r="I59" i="23"/>
  <c r="I51" i="23"/>
  <c r="E85" i="19"/>
  <c r="B90" i="20"/>
  <c r="B89" i="20"/>
  <c r="B88" i="20"/>
  <c r="F85" i="19"/>
  <c r="H83" i="18"/>
  <c r="G83" i="18"/>
  <c r="I83" i="18"/>
  <c r="F83" i="18"/>
  <c r="E83" i="18"/>
  <c r="E84" i="17"/>
  <c r="F84" i="17"/>
  <c r="H49" i="6"/>
  <c r="H56" i="6" s="1"/>
  <c r="H63" i="6" s="1"/>
  <c r="H70" i="6" s="1"/>
  <c r="H77" i="6" s="1"/>
  <c r="C17" i="6"/>
  <c r="J12" i="3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P16" i="3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I30" i="4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O33" i="4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I67" i="4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D36" i="4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I82" i="8"/>
  <c r="H39" i="15"/>
  <c r="F39" i="15"/>
  <c r="G44" i="15" s="1"/>
  <c r="E44" i="15" s="1"/>
  <c r="H38" i="15"/>
  <c r="F38" i="15"/>
  <c r="G43" i="15" s="1"/>
  <c r="E43" i="15" s="1"/>
  <c r="F36" i="15"/>
  <c r="G41" i="15" s="1"/>
  <c r="E41" i="15" s="1"/>
  <c r="H36" i="15"/>
  <c r="F35" i="15"/>
  <c r="G40" i="15" s="1"/>
  <c r="H35" i="15"/>
  <c r="H37" i="15"/>
  <c r="F37" i="15"/>
  <c r="G42" i="15" s="1"/>
  <c r="E42" i="15" s="1"/>
  <c r="F38" i="14"/>
  <c r="G43" i="14" s="1"/>
  <c r="E43" i="14" s="1"/>
  <c r="H38" i="14"/>
  <c r="H36" i="14"/>
  <c r="F36" i="14"/>
  <c r="G41" i="14" s="1"/>
  <c r="E41" i="14" s="1"/>
  <c r="F37" i="14"/>
  <c r="G42" i="14" s="1"/>
  <c r="E42" i="14" s="1"/>
  <c r="H37" i="14"/>
  <c r="H39" i="14"/>
  <c r="F39" i="14"/>
  <c r="G44" i="14" s="1"/>
  <c r="E44" i="14" s="1"/>
  <c r="F35" i="14"/>
  <c r="G40" i="14" s="1"/>
  <c r="E40" i="14" s="1"/>
  <c r="H35" i="14"/>
  <c r="W6" i="9"/>
  <c r="W9" i="9"/>
  <c r="W3" i="9"/>
  <c r="U9" i="9"/>
  <c r="U3" i="9"/>
  <c r="Q37" i="10"/>
  <c r="Q42" i="10"/>
  <c r="Q56" i="10"/>
  <c r="Q36" i="10"/>
  <c r="Q39" i="10"/>
  <c r="Q45" i="10"/>
  <c r="Q48" i="10"/>
  <c r="Q44" i="10"/>
  <c r="Q49" i="10"/>
  <c r="Q53" i="10"/>
  <c r="Q50" i="10"/>
  <c r="Q35" i="10"/>
  <c r="Q38" i="10"/>
  <c r="Q41" i="10"/>
  <c r="Q51" i="10"/>
  <c r="Q55" i="10"/>
  <c r="Q40" i="10"/>
  <c r="Q47" i="10"/>
  <c r="Q54" i="10"/>
  <c r="Q34" i="10"/>
  <c r="Q43" i="10"/>
  <c r="Q46" i="10"/>
  <c r="Q52" i="10"/>
  <c r="O56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BP20" i="7"/>
  <c r="BP21" i="7" s="1"/>
  <c r="P16" i="9"/>
  <c r="U16" i="9" s="1"/>
  <c r="P15" i="9"/>
  <c r="U15" i="9" s="1"/>
  <c r="P12" i="9"/>
  <c r="U12" i="9" s="1"/>
  <c r="P13" i="9"/>
  <c r="U13" i="9" s="1"/>
  <c r="P14" i="9"/>
  <c r="U14" i="9" s="1"/>
  <c r="P17" i="9"/>
  <c r="U17" i="9" s="1"/>
  <c r="P29" i="9"/>
  <c r="U29" i="9" s="1"/>
  <c r="R30" i="9"/>
  <c r="W4" i="9"/>
  <c r="R19" i="9"/>
  <c r="P21" i="9"/>
  <c r="U21" i="9" s="1"/>
  <c r="P19" i="9"/>
  <c r="U19" i="9" s="1"/>
  <c r="P20" i="9"/>
  <c r="U20" i="9" s="1"/>
  <c r="R22" i="9"/>
  <c r="P22" i="9"/>
  <c r="U22" i="9" s="1"/>
  <c r="W8" i="9"/>
  <c r="P10" i="9"/>
  <c r="U10" i="9" s="1"/>
  <c r="R13" i="9"/>
  <c r="W5" i="9"/>
  <c r="R10" i="9"/>
  <c r="R18" i="9"/>
  <c r="R23" i="9"/>
  <c r="R15" i="9"/>
  <c r="R16" i="9"/>
  <c r="BA20" i="7"/>
  <c r="BA21" i="7" s="1"/>
  <c r="AM20" i="7"/>
  <c r="AM21" i="7" s="1"/>
  <c r="AF20" i="7"/>
  <c r="AF21" i="7" s="1"/>
  <c r="S20" i="7"/>
  <c r="S21" i="7" s="1"/>
  <c r="F20" i="7"/>
  <c r="F21" i="7" s="1"/>
  <c r="I41" i="25" l="1"/>
  <c r="I34" i="25"/>
  <c r="I33" i="25"/>
  <c r="I52" i="25"/>
  <c r="I11" i="24"/>
  <c r="I73" i="24"/>
  <c r="I53" i="24"/>
  <c r="I25" i="24"/>
  <c r="I46" i="24"/>
  <c r="I44" i="24"/>
  <c r="I40" i="24"/>
  <c r="I27" i="24"/>
  <c r="I26" i="24"/>
  <c r="I70" i="24"/>
  <c r="I65" i="24"/>
  <c r="I18" i="24"/>
  <c r="I79" i="24"/>
  <c r="I72" i="24"/>
  <c r="I66" i="24"/>
  <c r="I29" i="24"/>
  <c r="I80" i="24"/>
  <c r="I42" i="24"/>
  <c r="I61" i="24"/>
  <c r="I83" i="24"/>
  <c r="I82" i="24"/>
  <c r="I59" i="24"/>
  <c r="I60" i="24"/>
  <c r="I54" i="24"/>
  <c r="I48" i="24"/>
  <c r="I49" i="24"/>
  <c r="I47" i="24"/>
  <c r="I8" i="24"/>
  <c r="I75" i="24"/>
  <c r="I64" i="24"/>
  <c r="I12" i="24"/>
  <c r="I68" i="24"/>
  <c r="I17" i="24"/>
  <c r="I33" i="24"/>
  <c r="I32" i="24"/>
  <c r="I81" i="23"/>
  <c r="I45" i="23"/>
  <c r="C86" i="17"/>
  <c r="I86" i="24"/>
  <c r="I87" i="23"/>
  <c r="B89" i="19"/>
  <c r="E87" i="18"/>
  <c r="C24" i="6"/>
  <c r="C31" i="6" s="1"/>
  <c r="C38" i="6" s="1"/>
  <c r="C45" i="6" s="1"/>
  <c r="C52" i="6" s="1"/>
  <c r="C59" i="6" s="1"/>
  <c r="C66" i="6" s="1"/>
  <c r="C73" i="6" s="1"/>
  <c r="C80" i="6" s="1"/>
  <c r="P27" i="3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D57" i="4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H44" i="15"/>
  <c r="F44" i="15"/>
  <c r="G49" i="15" s="1"/>
  <c r="E49" i="15" s="1"/>
  <c r="H43" i="15"/>
  <c r="F43" i="15"/>
  <c r="G48" i="15" s="1"/>
  <c r="E48" i="15" s="1"/>
  <c r="H41" i="15"/>
  <c r="F41" i="15"/>
  <c r="G46" i="15" s="1"/>
  <c r="E46" i="15" s="1"/>
  <c r="H40" i="15"/>
  <c r="F40" i="15"/>
  <c r="G45" i="15" s="1"/>
  <c r="E45" i="15" s="1"/>
  <c r="H42" i="15"/>
  <c r="F42" i="15"/>
  <c r="G47" i="15" s="1"/>
  <c r="E47" i="15" s="1"/>
  <c r="H43" i="14"/>
  <c r="F43" i="14"/>
  <c r="G48" i="14" s="1"/>
  <c r="E48" i="14" s="1"/>
  <c r="H41" i="14"/>
  <c r="F41" i="14"/>
  <c r="G46" i="14" s="1"/>
  <c r="E46" i="14" s="1"/>
  <c r="H42" i="14"/>
  <c r="F42" i="14"/>
  <c r="G47" i="14" s="1"/>
  <c r="E47" i="14" s="1"/>
  <c r="H44" i="14"/>
  <c r="F44" i="14"/>
  <c r="G49" i="14" s="1"/>
  <c r="E49" i="14" s="1"/>
  <c r="F40" i="14"/>
  <c r="G45" i="14" s="1"/>
  <c r="E45" i="14" s="1"/>
  <c r="H40" i="14"/>
  <c r="P18" i="9"/>
  <c r="U18" i="9" s="1"/>
  <c r="P23" i="9"/>
  <c r="U23" i="9" s="1"/>
  <c r="R21" i="9"/>
  <c r="W21" i="9" s="1"/>
  <c r="P26" i="9"/>
  <c r="U26" i="9" s="1"/>
  <c r="P36" i="9"/>
  <c r="U36" i="9" s="1"/>
  <c r="P27" i="9"/>
  <c r="U27" i="9" s="1"/>
  <c r="W19" i="9"/>
  <c r="W13" i="9"/>
  <c r="R37" i="9"/>
  <c r="W23" i="9"/>
  <c r="W15" i="9"/>
  <c r="W30" i="9"/>
  <c r="R26" i="9"/>
  <c r="W16" i="9"/>
  <c r="R25" i="9"/>
  <c r="W10" i="9"/>
  <c r="R20" i="9"/>
  <c r="R17" i="9"/>
  <c r="W22" i="9"/>
  <c r="W18" i="9"/>
  <c r="P25" i="9"/>
  <c r="U25" i="9" s="1"/>
  <c r="R29" i="9"/>
  <c r="P28" i="9"/>
  <c r="U28" i="9" s="1"/>
  <c r="P24" i="9"/>
  <c r="U24" i="9" s="1"/>
  <c r="I62" i="25" l="1"/>
  <c r="I89" i="24"/>
  <c r="I90" i="24"/>
  <c r="I90" i="23"/>
  <c r="I91" i="23"/>
  <c r="E91" i="18"/>
  <c r="E89" i="18"/>
  <c r="B92" i="19"/>
  <c r="B91" i="19"/>
  <c r="C82" i="6"/>
  <c r="O82" i="4"/>
  <c r="H49" i="15"/>
  <c r="F49" i="15"/>
  <c r="G54" i="15" s="1"/>
  <c r="E54" i="15" s="1"/>
  <c r="H48" i="15"/>
  <c r="F48" i="15"/>
  <c r="G53" i="15" s="1"/>
  <c r="E53" i="15" s="1"/>
  <c r="H46" i="15"/>
  <c r="F46" i="15"/>
  <c r="G51" i="15" s="1"/>
  <c r="E51" i="15" s="1"/>
  <c r="H45" i="15"/>
  <c r="F45" i="15"/>
  <c r="G50" i="15" s="1"/>
  <c r="E50" i="15" s="1"/>
  <c r="H47" i="15"/>
  <c r="F47" i="15"/>
  <c r="G52" i="15" s="1"/>
  <c r="E52" i="15" s="1"/>
  <c r="I82" i="4"/>
  <c r="F48" i="14"/>
  <c r="G53" i="14" s="1"/>
  <c r="E53" i="14" s="1"/>
  <c r="H48" i="14"/>
  <c r="F46" i="14"/>
  <c r="G51" i="14" s="1"/>
  <c r="E51" i="14" s="1"/>
  <c r="H46" i="14"/>
  <c r="F47" i="14"/>
  <c r="G52" i="14" s="1"/>
  <c r="E52" i="14" s="1"/>
  <c r="H47" i="14"/>
  <c r="F49" i="14"/>
  <c r="G54" i="14" s="1"/>
  <c r="E54" i="14" s="1"/>
  <c r="H49" i="14"/>
  <c r="H45" i="14"/>
  <c r="F45" i="14"/>
  <c r="G50" i="14" s="1"/>
  <c r="E50" i="14" s="1"/>
  <c r="P30" i="9"/>
  <c r="U30" i="9" s="1"/>
  <c r="R28" i="9"/>
  <c r="W28" i="9" s="1"/>
  <c r="R24" i="9"/>
  <c r="W37" i="9"/>
  <c r="P43" i="9"/>
  <c r="U43" i="9" s="1"/>
  <c r="P35" i="9"/>
  <c r="U35" i="9" s="1"/>
  <c r="R33" i="9"/>
  <c r="W20" i="9"/>
  <c r="R27" i="9"/>
  <c r="P33" i="9"/>
  <c r="U33" i="9" s="1"/>
  <c r="W26" i="9"/>
  <c r="R36" i="9"/>
  <c r="W29" i="9"/>
  <c r="P31" i="9"/>
  <c r="U31" i="9" s="1"/>
  <c r="P32" i="9"/>
  <c r="U32" i="9" s="1"/>
  <c r="R32" i="9"/>
  <c r="W25" i="9"/>
  <c r="W17" i="9"/>
  <c r="R44" i="9"/>
  <c r="P34" i="9"/>
  <c r="U34" i="9" s="1"/>
  <c r="I65" i="25" l="1"/>
  <c r="I66" i="25"/>
  <c r="H54" i="15"/>
  <c r="F54" i="15"/>
  <c r="G59" i="15" s="1"/>
  <c r="E59" i="15" s="1"/>
  <c r="H53" i="15"/>
  <c r="F53" i="15"/>
  <c r="G58" i="15" s="1"/>
  <c r="E58" i="15" s="1"/>
  <c r="H51" i="15"/>
  <c r="F51" i="15"/>
  <c r="G56" i="15" s="1"/>
  <c r="E56" i="15" s="1"/>
  <c r="H50" i="15"/>
  <c r="F50" i="15"/>
  <c r="G55" i="15" s="1"/>
  <c r="E55" i="15" s="1"/>
  <c r="H52" i="15"/>
  <c r="F52" i="15"/>
  <c r="G57" i="15" s="1"/>
  <c r="E57" i="15" s="1"/>
  <c r="J82" i="3"/>
  <c r="H54" i="14"/>
  <c r="F53" i="14"/>
  <c r="G58" i="14" s="1"/>
  <c r="E58" i="14" s="1"/>
  <c r="H53" i="14"/>
  <c r="F51" i="14"/>
  <c r="G56" i="14" s="1"/>
  <c r="E56" i="14" s="1"/>
  <c r="H51" i="14"/>
  <c r="F52" i="14"/>
  <c r="G57" i="14" s="1"/>
  <c r="E57" i="14" s="1"/>
  <c r="H52" i="14"/>
  <c r="F50" i="14"/>
  <c r="G55" i="14" s="1"/>
  <c r="E55" i="14" s="1"/>
  <c r="H50" i="14"/>
  <c r="F54" i="14"/>
  <c r="G59" i="14" s="1"/>
  <c r="E59" i="14" s="1"/>
  <c r="P37" i="9"/>
  <c r="U37" i="9" s="1"/>
  <c r="R35" i="9"/>
  <c r="W35" i="9" s="1"/>
  <c r="R34" i="9"/>
  <c r="W36" i="9"/>
  <c r="W32" i="9"/>
  <c r="R43" i="9"/>
  <c r="P50" i="9"/>
  <c r="U50" i="9" s="1"/>
  <c r="R40" i="9"/>
  <c r="W44" i="9"/>
  <c r="R51" i="9"/>
  <c r="P40" i="9"/>
  <c r="U40" i="9" s="1"/>
  <c r="R39" i="9"/>
  <c r="W33" i="9"/>
  <c r="W24" i="9"/>
  <c r="P39" i="9"/>
  <c r="U39" i="9" s="1"/>
  <c r="P38" i="9"/>
  <c r="U38" i="9" s="1"/>
  <c r="P42" i="9"/>
  <c r="U42" i="9" s="1"/>
  <c r="R31" i="9"/>
  <c r="P41" i="9"/>
  <c r="U41" i="9" s="1"/>
  <c r="W27" i="9"/>
  <c r="H59" i="15" l="1"/>
  <c r="F59" i="15"/>
  <c r="G64" i="15" s="1"/>
  <c r="E64" i="15" s="1"/>
  <c r="H58" i="15"/>
  <c r="F58" i="15"/>
  <c r="G63" i="15" s="1"/>
  <c r="E63" i="15" s="1"/>
  <c r="H56" i="15"/>
  <c r="F56" i="15"/>
  <c r="G61" i="15" s="1"/>
  <c r="E61" i="15" s="1"/>
  <c r="H55" i="15"/>
  <c r="F55" i="15"/>
  <c r="G60" i="15" s="1"/>
  <c r="E60" i="15" s="1"/>
  <c r="H57" i="15"/>
  <c r="F57" i="15"/>
  <c r="G62" i="15" s="1"/>
  <c r="E62" i="15" s="1"/>
  <c r="H56" i="14"/>
  <c r="H59" i="14"/>
  <c r="F58" i="14"/>
  <c r="G63" i="14" s="1"/>
  <c r="E63" i="14" s="1"/>
  <c r="H58" i="14"/>
  <c r="F57" i="14"/>
  <c r="G62" i="14" s="1"/>
  <c r="E62" i="14" s="1"/>
  <c r="H57" i="14"/>
  <c r="F56" i="14"/>
  <c r="G61" i="14" s="1"/>
  <c r="E61" i="14" s="1"/>
  <c r="F55" i="14"/>
  <c r="G60" i="14" s="1"/>
  <c r="E60" i="14" s="1"/>
  <c r="H55" i="14"/>
  <c r="P44" i="9"/>
  <c r="U44" i="9" s="1"/>
  <c r="R42" i="9"/>
  <c r="W42" i="9" s="1"/>
  <c r="R46" i="9"/>
  <c r="P49" i="9"/>
  <c r="U49" i="9" s="1"/>
  <c r="W40" i="9"/>
  <c r="W43" i="9"/>
  <c r="P46" i="9"/>
  <c r="U46" i="9" s="1"/>
  <c r="R47" i="9"/>
  <c r="R50" i="9"/>
  <c r="P48" i="9"/>
  <c r="U48" i="9" s="1"/>
  <c r="P47" i="9"/>
  <c r="U47" i="9" s="1"/>
  <c r="P57" i="9"/>
  <c r="U57" i="9" s="1"/>
  <c r="W31" i="9"/>
  <c r="W51" i="9"/>
  <c r="R38" i="9"/>
  <c r="R58" i="9"/>
  <c r="W34" i="9"/>
  <c r="P45" i="9"/>
  <c r="U45" i="9" s="1"/>
  <c r="W39" i="9"/>
  <c r="R41" i="9"/>
  <c r="H64" i="15" l="1"/>
  <c r="F64" i="15"/>
  <c r="G69" i="15" s="1"/>
  <c r="E69" i="15" s="1"/>
  <c r="H63" i="15"/>
  <c r="F63" i="15"/>
  <c r="G68" i="15" s="1"/>
  <c r="E68" i="15" s="1"/>
  <c r="H61" i="15"/>
  <c r="F61" i="15"/>
  <c r="G66" i="15" s="1"/>
  <c r="E66" i="15" s="1"/>
  <c r="H60" i="15"/>
  <c r="F60" i="15"/>
  <c r="G65" i="15" s="1"/>
  <c r="E65" i="15" s="1"/>
  <c r="H62" i="15"/>
  <c r="F62" i="15"/>
  <c r="G67" i="15" s="1"/>
  <c r="E67" i="15" s="1"/>
  <c r="H61" i="14"/>
  <c r="F63" i="14"/>
  <c r="G68" i="14" s="1"/>
  <c r="E68" i="14" s="1"/>
  <c r="H63" i="14"/>
  <c r="F62" i="14"/>
  <c r="G67" i="14" s="1"/>
  <c r="E67" i="14" s="1"/>
  <c r="H62" i="14"/>
  <c r="F61" i="14"/>
  <c r="G66" i="14" s="1"/>
  <c r="E66" i="14" s="1"/>
  <c r="F60" i="14"/>
  <c r="G65" i="14" s="1"/>
  <c r="E65" i="14" s="1"/>
  <c r="H60" i="14"/>
  <c r="F59" i="14"/>
  <c r="G64" i="14" s="1"/>
  <c r="E64" i="14" s="1"/>
  <c r="P51" i="9"/>
  <c r="U51" i="9" s="1"/>
  <c r="R49" i="9"/>
  <c r="W49" i="9" s="1"/>
  <c r="P56" i="9"/>
  <c r="U56" i="9" s="1"/>
  <c r="R54" i="9"/>
  <c r="W58" i="9"/>
  <c r="P53" i="9"/>
  <c r="U53" i="9" s="1"/>
  <c r="R45" i="9"/>
  <c r="W41" i="9"/>
  <c r="P54" i="9"/>
  <c r="U54" i="9" s="1"/>
  <c r="W38" i="9"/>
  <c r="W50" i="9"/>
  <c r="R65" i="9"/>
  <c r="R48" i="9"/>
  <c r="R57" i="9"/>
  <c r="P52" i="9"/>
  <c r="U52" i="9" s="1"/>
  <c r="W46" i="9"/>
  <c r="P64" i="9"/>
  <c r="U64" i="9" s="1"/>
  <c r="P55" i="9"/>
  <c r="U55" i="9" s="1"/>
  <c r="W47" i="9"/>
  <c r="R53" i="9"/>
  <c r="H69" i="15" l="1"/>
  <c r="F69" i="15"/>
  <c r="G74" i="15" s="1"/>
  <c r="E74" i="15" s="1"/>
  <c r="H68" i="15"/>
  <c r="F68" i="15"/>
  <c r="G73" i="15" s="1"/>
  <c r="E73" i="15" s="1"/>
  <c r="H66" i="15"/>
  <c r="F66" i="15"/>
  <c r="G71" i="15" s="1"/>
  <c r="E71" i="15" s="1"/>
  <c r="H65" i="15"/>
  <c r="F65" i="15"/>
  <c r="G70" i="15" s="1"/>
  <c r="E70" i="15" s="1"/>
  <c r="H67" i="15"/>
  <c r="F67" i="15"/>
  <c r="G72" i="15" s="1"/>
  <c r="E72" i="15" s="1"/>
  <c r="H66" i="14"/>
  <c r="H64" i="14"/>
  <c r="F68" i="14"/>
  <c r="G73" i="14" s="1"/>
  <c r="E73" i="14" s="1"/>
  <c r="H68" i="14"/>
  <c r="F67" i="14"/>
  <c r="G72" i="14" s="1"/>
  <c r="E72" i="14" s="1"/>
  <c r="H67" i="14"/>
  <c r="F66" i="14"/>
  <c r="G71" i="14" s="1"/>
  <c r="E71" i="14" s="1"/>
  <c r="F65" i="14"/>
  <c r="G70" i="14" s="1"/>
  <c r="E70" i="14" s="1"/>
  <c r="H65" i="14"/>
  <c r="P58" i="9"/>
  <c r="U58" i="9" s="1"/>
  <c r="R56" i="9"/>
  <c r="W56" i="9" s="1"/>
  <c r="W54" i="9"/>
  <c r="R61" i="9"/>
  <c r="P60" i="9"/>
  <c r="U60" i="9" s="1"/>
  <c r="W48" i="9"/>
  <c r="R64" i="9"/>
  <c r="W57" i="9"/>
  <c r="R60" i="9"/>
  <c r="W45" i="9"/>
  <c r="R55" i="9"/>
  <c r="P61" i="9"/>
  <c r="U61" i="9" s="1"/>
  <c r="P62" i="9"/>
  <c r="U62" i="9" s="1"/>
  <c r="W65" i="9"/>
  <c r="P63" i="9"/>
  <c r="U63" i="9" s="1"/>
  <c r="W53" i="9"/>
  <c r="R52" i="9"/>
  <c r="P59" i="9"/>
  <c r="U59" i="9" s="1"/>
  <c r="H74" i="15" l="1"/>
  <c r="F74" i="15"/>
  <c r="G79" i="15" s="1"/>
  <c r="E79" i="15" s="1"/>
  <c r="H73" i="15"/>
  <c r="F73" i="15"/>
  <c r="G78" i="15" s="1"/>
  <c r="E78" i="15" s="1"/>
  <c r="H71" i="15"/>
  <c r="F71" i="15"/>
  <c r="G76" i="15" s="1"/>
  <c r="E76" i="15" s="1"/>
  <c r="H70" i="15"/>
  <c r="F70" i="15"/>
  <c r="G75" i="15" s="1"/>
  <c r="E75" i="15" s="1"/>
  <c r="H72" i="15"/>
  <c r="F72" i="15"/>
  <c r="G77" i="15" s="1"/>
  <c r="E77" i="15" s="1"/>
  <c r="H73" i="14"/>
  <c r="H72" i="14"/>
  <c r="H71" i="14"/>
  <c r="F71" i="14"/>
  <c r="G76" i="14" s="1"/>
  <c r="E76" i="14" s="1"/>
  <c r="F70" i="14"/>
  <c r="G75" i="14" s="1"/>
  <c r="E75" i="14" s="1"/>
  <c r="H70" i="14"/>
  <c r="F64" i="14"/>
  <c r="G69" i="14" s="1"/>
  <c r="E69" i="14" s="1"/>
  <c r="F73" i="14"/>
  <c r="G78" i="14" s="1"/>
  <c r="E78" i="14" s="1"/>
  <c r="P65" i="9"/>
  <c r="U65" i="9" s="1"/>
  <c r="R63" i="9"/>
  <c r="W63" i="9" s="1"/>
  <c r="R62" i="9"/>
  <c r="P67" i="9"/>
  <c r="U67" i="9" s="1"/>
  <c r="W52" i="9"/>
  <c r="W60" i="9"/>
  <c r="R59" i="9"/>
  <c r="R67" i="9"/>
  <c r="R68" i="9"/>
  <c r="W61" i="9"/>
  <c r="P69" i="9"/>
  <c r="W64" i="9"/>
  <c r="P68" i="9"/>
  <c r="P66" i="9"/>
  <c r="U66" i="9" s="1"/>
  <c r="W55" i="9"/>
  <c r="H79" i="15" l="1"/>
  <c r="F79" i="15"/>
  <c r="G84" i="15" s="1"/>
  <c r="E84" i="15" s="1"/>
  <c r="F84" i="15" s="1"/>
  <c r="G89" i="15" s="1"/>
  <c r="H78" i="15"/>
  <c r="F78" i="15"/>
  <c r="G83" i="15" s="1"/>
  <c r="E83" i="15" s="1"/>
  <c r="F83" i="15" s="1"/>
  <c r="G88" i="15" s="1"/>
  <c r="H76" i="15"/>
  <c r="F76" i="15"/>
  <c r="G81" i="15" s="1"/>
  <c r="E81" i="15" s="1"/>
  <c r="H75" i="15"/>
  <c r="F75" i="15"/>
  <c r="G80" i="15" s="1"/>
  <c r="E80" i="15" s="1"/>
  <c r="H77" i="15"/>
  <c r="F77" i="15"/>
  <c r="G82" i="15" s="1"/>
  <c r="E82" i="15" s="1"/>
  <c r="F72" i="14"/>
  <c r="G77" i="14" s="1"/>
  <c r="E77" i="14" s="1"/>
  <c r="H76" i="14"/>
  <c r="H69" i="14"/>
  <c r="H78" i="14"/>
  <c r="F75" i="14"/>
  <c r="G80" i="14" s="1"/>
  <c r="E80" i="14" s="1"/>
  <c r="H75" i="14"/>
  <c r="R66" i="9"/>
  <c r="R69" i="9"/>
  <c r="W59" i="9"/>
  <c r="W62" i="9"/>
  <c r="W67" i="9"/>
  <c r="E89" i="15" l="1"/>
  <c r="F89" i="15"/>
  <c r="G94" i="15" s="1"/>
  <c r="E88" i="15"/>
  <c r="H81" i="15"/>
  <c r="F81" i="15"/>
  <c r="G86" i="15" s="1"/>
  <c r="E86" i="15" s="1"/>
  <c r="F86" i="15" s="1"/>
  <c r="G91" i="15" s="1"/>
  <c r="H80" i="15"/>
  <c r="F80" i="15"/>
  <c r="G85" i="15" s="1"/>
  <c r="E85" i="15" s="1"/>
  <c r="F85" i="15" s="1"/>
  <c r="G90" i="15" s="1"/>
  <c r="H82" i="15"/>
  <c r="H83" i="15" s="1"/>
  <c r="H84" i="15" s="1"/>
  <c r="F82" i="15"/>
  <c r="G87" i="15" s="1"/>
  <c r="E87" i="15" s="1"/>
  <c r="F87" i="15" s="1"/>
  <c r="G92" i="15" s="1"/>
  <c r="H77" i="14"/>
  <c r="F76" i="14"/>
  <c r="G81" i="14" s="1"/>
  <c r="E81" i="14" s="1"/>
  <c r="F80" i="14"/>
  <c r="G85" i="14" s="1"/>
  <c r="E85" i="14" s="1"/>
  <c r="H80" i="14"/>
  <c r="F77" i="14"/>
  <c r="G82" i="14" s="1"/>
  <c r="E82" i="14" s="1"/>
  <c r="F78" i="14"/>
  <c r="G83" i="14" s="1"/>
  <c r="E83" i="14" s="1"/>
  <c r="F69" i="14"/>
  <c r="G74" i="14" s="1"/>
  <c r="E74" i="14" s="1"/>
  <c r="G82" i="9"/>
  <c r="W66" i="9"/>
  <c r="I69" i="9" l="1"/>
  <c r="P70" i="9"/>
  <c r="U68" i="9" s="1"/>
  <c r="E94" i="15"/>
  <c r="F94" i="15"/>
  <c r="G99" i="15" s="1"/>
  <c r="F88" i="15"/>
  <c r="G93" i="15" s="1"/>
  <c r="E91" i="15"/>
  <c r="E90" i="15"/>
  <c r="E92" i="15"/>
  <c r="H85" i="15"/>
  <c r="H86" i="15" s="1"/>
  <c r="H87" i="15" s="1"/>
  <c r="H88" i="15" s="1"/>
  <c r="H89" i="15" s="1"/>
  <c r="H90" i="15" s="1"/>
  <c r="H91" i="15" s="1"/>
  <c r="H92" i="15" s="1"/>
  <c r="H93" i="15" s="1"/>
  <c r="H94" i="15" s="1"/>
  <c r="F81" i="14"/>
  <c r="G86" i="14" s="1"/>
  <c r="E86" i="14" s="1"/>
  <c r="H81" i="14"/>
  <c r="H82" i="14"/>
  <c r="H83" i="14" s="1"/>
  <c r="H74" i="14"/>
  <c r="F85" i="14"/>
  <c r="G90" i="14" s="1"/>
  <c r="E90" i="14" s="1"/>
  <c r="J81" i="9"/>
  <c r="J80" i="9"/>
  <c r="D82" i="9"/>
  <c r="J13" i="9"/>
  <c r="J4" i="9"/>
  <c r="J3" i="9"/>
  <c r="J7" i="9"/>
  <c r="J15" i="9"/>
  <c r="Q3" i="9" s="1"/>
  <c r="J5" i="9"/>
  <c r="I70" i="9"/>
  <c r="J16" i="9"/>
  <c r="Q4" i="9" s="1"/>
  <c r="I11" i="9"/>
  <c r="J8" i="9"/>
  <c r="I3" i="9"/>
  <c r="I6" i="9"/>
  <c r="J9" i="9"/>
  <c r="I8" i="9"/>
  <c r="J6" i="9"/>
  <c r="J14" i="9"/>
  <c r="I4" i="9"/>
  <c r="J30" i="9"/>
  <c r="I18" i="9"/>
  <c r="J18" i="9"/>
  <c r="J19" i="9"/>
  <c r="I10" i="9"/>
  <c r="J22" i="9"/>
  <c r="J20" i="9"/>
  <c r="J12" i="9"/>
  <c r="J17" i="9"/>
  <c r="J21" i="9"/>
  <c r="I5" i="9"/>
  <c r="J10" i="9"/>
  <c r="I7" i="9"/>
  <c r="J29" i="9"/>
  <c r="I17" i="9"/>
  <c r="J11" i="9"/>
  <c r="I9" i="9"/>
  <c r="J23" i="9"/>
  <c r="J37" i="9"/>
  <c r="J25" i="9"/>
  <c r="J24" i="9"/>
  <c r="I25" i="9"/>
  <c r="J27" i="9"/>
  <c r="I13" i="9"/>
  <c r="I12" i="9"/>
  <c r="J28" i="9"/>
  <c r="I15" i="9"/>
  <c r="I14" i="9"/>
  <c r="J36" i="9"/>
  <c r="J26" i="9"/>
  <c r="I24" i="9"/>
  <c r="I16" i="9"/>
  <c r="I23" i="9"/>
  <c r="J32" i="9"/>
  <c r="I20" i="9"/>
  <c r="I21" i="9"/>
  <c r="I31" i="9"/>
  <c r="J34" i="9"/>
  <c r="I32" i="9"/>
  <c r="J33" i="9"/>
  <c r="I19" i="9"/>
  <c r="J44" i="9"/>
  <c r="J31" i="9"/>
  <c r="J35" i="9"/>
  <c r="J43" i="9"/>
  <c r="I22" i="9"/>
  <c r="I30" i="9"/>
  <c r="J42" i="9"/>
  <c r="J51" i="9"/>
  <c r="J38" i="9"/>
  <c r="I38" i="9"/>
  <c r="J50" i="9"/>
  <c r="J39" i="9"/>
  <c r="J40" i="9"/>
  <c r="I26" i="9"/>
  <c r="I28" i="9"/>
  <c r="J41" i="9"/>
  <c r="I27" i="9"/>
  <c r="I29" i="9"/>
  <c r="I39" i="9"/>
  <c r="J46" i="9"/>
  <c r="J49" i="9"/>
  <c r="J47" i="9"/>
  <c r="I35" i="9"/>
  <c r="J45" i="9"/>
  <c r="J57" i="9"/>
  <c r="I33" i="9"/>
  <c r="J58" i="9"/>
  <c r="I46" i="9"/>
  <c r="I34" i="9"/>
  <c r="I37" i="9"/>
  <c r="I45" i="9"/>
  <c r="J48" i="9"/>
  <c r="I36" i="9"/>
  <c r="J53" i="9"/>
  <c r="I40" i="9"/>
  <c r="I43" i="9"/>
  <c r="J64" i="9"/>
  <c r="I41" i="9"/>
  <c r="I42" i="9"/>
  <c r="J52" i="9"/>
  <c r="J55" i="9"/>
  <c r="J56" i="9"/>
  <c r="I44" i="9"/>
  <c r="J65" i="9"/>
  <c r="I53" i="9"/>
  <c r="J54" i="9"/>
  <c r="I52" i="9"/>
  <c r="I59" i="9"/>
  <c r="I47" i="9"/>
  <c r="J61" i="9"/>
  <c r="J72" i="9"/>
  <c r="I49" i="9"/>
  <c r="J63" i="9"/>
  <c r="I60" i="9"/>
  <c r="I51" i="9"/>
  <c r="I50" i="9"/>
  <c r="J62" i="9"/>
  <c r="J60" i="9"/>
  <c r="I48" i="9"/>
  <c r="J71" i="9"/>
  <c r="J59" i="9"/>
  <c r="I58" i="9"/>
  <c r="J68" i="9"/>
  <c r="I56" i="9"/>
  <c r="J78" i="9"/>
  <c r="J79" i="9"/>
  <c r="J70" i="9"/>
  <c r="J69" i="9"/>
  <c r="I67" i="9"/>
  <c r="J66" i="9"/>
  <c r="I57" i="9"/>
  <c r="I66" i="9"/>
  <c r="J67" i="9"/>
  <c r="I55" i="9"/>
  <c r="I54" i="9"/>
  <c r="I61" i="9"/>
  <c r="I64" i="9"/>
  <c r="J73" i="9"/>
  <c r="J77" i="9"/>
  <c r="I62" i="9"/>
  <c r="J74" i="9"/>
  <c r="J75" i="9"/>
  <c r="I63" i="9"/>
  <c r="J76" i="9"/>
  <c r="I65" i="9"/>
  <c r="I68" i="9"/>
  <c r="W68" i="9" l="1"/>
  <c r="R70" i="9"/>
  <c r="E99" i="15"/>
  <c r="E93" i="15"/>
  <c r="F91" i="15"/>
  <c r="G96" i="15" s="1"/>
  <c r="F92" i="15"/>
  <c r="G97" i="15" s="1"/>
  <c r="F90" i="15"/>
  <c r="G95" i="15" s="1"/>
  <c r="F83" i="14"/>
  <c r="G88" i="14" s="1"/>
  <c r="E88" i="14" s="1"/>
  <c r="F82" i="14"/>
  <c r="G87" i="14" s="1"/>
  <c r="E87" i="14" s="1"/>
  <c r="F86" i="14"/>
  <c r="G91" i="14" s="1"/>
  <c r="E91" i="14" s="1"/>
  <c r="F74" i="14"/>
  <c r="G79" i="14" s="1"/>
  <c r="E79" i="14" s="1"/>
  <c r="Q22" i="9"/>
  <c r="V20" i="9"/>
  <c r="V51" i="9"/>
  <c r="Q53" i="9"/>
  <c r="V63" i="9"/>
  <c r="Q65" i="9"/>
  <c r="Q58" i="9"/>
  <c r="V56" i="9"/>
  <c r="V28" i="9"/>
  <c r="Q30" i="9"/>
  <c r="V59" i="9"/>
  <c r="Q61" i="9"/>
  <c r="V65" i="9"/>
  <c r="Q67" i="9"/>
  <c r="V42" i="9"/>
  <c r="Q44" i="9"/>
  <c r="V13" i="9"/>
  <c r="Q15" i="9"/>
  <c r="V64" i="9"/>
  <c r="Q66" i="9"/>
  <c r="V49" i="9"/>
  <c r="Q51" i="9"/>
  <c r="V41" i="9"/>
  <c r="Q43" i="9"/>
  <c r="V18" i="9"/>
  <c r="Q20" i="9"/>
  <c r="V7" i="9"/>
  <c r="Q9" i="9"/>
  <c r="M8" i="9"/>
  <c r="M9" i="9" s="1"/>
  <c r="M2" i="9"/>
  <c r="M3" i="9" s="1"/>
  <c r="V35" i="9"/>
  <c r="Q37" i="9"/>
  <c r="V16" i="9"/>
  <c r="Q18" i="9"/>
  <c r="V38" i="9"/>
  <c r="Q40" i="9"/>
  <c r="V27" i="9"/>
  <c r="Q29" i="9"/>
  <c r="V29" i="9"/>
  <c r="Q31" i="9"/>
  <c r="Q12" i="9"/>
  <c r="V10" i="9"/>
  <c r="V3" i="9"/>
  <c r="Q5" i="9"/>
  <c r="V15" i="9"/>
  <c r="Q17" i="9"/>
  <c r="V54" i="9"/>
  <c r="Q56" i="9"/>
  <c r="Q60" i="9"/>
  <c r="V58" i="9"/>
  <c r="Q46" i="9"/>
  <c r="V44" i="9"/>
  <c r="Q23" i="9"/>
  <c r="V21" i="9"/>
  <c r="Q13" i="9"/>
  <c r="V11" i="9"/>
  <c r="Q16" i="9"/>
  <c r="V14" i="9"/>
  <c r="V37" i="9"/>
  <c r="Q39" i="9"/>
  <c r="V47" i="9"/>
  <c r="Q49" i="9"/>
  <c r="V17" i="9"/>
  <c r="Q19" i="9"/>
  <c r="V23" i="9"/>
  <c r="Q25" i="9"/>
  <c r="V6" i="9"/>
  <c r="Q8" i="9"/>
  <c r="V53" i="9"/>
  <c r="Q55" i="9"/>
  <c r="Q47" i="9"/>
  <c r="V45" i="9"/>
  <c r="V50" i="9"/>
  <c r="Q52" i="9"/>
  <c r="V43" i="9"/>
  <c r="Q45" i="9"/>
  <c r="V26" i="9"/>
  <c r="Q28" i="9"/>
  <c r="V30" i="9"/>
  <c r="Q32" i="9"/>
  <c r="V12" i="9"/>
  <c r="Q14" i="9"/>
  <c r="V9" i="9"/>
  <c r="Q11" i="9"/>
  <c r="Q10" i="9"/>
  <c r="V8" i="9"/>
  <c r="H15" i="9"/>
  <c r="H14" i="9"/>
  <c r="H8" i="9"/>
  <c r="H9" i="9"/>
  <c r="H7" i="9"/>
  <c r="H5" i="9"/>
  <c r="H18" i="9"/>
  <c r="H12" i="9"/>
  <c r="H28" i="9"/>
  <c r="H4" i="9"/>
  <c r="H3" i="9"/>
  <c r="H16" i="9"/>
  <c r="H6" i="9"/>
  <c r="H21" i="9"/>
  <c r="H11" i="9"/>
  <c r="H30" i="9"/>
  <c r="H35" i="9"/>
  <c r="H19" i="9"/>
  <c r="H22" i="9"/>
  <c r="H23" i="9"/>
  <c r="H13" i="9"/>
  <c r="H10" i="9"/>
  <c r="H25" i="9"/>
  <c r="H17" i="9"/>
  <c r="H42" i="9"/>
  <c r="H29" i="9"/>
  <c r="H26" i="9"/>
  <c r="H20" i="9"/>
  <c r="H37" i="9"/>
  <c r="H24" i="9"/>
  <c r="H36" i="9"/>
  <c r="H49" i="9"/>
  <c r="H32" i="9"/>
  <c r="H27" i="9"/>
  <c r="H33" i="9"/>
  <c r="H44" i="9"/>
  <c r="H51" i="9"/>
  <c r="H39" i="9"/>
  <c r="H34" i="9"/>
  <c r="H31" i="9"/>
  <c r="H43" i="9"/>
  <c r="H56" i="9"/>
  <c r="H40" i="9"/>
  <c r="H50" i="9"/>
  <c r="H46" i="9"/>
  <c r="H63" i="9"/>
  <c r="H38" i="9"/>
  <c r="H41" i="9"/>
  <c r="H47" i="9"/>
  <c r="H58" i="9"/>
  <c r="H45" i="9"/>
  <c r="H70" i="9"/>
  <c r="H65" i="9"/>
  <c r="H48" i="9"/>
  <c r="H54" i="9"/>
  <c r="H53" i="9"/>
  <c r="H57" i="9"/>
  <c r="H52" i="9"/>
  <c r="H55" i="9"/>
  <c r="H77" i="9"/>
  <c r="H72" i="9"/>
  <c r="H61" i="9"/>
  <c r="H64" i="9"/>
  <c r="H60" i="9"/>
  <c r="H62" i="9"/>
  <c r="H59" i="9"/>
  <c r="H71" i="9"/>
  <c r="H79" i="9"/>
  <c r="H67" i="9"/>
  <c r="H68" i="9"/>
  <c r="H69" i="9"/>
  <c r="H75" i="9"/>
  <c r="H74" i="9"/>
  <c r="H66" i="9"/>
  <c r="H78" i="9"/>
  <c r="H81" i="9"/>
  <c r="H76" i="9"/>
  <c r="H73" i="9"/>
  <c r="V48" i="9"/>
  <c r="Q50" i="9"/>
  <c r="V55" i="9"/>
  <c r="Q57" i="9"/>
  <c r="Q36" i="9"/>
  <c r="V34" i="9"/>
  <c r="V62" i="9"/>
  <c r="Q64" i="9"/>
  <c r="Q59" i="9"/>
  <c r="V57" i="9"/>
  <c r="V31" i="9"/>
  <c r="Q33" i="9"/>
  <c r="V25" i="9"/>
  <c r="Q27" i="9"/>
  <c r="V22" i="9"/>
  <c r="Q24" i="9"/>
  <c r="V66" i="9"/>
  <c r="Q68" i="9"/>
  <c r="Q34" i="9"/>
  <c r="V32" i="9"/>
  <c r="V36" i="9"/>
  <c r="Q38" i="9"/>
  <c r="V19" i="9"/>
  <c r="Q21" i="9"/>
  <c r="Q7" i="9"/>
  <c r="V5" i="9"/>
  <c r="V67" i="9"/>
  <c r="Q69" i="9"/>
  <c r="V60" i="9"/>
  <c r="Q62" i="9"/>
  <c r="V24" i="9"/>
  <c r="Q26" i="9"/>
  <c r="V61" i="9"/>
  <c r="Q63" i="9"/>
  <c r="V52" i="9"/>
  <c r="Q54" i="9"/>
  <c r="Q48" i="9"/>
  <c r="V46" i="9"/>
  <c r="V40" i="9"/>
  <c r="Q42" i="9"/>
  <c r="V39" i="9"/>
  <c r="Q41" i="9"/>
  <c r="Q35" i="9"/>
  <c r="V33" i="9"/>
  <c r="Q6" i="9"/>
  <c r="V4" i="9"/>
  <c r="H80" i="9"/>
  <c r="X48" i="9" l="1"/>
  <c r="X62" i="9"/>
  <c r="X60" i="9"/>
  <c r="X65" i="9"/>
  <c r="X45" i="9"/>
  <c r="X53" i="9"/>
  <c r="X38" i="9"/>
  <c r="X46" i="9"/>
  <c r="X41" i="9"/>
  <c r="X40" i="9"/>
  <c r="X31" i="9"/>
  <c r="X56" i="9"/>
  <c r="X32" i="9"/>
  <c r="X36" i="9"/>
  <c r="X44" i="9"/>
  <c r="X37" i="9"/>
  <c r="X26" i="9"/>
  <c r="X42" i="9"/>
  <c r="X16" i="9"/>
  <c r="X22" i="9"/>
  <c r="X28" i="9"/>
  <c r="X10" i="9"/>
  <c r="X19" i="9"/>
  <c r="X13" i="9"/>
  <c r="X5" i="9"/>
  <c r="X4" i="9"/>
  <c r="X8" i="9"/>
  <c r="X11" i="9"/>
  <c r="X7" i="9"/>
  <c r="X35" i="9"/>
  <c r="X14" i="9"/>
  <c r="X12" i="9"/>
  <c r="X6" i="9"/>
  <c r="X3" i="9"/>
  <c r="K12" i="9" s="1"/>
  <c r="X9" i="9"/>
  <c r="X66" i="9"/>
  <c r="X61" i="9"/>
  <c r="X64" i="9"/>
  <c r="X54" i="9"/>
  <c r="X57" i="9"/>
  <c r="X50" i="9"/>
  <c r="X63" i="9"/>
  <c r="X51" i="9"/>
  <c r="X43" i="9"/>
  <c r="X34" i="9"/>
  <c r="X49" i="9"/>
  <c r="X33" i="9"/>
  <c r="X20" i="9"/>
  <c r="X29" i="9"/>
  <c r="X18" i="9"/>
  <c r="X23" i="9"/>
  <c r="X21" i="9"/>
  <c r="X59" i="9"/>
  <c r="X55" i="9"/>
  <c r="X52" i="9"/>
  <c r="X47" i="9"/>
  <c r="X58" i="9"/>
  <c r="X39" i="9"/>
  <c r="X24" i="9"/>
  <c r="X27" i="9"/>
  <c r="X25" i="9"/>
  <c r="X17" i="9"/>
  <c r="X15" i="9"/>
  <c r="X30" i="9"/>
  <c r="X67" i="9"/>
  <c r="E96" i="15"/>
  <c r="E97" i="15"/>
  <c r="E95" i="15"/>
  <c r="H95" i="15"/>
  <c r="H96" i="15" s="1"/>
  <c r="H97" i="15" s="1"/>
  <c r="F99" i="15"/>
  <c r="G104" i="15" s="1"/>
  <c r="F93" i="15"/>
  <c r="G98" i="15" s="1"/>
  <c r="H79" i="14"/>
  <c r="S21" i="9"/>
  <c r="S11" i="9"/>
  <c r="S6" i="9"/>
  <c r="S8" i="9"/>
  <c r="S12" i="9"/>
  <c r="S3" i="9"/>
  <c r="S5" i="9"/>
  <c r="S9" i="9"/>
  <c r="S35" i="9"/>
  <c r="S14" i="9"/>
  <c r="S4" i="9"/>
  <c r="S7" i="9"/>
  <c r="S23" i="9"/>
  <c r="S10" i="9"/>
  <c r="S18" i="9"/>
  <c r="S19" i="9"/>
  <c r="S15" i="9"/>
  <c r="S13" i="9"/>
  <c r="S30" i="9"/>
  <c r="S22" i="9"/>
  <c r="S28" i="9"/>
  <c r="S16" i="9"/>
  <c r="S29" i="9"/>
  <c r="S25" i="9"/>
  <c r="S17" i="9"/>
  <c r="S26" i="9"/>
  <c r="S20" i="9"/>
  <c r="S37" i="9"/>
  <c r="S42" i="9"/>
  <c r="S27" i="9"/>
  <c r="S33" i="9"/>
  <c r="S36" i="9"/>
  <c r="S49" i="9"/>
  <c r="S32" i="9"/>
  <c r="S24" i="9"/>
  <c r="S44" i="9"/>
  <c r="S34" i="9"/>
  <c r="S40" i="9"/>
  <c r="S43" i="9"/>
  <c r="S51" i="9"/>
  <c r="S56" i="9"/>
  <c r="S39" i="9"/>
  <c r="S31" i="9"/>
  <c r="S38" i="9"/>
  <c r="S41" i="9"/>
  <c r="S58" i="9"/>
  <c r="S46" i="9"/>
  <c r="S63" i="9"/>
  <c r="S50" i="9"/>
  <c r="S47" i="9"/>
  <c r="S54" i="9"/>
  <c r="S48" i="9"/>
  <c r="S53" i="9"/>
  <c r="S45" i="9"/>
  <c r="S57" i="9"/>
  <c r="S65" i="9"/>
  <c r="S52" i="9"/>
  <c r="S61" i="9"/>
  <c r="S55" i="9"/>
  <c r="S60" i="9"/>
  <c r="S64" i="9"/>
  <c r="S62" i="9"/>
  <c r="S68" i="9"/>
  <c r="S67" i="9"/>
  <c r="S59" i="9"/>
  <c r="S66" i="9"/>
  <c r="S69" i="9"/>
  <c r="L2" i="9"/>
  <c r="L3" i="9" s="1"/>
  <c r="L8" i="9"/>
  <c r="L9" i="9" s="1"/>
  <c r="K2" i="9"/>
  <c r="K8" i="9" l="1"/>
  <c r="K10" i="9" s="1"/>
  <c r="E98" i="15"/>
  <c r="F96" i="15"/>
  <c r="G101" i="15" s="1"/>
  <c r="F97" i="15"/>
  <c r="G102" i="15" s="1"/>
  <c r="F95" i="15"/>
  <c r="G100" i="15" s="1"/>
  <c r="H98" i="15"/>
  <c r="H99" i="15" s="1"/>
  <c r="F79" i="14"/>
  <c r="G84" i="14" s="1"/>
  <c r="E84" i="14" s="1"/>
  <c r="F88" i="14"/>
  <c r="G93" i="14" s="1"/>
  <c r="E93" i="14" s="1"/>
  <c r="F87" i="14"/>
  <c r="G92" i="14" s="1"/>
  <c r="E92" i="14" s="1"/>
  <c r="K13" i="9"/>
  <c r="K5" i="9"/>
  <c r="F98" i="15" l="1"/>
  <c r="G103" i="15" s="1"/>
  <c r="H84" i="14"/>
  <c r="H85" i="14" s="1"/>
  <c r="H86" i="14" s="1"/>
  <c r="H87" i="14" s="1"/>
  <c r="H88" i="14" s="1"/>
  <c r="Q4" i="2"/>
  <c r="Q5" i="2"/>
  <c r="R4" i="2" s="1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3" i="2"/>
  <c r="O4" i="2"/>
  <c r="O5" i="2"/>
  <c r="O6" i="2"/>
  <c r="O7" i="2"/>
  <c r="O8" i="2"/>
  <c r="O9" i="2"/>
  <c r="O10" i="2"/>
  <c r="O11" i="2"/>
  <c r="P11" i="2" s="1"/>
  <c r="O12" i="2"/>
  <c r="P12" i="2" s="1"/>
  <c r="O13" i="2"/>
  <c r="P13" i="2" s="1"/>
  <c r="O14" i="2"/>
  <c r="O15" i="2"/>
  <c r="O16" i="2"/>
  <c r="O17" i="2"/>
  <c r="O18" i="2"/>
  <c r="O19" i="2"/>
  <c r="O20" i="2"/>
  <c r="O21" i="2"/>
  <c r="P21" i="2" s="1"/>
  <c r="O22" i="2"/>
  <c r="O23" i="2"/>
  <c r="O24" i="2"/>
  <c r="P24" i="2" s="1"/>
  <c r="O25" i="2"/>
  <c r="P25" i="2" s="1"/>
  <c r="O26" i="2"/>
  <c r="O27" i="2"/>
  <c r="O28" i="2"/>
  <c r="O29" i="2"/>
  <c r="O30" i="2"/>
  <c r="O31" i="2"/>
  <c r="O32" i="2"/>
  <c r="O33" i="2"/>
  <c r="P33" i="2" s="1"/>
  <c r="O34" i="2"/>
  <c r="O35" i="2"/>
  <c r="O36" i="2"/>
  <c r="P36" i="2" s="1"/>
  <c r="O37" i="2"/>
  <c r="P37" i="2" s="1"/>
  <c r="O38" i="2"/>
  <c r="O39" i="2"/>
  <c r="O40" i="2"/>
  <c r="O41" i="2"/>
  <c r="O42" i="2"/>
  <c r="O43" i="2"/>
  <c r="O44" i="2"/>
  <c r="O45" i="2"/>
  <c r="P45" i="2" s="1"/>
  <c r="O46" i="2"/>
  <c r="O47" i="2"/>
  <c r="O48" i="2"/>
  <c r="O49" i="2"/>
  <c r="P49" i="2" s="1"/>
  <c r="O50" i="2"/>
  <c r="O51" i="2"/>
  <c r="O52" i="2"/>
  <c r="O53" i="2"/>
  <c r="O54" i="2"/>
  <c r="O55" i="2"/>
  <c r="O56" i="2"/>
  <c r="O57" i="2"/>
  <c r="P57" i="2" s="1"/>
  <c r="O58" i="2"/>
  <c r="O59" i="2"/>
  <c r="O60" i="2"/>
  <c r="O61" i="2"/>
  <c r="O62" i="2"/>
  <c r="O63" i="2"/>
  <c r="O64" i="2"/>
  <c r="O65" i="2"/>
  <c r="O66" i="2"/>
  <c r="O67" i="2"/>
  <c r="O68" i="2"/>
  <c r="O69" i="2"/>
  <c r="P69" i="2" s="1"/>
  <c r="O70" i="2"/>
  <c r="O71" i="2"/>
  <c r="O72" i="2"/>
  <c r="P72" i="2" s="1"/>
  <c r="O73" i="2"/>
  <c r="P73" i="2" s="1"/>
  <c r="O74" i="2"/>
  <c r="O75" i="2"/>
  <c r="O76" i="2"/>
  <c r="O77" i="2"/>
  <c r="O78" i="2"/>
  <c r="O79" i="2"/>
  <c r="O80" i="2"/>
  <c r="O81" i="2"/>
  <c r="O3" i="2"/>
  <c r="P3" i="2" s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3" i="2"/>
  <c r="P4" i="2"/>
  <c r="P5" i="2"/>
  <c r="P6" i="2"/>
  <c r="P7" i="2"/>
  <c r="P8" i="2"/>
  <c r="P9" i="2"/>
  <c r="P10" i="2"/>
  <c r="P16" i="2"/>
  <c r="P17" i="2"/>
  <c r="P18" i="2"/>
  <c r="P19" i="2"/>
  <c r="P20" i="2"/>
  <c r="P22" i="2"/>
  <c r="P23" i="2"/>
  <c r="P28" i="2"/>
  <c r="P29" i="2"/>
  <c r="P30" i="2"/>
  <c r="P31" i="2"/>
  <c r="P32" i="2"/>
  <c r="P34" i="2"/>
  <c r="P35" i="2"/>
  <c r="P40" i="2"/>
  <c r="P41" i="2"/>
  <c r="P42" i="2"/>
  <c r="P43" i="2"/>
  <c r="P44" i="2"/>
  <c r="P46" i="2"/>
  <c r="P47" i="2"/>
  <c r="P48" i="2"/>
  <c r="P52" i="2"/>
  <c r="P53" i="2"/>
  <c r="P54" i="2"/>
  <c r="P55" i="2"/>
  <c r="P56" i="2"/>
  <c r="P58" i="2"/>
  <c r="P59" i="2"/>
  <c r="P60" i="2"/>
  <c r="P61" i="2"/>
  <c r="P64" i="2"/>
  <c r="P65" i="2"/>
  <c r="P66" i="2"/>
  <c r="P67" i="2"/>
  <c r="P68" i="2"/>
  <c r="P70" i="2"/>
  <c r="P71" i="2"/>
  <c r="P76" i="2"/>
  <c r="P77" i="2"/>
  <c r="P78" i="2"/>
  <c r="P79" i="2"/>
  <c r="P80" i="2"/>
  <c r="M82" i="2"/>
  <c r="P81" i="2" s="1"/>
  <c r="C82" i="2"/>
  <c r="G81" i="2" s="1"/>
  <c r="D79" i="2"/>
  <c r="D76" i="2"/>
  <c r="D73" i="2"/>
  <c r="D70" i="2"/>
  <c r="D67" i="2"/>
  <c r="D64" i="2"/>
  <c r="D61" i="2"/>
  <c r="D58" i="2"/>
  <c r="D55" i="2"/>
  <c r="D52" i="2"/>
  <c r="D49" i="2"/>
  <c r="D46" i="2"/>
  <c r="D43" i="2"/>
  <c r="D40" i="2"/>
  <c r="D37" i="2"/>
  <c r="D34" i="2"/>
  <c r="D31" i="2"/>
  <c r="D28" i="2"/>
  <c r="D25" i="2"/>
  <c r="D22" i="2"/>
  <c r="D19" i="2"/>
  <c r="D16" i="2"/>
  <c r="D13" i="2"/>
  <c r="D10" i="2"/>
  <c r="D7" i="2"/>
  <c r="F84" i="14" l="1"/>
  <c r="G89" i="14" s="1"/>
  <c r="E89" i="14" s="1"/>
  <c r="P75" i="2"/>
  <c r="P63" i="2"/>
  <c r="P51" i="2"/>
  <c r="P39" i="2"/>
  <c r="P27" i="2"/>
  <c r="P15" i="2"/>
  <c r="P74" i="2"/>
  <c r="P50" i="2"/>
  <c r="P26" i="2"/>
  <c r="P62" i="2"/>
  <c r="P38" i="2"/>
  <c r="P14" i="2"/>
  <c r="R3" i="2" s="1"/>
  <c r="R6" i="2" s="1"/>
  <c r="F13" i="2"/>
  <c r="F37" i="2"/>
  <c r="F7" i="2"/>
  <c r="F43" i="2"/>
  <c r="F79" i="2"/>
  <c r="F10" i="2"/>
  <c r="G4" i="2"/>
  <c r="E7" i="2"/>
  <c r="E10" i="2"/>
  <c r="E13" i="2"/>
  <c r="E16" i="2"/>
  <c r="F16" i="2" s="1"/>
  <c r="E19" i="2"/>
  <c r="F19" i="2" s="1"/>
  <c r="E22" i="2"/>
  <c r="F22" i="2" s="1"/>
  <c r="E25" i="2"/>
  <c r="F25" i="2" s="1"/>
  <c r="E28" i="2"/>
  <c r="F28" i="2" s="1"/>
  <c r="E31" i="2"/>
  <c r="F31" i="2" s="1"/>
  <c r="E34" i="2"/>
  <c r="F34" i="2" s="1"/>
  <c r="E37" i="2"/>
  <c r="E40" i="2"/>
  <c r="F40" i="2" s="1"/>
  <c r="E43" i="2"/>
  <c r="E46" i="2"/>
  <c r="F46" i="2" s="1"/>
  <c r="E49" i="2"/>
  <c r="F49" i="2" s="1"/>
  <c r="E52" i="2"/>
  <c r="F52" i="2" s="1"/>
  <c r="E55" i="2"/>
  <c r="F55" i="2" s="1"/>
  <c r="E58" i="2"/>
  <c r="F58" i="2" s="1"/>
  <c r="E61" i="2"/>
  <c r="F61" i="2" s="1"/>
  <c r="E64" i="2"/>
  <c r="F64" i="2" s="1"/>
  <c r="E67" i="2"/>
  <c r="F67" i="2" s="1"/>
  <c r="E70" i="2"/>
  <c r="F70" i="2" s="1"/>
  <c r="E73" i="2"/>
  <c r="F73" i="2" s="1"/>
  <c r="E76" i="2"/>
  <c r="F76" i="2" s="1"/>
  <c r="E79" i="2"/>
  <c r="D5" i="2"/>
  <c r="G7" i="2"/>
  <c r="G10" i="2"/>
  <c r="G13" i="2"/>
  <c r="G16" i="2"/>
  <c r="G19" i="2"/>
  <c r="G22" i="2"/>
  <c r="G25" i="2"/>
  <c r="G28" i="2"/>
  <c r="G31" i="2"/>
  <c r="G34" i="2"/>
  <c r="G37" i="2"/>
  <c r="G40" i="2"/>
  <c r="G43" i="2"/>
  <c r="G46" i="2"/>
  <c r="G49" i="2"/>
  <c r="G52" i="2"/>
  <c r="G55" i="2"/>
  <c r="G58" i="2"/>
  <c r="G61" i="2"/>
  <c r="G64" i="2"/>
  <c r="G67" i="2"/>
  <c r="G70" i="2"/>
  <c r="G73" i="2"/>
  <c r="G76" i="2"/>
  <c r="G79" i="2"/>
  <c r="E5" i="2"/>
  <c r="D8" i="2"/>
  <c r="D11" i="2"/>
  <c r="D14" i="2"/>
  <c r="F14" i="2" s="1"/>
  <c r="D17" i="2"/>
  <c r="D20" i="2"/>
  <c r="F20" i="2" s="1"/>
  <c r="D23" i="2"/>
  <c r="F23" i="2" s="1"/>
  <c r="D26" i="2"/>
  <c r="D29" i="2"/>
  <c r="D32" i="2"/>
  <c r="F32" i="2" s="1"/>
  <c r="D35" i="2"/>
  <c r="D38" i="2"/>
  <c r="D41" i="2"/>
  <c r="D44" i="2"/>
  <c r="D47" i="2"/>
  <c r="D50" i="2"/>
  <c r="F50" i="2" s="1"/>
  <c r="D53" i="2"/>
  <c r="D56" i="2"/>
  <c r="F56" i="2" s="1"/>
  <c r="D59" i="2"/>
  <c r="F59" i="2" s="1"/>
  <c r="D62" i="2"/>
  <c r="D65" i="2"/>
  <c r="D68" i="2"/>
  <c r="F68" i="2" s="1"/>
  <c r="D71" i="2"/>
  <c r="D74" i="2"/>
  <c r="D77" i="2"/>
  <c r="D80" i="2"/>
  <c r="D3" i="2"/>
  <c r="F3" i="2" s="1"/>
  <c r="E8" i="2"/>
  <c r="E11" i="2"/>
  <c r="E14" i="2"/>
  <c r="E17" i="2"/>
  <c r="E20" i="2"/>
  <c r="E23" i="2"/>
  <c r="E26" i="2"/>
  <c r="E29" i="2"/>
  <c r="E32" i="2"/>
  <c r="E35" i="2"/>
  <c r="E38" i="2"/>
  <c r="E41" i="2"/>
  <c r="E44" i="2"/>
  <c r="E47" i="2"/>
  <c r="E50" i="2"/>
  <c r="E53" i="2"/>
  <c r="E56" i="2"/>
  <c r="E59" i="2"/>
  <c r="E62" i="2"/>
  <c r="E65" i="2"/>
  <c r="E68" i="2"/>
  <c r="E71" i="2"/>
  <c r="E74" i="2"/>
  <c r="E77" i="2"/>
  <c r="E80" i="2"/>
  <c r="E3" i="2"/>
  <c r="G5" i="2"/>
  <c r="D6" i="2"/>
  <c r="F6" i="2" s="1"/>
  <c r="G8" i="2"/>
  <c r="G11" i="2"/>
  <c r="G14" i="2"/>
  <c r="G17" i="2"/>
  <c r="G20" i="2"/>
  <c r="G23" i="2"/>
  <c r="G26" i="2"/>
  <c r="G29" i="2"/>
  <c r="G32" i="2"/>
  <c r="G35" i="2"/>
  <c r="G38" i="2"/>
  <c r="G41" i="2"/>
  <c r="G44" i="2"/>
  <c r="G47" i="2"/>
  <c r="G50" i="2"/>
  <c r="G53" i="2"/>
  <c r="G56" i="2"/>
  <c r="G59" i="2"/>
  <c r="G62" i="2"/>
  <c r="G65" i="2"/>
  <c r="G68" i="2"/>
  <c r="G71" i="2"/>
  <c r="G74" i="2"/>
  <c r="G77" i="2"/>
  <c r="G80" i="2"/>
  <c r="G3" i="2"/>
  <c r="E6" i="2"/>
  <c r="D9" i="2"/>
  <c r="D12" i="2"/>
  <c r="D15" i="2"/>
  <c r="D18" i="2"/>
  <c r="F18" i="2" s="1"/>
  <c r="D21" i="2"/>
  <c r="D24" i="2"/>
  <c r="F24" i="2" s="1"/>
  <c r="D27" i="2"/>
  <c r="D30" i="2"/>
  <c r="D33" i="2"/>
  <c r="F33" i="2" s="1"/>
  <c r="D36" i="2"/>
  <c r="D39" i="2"/>
  <c r="D42" i="2"/>
  <c r="D45" i="2"/>
  <c r="D48" i="2"/>
  <c r="D51" i="2"/>
  <c r="D54" i="2"/>
  <c r="F54" i="2" s="1"/>
  <c r="D57" i="2"/>
  <c r="D60" i="2"/>
  <c r="F60" i="2" s="1"/>
  <c r="D63" i="2"/>
  <c r="D66" i="2"/>
  <c r="D69" i="2"/>
  <c r="F69" i="2" s="1"/>
  <c r="D72" i="2"/>
  <c r="D75" i="2"/>
  <c r="D78" i="2"/>
  <c r="D81" i="2"/>
  <c r="F81" i="2" s="1"/>
  <c r="E9" i="2"/>
  <c r="E12" i="2"/>
  <c r="E15" i="2"/>
  <c r="E18" i="2"/>
  <c r="E21" i="2"/>
  <c r="E24" i="2"/>
  <c r="E27" i="2"/>
  <c r="E30" i="2"/>
  <c r="E33" i="2"/>
  <c r="E36" i="2"/>
  <c r="E39" i="2"/>
  <c r="E42" i="2"/>
  <c r="E45" i="2"/>
  <c r="E48" i="2"/>
  <c r="E51" i="2"/>
  <c r="E54" i="2"/>
  <c r="E57" i="2"/>
  <c r="E60" i="2"/>
  <c r="E63" i="2"/>
  <c r="E66" i="2"/>
  <c r="E69" i="2"/>
  <c r="E72" i="2"/>
  <c r="E75" i="2"/>
  <c r="E78" i="2"/>
  <c r="E81" i="2"/>
  <c r="D4" i="2"/>
  <c r="G6" i="2"/>
  <c r="E4" i="2"/>
  <c r="G9" i="2"/>
  <c r="G12" i="2"/>
  <c r="G15" i="2"/>
  <c r="G18" i="2"/>
  <c r="G21" i="2"/>
  <c r="G24" i="2"/>
  <c r="G27" i="2"/>
  <c r="G30" i="2"/>
  <c r="G33" i="2"/>
  <c r="G36" i="2"/>
  <c r="G39" i="2"/>
  <c r="G42" i="2"/>
  <c r="G45" i="2"/>
  <c r="G48" i="2"/>
  <c r="G51" i="2"/>
  <c r="G54" i="2"/>
  <c r="G57" i="2"/>
  <c r="G60" i="2"/>
  <c r="G63" i="2"/>
  <c r="G66" i="2"/>
  <c r="G69" i="2"/>
  <c r="G72" i="2"/>
  <c r="G75" i="2"/>
  <c r="G78" i="2"/>
  <c r="F90" i="14" l="1"/>
  <c r="G95" i="14" s="1"/>
  <c r="E95" i="14" s="1"/>
  <c r="H89" i="14"/>
  <c r="H90" i="14" s="1"/>
  <c r="H91" i="14" s="1"/>
  <c r="H92" i="14" s="1"/>
  <c r="H93" i="14" s="1"/>
  <c r="F66" i="2"/>
  <c r="F30" i="2"/>
  <c r="F63" i="2"/>
  <c r="F27" i="2"/>
  <c r="F53" i="2"/>
  <c r="F17" i="2"/>
  <c r="F57" i="2"/>
  <c r="F21" i="2"/>
  <c r="F47" i="2"/>
  <c r="F11" i="2"/>
  <c r="H3" i="2" s="1"/>
  <c r="H6" i="2" s="1"/>
  <c r="F80" i="2"/>
  <c r="F44" i="2"/>
  <c r="F8" i="2"/>
  <c r="F4" i="2"/>
  <c r="F51" i="2"/>
  <c r="F15" i="2"/>
  <c r="F77" i="2"/>
  <c r="F41" i="2"/>
  <c r="F48" i="2"/>
  <c r="F12" i="2"/>
  <c r="F74" i="2"/>
  <c r="F38" i="2"/>
  <c r="F45" i="2"/>
  <c r="F9" i="2"/>
  <c r="F71" i="2"/>
  <c r="F35" i="2"/>
  <c r="F5" i="2"/>
  <c r="F78" i="2"/>
  <c r="F42" i="2"/>
  <c r="F75" i="2"/>
  <c r="F39" i="2"/>
  <c r="H4" i="2"/>
  <c r="F65" i="2"/>
  <c r="F29" i="2"/>
  <c r="F72" i="2"/>
  <c r="F36" i="2"/>
  <c r="F62" i="2"/>
  <c r="F26" i="2"/>
  <c r="F91" i="14" l="1"/>
  <c r="G96" i="14" s="1"/>
  <c r="E96" i="14" s="1"/>
  <c r="F89" i="14"/>
  <c r="G94" i="14" s="1"/>
  <c r="E94" i="14" s="1"/>
  <c r="F92" i="14" l="1"/>
  <c r="G97" i="14" s="1"/>
  <c r="E97" i="14" s="1"/>
  <c r="H94" i="14"/>
  <c r="H95" i="14" s="1"/>
  <c r="H96" i="14" s="1"/>
  <c r="F93" i="14" l="1"/>
  <c r="G98" i="14" s="1"/>
  <c r="E98" i="14" s="1"/>
  <c r="H97" i="14"/>
  <c r="F94" i="14"/>
  <c r="G99" i="14" s="1"/>
  <c r="E99" i="14" s="1"/>
  <c r="H98" i="14" l="1"/>
  <c r="F95" i="14"/>
  <c r="G100" i="14" s="1"/>
  <c r="E100" i="14" s="1"/>
  <c r="H99" i="14" l="1"/>
  <c r="F96" i="14"/>
  <c r="G101" i="14" s="1"/>
  <c r="E101" i="14" s="1"/>
  <c r="F97" i="14" l="1"/>
  <c r="G102" i="14" s="1"/>
  <c r="E102" i="14" s="1"/>
  <c r="D82" i="10"/>
  <c r="G82" i="10"/>
  <c r="F98" i="14" l="1"/>
  <c r="G103" i="14" s="1"/>
  <c r="E103" i="14" s="1"/>
  <c r="F99" i="14"/>
  <c r="G104" i="14" s="1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6" i="10"/>
  <c r="R28" i="10"/>
  <c r="R29" i="10"/>
  <c r="R30" i="10"/>
  <c r="R32" i="10"/>
  <c r="R33" i="10"/>
  <c r="R37" i="10"/>
  <c r="R56" i="10"/>
  <c r="R36" i="10"/>
  <c r="R45" i="10"/>
  <c r="R44" i="10"/>
  <c r="R53" i="10"/>
  <c r="R35" i="10"/>
  <c r="R38" i="10"/>
  <c r="R51" i="10"/>
  <c r="R47" i="10"/>
  <c r="R31" i="10"/>
  <c r="R43" i="10"/>
  <c r="R46" i="10"/>
  <c r="R27" i="10"/>
  <c r="R25" i="10"/>
  <c r="R42" i="10"/>
  <c r="R3" i="10"/>
  <c r="R39" i="10"/>
  <c r="R48" i="10"/>
  <c r="R49" i="10"/>
  <c r="R50" i="10"/>
  <c r="R41" i="10"/>
  <c r="R55" i="10"/>
  <c r="R40" i="10"/>
  <c r="R54" i="10"/>
  <c r="R34" i="10"/>
  <c r="R52" i="10"/>
  <c r="P3" i="10"/>
  <c r="P43" i="10"/>
  <c r="P47" i="10"/>
  <c r="P50" i="10"/>
  <c r="P54" i="10"/>
  <c r="P49" i="10"/>
  <c r="P41" i="10"/>
  <c r="P4" i="10"/>
  <c r="P6" i="10"/>
  <c r="P8" i="10"/>
  <c r="P9" i="10"/>
  <c r="P10" i="10"/>
  <c r="P12" i="10"/>
  <c r="P13" i="10"/>
  <c r="P14" i="10"/>
  <c r="P16" i="10"/>
  <c r="P18" i="10"/>
  <c r="P19" i="10"/>
  <c r="P21" i="10"/>
  <c r="P22" i="10"/>
  <c r="P23" i="10"/>
  <c r="P25" i="10"/>
  <c r="P26" i="10"/>
  <c r="P27" i="10"/>
  <c r="P29" i="10"/>
  <c r="P32" i="10"/>
  <c r="P34" i="10"/>
  <c r="P35" i="10"/>
  <c r="P37" i="10"/>
  <c r="P42" i="10"/>
  <c r="P44" i="10"/>
  <c r="P52" i="10"/>
  <c r="P51" i="10"/>
  <c r="P5" i="10"/>
  <c r="P7" i="10"/>
  <c r="P11" i="10"/>
  <c r="P15" i="10"/>
  <c r="P17" i="10"/>
  <c r="P20" i="10"/>
  <c r="P24" i="10"/>
  <c r="P28" i="10"/>
  <c r="P30" i="10"/>
  <c r="P33" i="10"/>
  <c r="P36" i="10"/>
  <c r="P40" i="10"/>
  <c r="P46" i="10"/>
  <c r="P39" i="10"/>
  <c r="P55" i="10"/>
  <c r="P38" i="10"/>
  <c r="P45" i="10"/>
  <c r="P48" i="10"/>
  <c r="P53" i="10"/>
  <c r="P56" i="10"/>
  <c r="P31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I3" i="10"/>
  <c r="I4" i="10"/>
  <c r="I6" i="10"/>
  <c r="I5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H81" i="10"/>
  <c r="J7" i="10" l="1"/>
  <c r="E104" i="14"/>
  <c r="E105" i="14" s="1"/>
  <c r="E106" i="14" s="1"/>
  <c r="E107" i="14" s="1"/>
  <c r="E108" i="14" s="1"/>
  <c r="E109" i="14" s="1"/>
  <c r="L2" i="10"/>
  <c r="L3" i="10" s="1"/>
  <c r="L7" i="10" s="1"/>
  <c r="K2" i="10"/>
  <c r="K3" i="10" s="1"/>
  <c r="K7" i="10" s="1"/>
  <c r="J2" i="10"/>
  <c r="J8" i="10" l="1"/>
  <c r="J5" i="10"/>
</calcChain>
</file>

<file path=xl/sharedStrings.xml><?xml version="1.0" encoding="utf-8"?>
<sst xmlns="http://schemas.openxmlformats.org/spreadsheetml/2006/main" count="373" uniqueCount="160">
  <si>
    <t>D1 M2</t>
  </si>
  <si>
    <t>D1 SP</t>
  </si>
  <si>
    <t>D1 EMAS</t>
  </si>
  <si>
    <t>M2SL</t>
  </si>
  <si>
    <t>xₜ - x̄</t>
  </si>
  <si>
    <t>xₜ₊₁ - x̄</t>
  </si>
  <si>
    <t>(xt​−xˉ)(xt+1​−xˉ)</t>
  </si>
  <si>
    <t>(xt​−xˉ)2</t>
  </si>
  <si>
    <t>TOTAL</t>
  </si>
  <si>
    <t>ρ^1</t>
  </si>
  <si>
    <t>Indeks S&amp;P 500</t>
  </si>
  <si>
    <t>D1 SP500</t>
  </si>
  <si>
    <t>SP 500</t>
  </si>
  <si>
    <t>D1SP</t>
  </si>
  <si>
    <t>Date</t>
  </si>
  <si>
    <t>at</t>
  </si>
  <si>
    <t>EMAS_1</t>
  </si>
  <si>
    <t>bt</t>
  </si>
  <si>
    <t>αt​−αˉ</t>
  </si>
  <si>
    <t>βt−βˉ</t>
  </si>
  <si>
    <t>∑t=1n−k​(αt​−αˉ)(βt+k​−βˉ​)</t>
  </si>
  <si>
    <t>∑(αt​−αˉ)2</t>
  </si>
  <si>
    <t>∑(βt−βˉ)2</t>
  </si>
  <si>
    <t>ρ^​αβ​(k)</t>
  </si>
  <si>
    <t>(25,0,2)(12,0,0)</t>
  </si>
  <si>
    <t>(3,0,1)(12,0,0)</t>
  </si>
  <si>
    <t>(3,0,1)(0,0,0)</t>
  </si>
  <si>
    <t>(25,0,2)(0,0,0)</t>
  </si>
  <si>
    <t>Aktual</t>
  </si>
  <si>
    <t>yt-yt'</t>
  </si>
  <si>
    <t>(yt-yt')/yt</t>
  </si>
  <si>
    <t>Forecasting (3,0,1)(0,0,0) ([6],0,0))</t>
  </si>
  <si>
    <t>Forecasting (3,0,1)(0,0,0) (0,0,[6]))</t>
  </si>
  <si>
    <t>Forecasting (25,0,2)(12,0,0) (0,0,[5]))</t>
  </si>
  <si>
    <t>Forecasting (25,0,2)(12,0,0) ([6],0,[5]))</t>
  </si>
  <si>
    <t>Forecasting (3,0,1)(12,0,0) ([6],0,0))</t>
  </si>
  <si>
    <t>Forecasting (3,0,1)(12,0,0) (0,0,[6]))</t>
  </si>
  <si>
    <t>EMAS</t>
  </si>
  <si>
    <t>alpa</t>
  </si>
  <si>
    <t>beta</t>
  </si>
  <si>
    <t>βt+12−βˉ</t>
  </si>
  <si>
    <t>βt+14−βˉ</t>
  </si>
  <si>
    <t>lag 12</t>
  </si>
  <si>
    <t>lag ke 14</t>
  </si>
  <si>
    <t>average</t>
  </si>
  <si>
    <t>βt+25−βˉ</t>
  </si>
  <si>
    <t>X2</t>
  </si>
  <si>
    <t>SP</t>
  </si>
  <si>
    <t>T2SP</t>
  </si>
  <si>
    <t>M2</t>
  </si>
  <si>
    <t>asli</t>
  </si>
  <si>
    <t>trans</t>
  </si>
  <si>
    <t>Nilai</t>
  </si>
  <si>
    <t>a</t>
  </si>
  <si>
    <t>T1 EMAS FIX</t>
  </si>
  <si>
    <t>ln</t>
  </si>
  <si>
    <t>AIC</t>
  </si>
  <si>
    <t>Jumlah</t>
  </si>
  <si>
    <t>varians</t>
  </si>
  <si>
    <t>Residual^2</t>
  </si>
  <si>
    <t>Residual (3,0,1) (0,0,0) (0,0,[6])</t>
  </si>
  <si>
    <t>X</t>
  </si>
  <si>
    <t>T1</t>
  </si>
  <si>
    <t>β  =  Σ (X*₂,t × a₂,t₋₇)  /  Σ (a₂,t₋₇)²     untuk t = 8 s/d n</t>
  </si>
  <si>
    <t>t</t>
  </si>
  <si>
    <t>X*₂,t
(Data Asli)</t>
  </si>
  <si>
    <t>a₂,t
(Residual)</t>
  </si>
  <si>
    <t>a₂,t₋₇
(Lag-7)</t>
  </si>
  <si>
    <t>X*₂,t × a₂,t₋₇
(Numerator)</t>
  </si>
  <si>
    <t>(a₂,t₋₇)²
(Denominator)</t>
  </si>
  <si>
    <t>-</t>
  </si>
  <si>
    <t>JUMLAH Σ (t=8 s/d n)</t>
  </si>
  <si>
    <t>N data digunakan: 72 observasi (t=8 s/d 79)</t>
  </si>
  <si>
    <t>β  (D1SP)  =</t>
  </si>
  <si>
    <t>β = -Σ(X*₂,t × a₂,t₋₇)  /  Σ(a₂,t₋₇)²</t>
  </si>
  <si>
    <t>X*₁,ₜ  (D1)</t>
  </si>
  <si>
    <t>X*₁,ₜ₋₁</t>
  </si>
  <si>
    <t>X*₁,ₜ₋₂</t>
  </si>
  <si>
    <t>(X*₁,ₜ₋₁)²</t>
  </si>
  <si>
    <t>(X*₁,ₜ₋₂)²</t>
  </si>
  <si>
    <t>X*₁,ₜ · X*₁,ₜ₋₁</t>
  </si>
  <si>
    <t>X*₁,ₜ · X*₁,ₜ₋₂</t>
  </si>
  <si>
    <t>X*₁,ₜ₋₁ · X*₁,ₜ₋₂</t>
  </si>
  <si>
    <t>Σ (t = 4 s/d n)</t>
  </si>
  <si>
    <t>HASIL PERHITUNGAN KOEFISIEN AR(2)</t>
  </si>
  <si>
    <t>Penyebut (Denominator) = Σ(X*t-1)² · Σ(X*t-2)² − [Σ(X*t-1·X*t-2)]²</t>
  </si>
  <si>
    <t>φ̂₁  =  [Σ(X*t·X*t-1)·Σ(X*t-2)² − Σ(X*t·X*t-2)·Σ(X*t-1·X*t-2)] / Denominator</t>
  </si>
  <si>
    <t>φ̂₂  =  [Σ(X*t-1)²·Σ(X*t·X*t-2) − Σ(X*t·X*t-1)·Σ(X*t-1·X*t-2)] / Denominator</t>
  </si>
  <si>
    <t>a₂,t-7
(Lag-7)</t>
  </si>
  <si>
    <t>X*₂,t × a₂,t-7</t>
  </si>
  <si>
    <t>(a₂,t-7)²</t>
  </si>
  <si>
    <t>← S_X</t>
  </si>
  <si>
    <t>← S_a</t>
  </si>
  <si>
    <t>← S_Xa</t>
  </si>
  <si>
    <t>← S_aa</t>
  </si>
  <si>
    <t>n' (=n-7)</t>
  </si>
  <si>
    <t>D = n'·S_aa − S_a²</t>
  </si>
  <si>
    <t>μ̂  =</t>
  </si>
  <si>
    <t>μ̂ = (S_aa·S_X − S_a·S_Xa) / D</t>
  </si>
  <si>
    <t>θ̂1 (D1SP) =</t>
  </si>
  <si>
    <t>θ̂1 = (S_a·S_X − n'·S_Xa) / D</t>
  </si>
  <si>
    <t>X*t</t>
  </si>
  <si>
    <t>X*t-1</t>
  </si>
  <si>
    <t>X*t-2</t>
  </si>
  <si>
    <t>X*t·X*t-1</t>
  </si>
  <si>
    <t>X*t·X*t-2</t>
  </si>
  <si>
    <t>X*t-1·X*t-2</t>
  </si>
  <si>
    <t>(X*t-1)^2</t>
  </si>
  <si>
    <t>(X*t-2)^2</t>
  </si>
  <si>
    <t>SUM</t>
  </si>
  <si>
    <t>n (t=4..n)</t>
  </si>
  <si>
    <t>|A|</t>
  </si>
  <si>
    <t>|Aμ|</t>
  </si>
  <si>
    <t>|Aφ1|</t>
  </si>
  <si>
    <t>|Aφ2|</t>
  </si>
  <si>
    <t>μ̂  = |Aμ| / |A|</t>
  </si>
  <si>
    <t>φ̂1 = |Aφ1| / |A|</t>
  </si>
  <si>
    <t>φ̂2 = |Aφ2| / |A|</t>
  </si>
  <si>
    <t>CONS</t>
  </si>
  <si>
    <t>UJI NORMALITAS KOLMOGOROV-SMIRNOV</t>
  </si>
  <si>
    <t>N (Jumlah Data)</t>
  </si>
  <si>
    <t>Rata-rata (μ)</t>
  </si>
  <si>
    <t>Std. Deviasi (σ)</t>
  </si>
  <si>
    <t>No</t>
  </si>
  <si>
    <t>X(i) Terurut</t>
  </si>
  <si>
    <t>Z = (Xi-μ)/σ</t>
  </si>
  <si>
    <t>F(Z) = NORM.S.DIST</t>
  </si>
  <si>
    <t>Fn(x) = i/n</t>
  </si>
  <si>
    <t>Fn(x) = (i-1)/n</t>
  </si>
  <si>
    <t>|i/n − F(Z)|</t>
  </si>
  <si>
    <t>|(i-1)/n − F(Z)|</t>
  </si>
  <si>
    <t>D = MAX</t>
  </si>
  <si>
    <t>RINGKASAN HASIL UJI</t>
  </si>
  <si>
    <t>D Hitung  (nilai maks kolom D)</t>
  </si>
  <si>
    <t>D Tabel α = 0,05  (1,36 / √n)</t>
  </si>
  <si>
    <t>D Tabel α = 0,01  (1,628 / √n)</t>
  </si>
  <si>
    <t>Keputusan α = 0,05</t>
  </si>
  <si>
    <t>Keputusan α = 0,01</t>
  </si>
  <si>
    <t>F(Z) = NORMSDIST</t>
  </si>
  <si>
    <t>PERHITUNGAN KOEFISIEN D1SP (β) LAG 7</t>
  </si>
  <si>
    <t xml:space="preserve">PERHITUNGAN KOEFISIEN AR(2)  φ̂₁ DAN φ̂₂ </t>
  </si>
  <si>
    <t>Obs</t>
  </si>
  <si>
    <t>Residual (eₜ)</t>
  </si>
  <si>
    <t>eₜ²</t>
  </si>
  <si>
    <t>n (jumlah observasi)</t>
  </si>
  <si>
    <t>k (jumlah parameter)</t>
  </si>
  <si>
    <t>SSE = Σ eₜ²</t>
  </si>
  <si>
    <t>σ̂² = SSE / n</t>
  </si>
  <si>
    <t>ln(σ̂²) = LN(σ̂²)</t>
  </si>
  <si>
    <t>ln(2π) = LN(2×PI())</t>
  </si>
  <si>
    <t>n · ln(σ̂²)</t>
  </si>
  <si>
    <t>n · ln(2π)</t>
  </si>
  <si>
    <t>2k</t>
  </si>
  <si>
    <t>AIC = n·ln(σ̂²) + n·ln(2π) + n + 2k</t>
  </si>
  <si>
    <t>Periode</t>
  </si>
  <si>
    <t>M2 (Billions of Dollars)</t>
  </si>
  <si>
    <t>Indeks S&amp;P 500 (Points)</t>
  </si>
  <si>
    <t>Harga Emas Global (USD/troy ounce)</t>
  </si>
  <si>
    <t>IN SAMPLE</t>
  </si>
  <si>
    <t>OUT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</si>
</sst>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0.0"/>
    <numFmt numFmtId="166" formatCode="0.00000E+00"/>
    <numFmt numFmtId="167" formatCode="#,##0.000000"/>
    <numFmt numFmtId="168" formatCode="#,##0.0000"/>
    <numFmt numFmtId="169" formatCode="0.0000"/>
    <numFmt numFmtId="170" formatCode="#,##0.000"/>
    <numFmt numFmtId="171" formatCode="0.0000000"/>
  </numFmts>
  <fonts count="3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3"/>
      <color rgb="FFFFFFFF"/>
      <name val="Arial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7F7F7F"/>
      <name val="Arial"/>
      <charset val="1"/>
    </font>
    <font>
      <b/>
      <sz val="11"/>
      <color rgb="FF1F4E79"/>
      <name val="Arial"/>
      <charset val="1"/>
    </font>
    <font>
      <b/>
      <sz val="10"/>
      <color rgb="FF1F4E79"/>
      <name val="Arial"/>
      <charset val="1"/>
    </font>
    <font>
      <i/>
      <sz val="9"/>
      <color rgb="FF595959"/>
      <name val="Arial"/>
      <charset val="1"/>
    </font>
    <font>
      <b/>
      <sz val="14"/>
      <color rgb="FF375623"/>
      <name val="Arial"/>
      <charset val="1"/>
    </font>
    <font>
      <b/>
      <sz val="11"/>
      <color rgb="FF375623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b/>
      <sz val="13"/>
      <color rgb="FFC00000"/>
      <name val="Arial"/>
      <charset val="1"/>
    </font>
    <font>
      <b/>
      <sz val="11"/>
      <color rgb="FFFFFFFF"/>
      <name val="Calibri"/>
    </font>
    <font>
      <b/>
      <sz val="11"/>
      <name val="Calibri"/>
    </font>
    <font>
      <i/>
      <sz val="9"/>
      <color rgb="FF555555"/>
      <name val="Calibri"/>
    </font>
    <font>
      <b/>
      <sz val="11"/>
      <color rgb="FFC00000"/>
      <name val="Arial"/>
      <charset val="1"/>
    </font>
    <font>
      <b/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C0392B"/>
      <name val="Arial"/>
      <charset val="1"/>
    </font>
  </fonts>
  <fills count="4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DEEAF1"/>
        <bgColor rgb="FFEBF3FA"/>
      </patternFill>
    </fill>
    <fill>
      <patternFill patternType="solid">
        <fgColor rgb="FFEBF3FA"/>
        <bgColor rgb="FFDEEAF1"/>
      </patternFill>
    </fill>
    <fill>
      <patternFill patternType="solid">
        <fgColor rgb="FFFFF2CC"/>
        <bgColor rgb="FFEBF3FA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rgb="FFE2EFDA"/>
      </patternFill>
    </fill>
    <fill>
      <patternFill patternType="solid">
        <fgColor theme="7" tint="-0.249977111117893"/>
        <bgColor rgb="FF003366"/>
      </patternFill>
    </fill>
    <fill>
      <patternFill patternType="solid">
        <fgColor theme="7" tint="-0.499984740745262"/>
        <bgColor rgb="FF0066CC"/>
      </patternFill>
    </fill>
    <fill>
      <patternFill patternType="solid">
        <fgColor theme="7" tint="-0.499984740745262"/>
        <bgColor rgb="FF595959"/>
      </patternFill>
    </fill>
    <fill>
      <patternFill patternType="solid">
        <fgColor theme="7" tint="0.79998168889431442"/>
        <bgColor rgb="FFDEEAF1"/>
      </patternFill>
    </fill>
    <fill>
      <patternFill patternType="solid">
        <fgColor theme="7"/>
        <bgColor rgb="FFE2EFDA"/>
      </patternFill>
    </fill>
    <fill>
      <patternFill patternType="solid">
        <fgColor theme="7" tint="-0.499984740745262"/>
        <bgColor rgb="FF003366"/>
      </patternFill>
    </fill>
    <fill>
      <patternFill patternType="solid">
        <fgColor theme="7"/>
        <bgColor rgb="FF0066CC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rgb="FF0066CC"/>
      </patternFill>
    </fill>
    <fill>
      <patternFill patternType="solid">
        <fgColor theme="7"/>
        <bgColor rgb="FFEBF3FA"/>
      </patternFill>
    </fill>
    <fill>
      <patternFill patternType="solid">
        <fgColor theme="7"/>
        <bgColor rgb="FFDEEAF1"/>
      </patternFill>
    </fill>
    <fill>
      <patternFill patternType="solid">
        <fgColor theme="7" tint="0.79998168889431442"/>
        <bgColor rgb="FFEBF3FA"/>
      </patternFill>
    </fill>
    <fill>
      <patternFill patternType="solid">
        <fgColor rgb="FFD6E4F0"/>
        <bgColor rgb="FFCCFFFF"/>
      </patternFill>
    </fill>
    <fill>
      <patternFill patternType="solid">
        <fgColor rgb="FFFDEBD0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auto="1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2" fillId="0" borderId="0"/>
  </cellStyleXfs>
  <cellXfs count="16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164" fontId="0" fillId="0" borderId="3" xfId="0" applyNumberFormat="1" applyBorder="1"/>
    <xf numFmtId="165" fontId="0" fillId="0" borderId="3" xfId="0" applyNumberFormat="1" applyBorder="1"/>
    <xf numFmtId="164" fontId="0" fillId="0" borderId="4" xfId="0" applyNumberFormat="1" applyBorder="1"/>
    <xf numFmtId="165" fontId="0" fillId="0" borderId="4" xfId="0" applyNumberFormat="1" applyBorder="1"/>
    <xf numFmtId="164" fontId="0" fillId="0" borderId="0" xfId="0" applyNumberFormat="1"/>
    <xf numFmtId="165" fontId="0" fillId="0" borderId="0" xfId="0" applyNumberFormat="1"/>
    <xf numFmtId="165" fontId="2" fillId="0" borderId="0" xfId="1" applyNumberFormat="1"/>
    <xf numFmtId="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0" fillId="5" borderId="1" xfId="0" applyFill="1" applyBorder="1"/>
    <xf numFmtId="0" fontId="4" fillId="5" borderId="1" xfId="0" applyFont="1" applyFill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0" xfId="0" applyFont="1" applyAlignment="1">
      <alignment vertical="center"/>
    </xf>
    <xf numFmtId="165" fontId="2" fillId="0" borderId="1" xfId="1" applyNumberFormat="1" applyBorder="1"/>
    <xf numFmtId="4" fontId="0" fillId="0" borderId="1" xfId="0" applyNumberFormat="1" applyBorder="1"/>
    <xf numFmtId="166" fontId="1" fillId="0" borderId="0" xfId="0" applyNumberFormat="1" applyFont="1"/>
    <xf numFmtId="165" fontId="1" fillId="0" borderId="0" xfId="0" applyNumberFormat="1" applyFont="1"/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right" wrapText="1"/>
    </xf>
    <xf numFmtId="0" fontId="0" fillId="6" borderId="0" xfId="0" applyFill="1"/>
    <xf numFmtId="0" fontId="0" fillId="4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0" fillId="4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4" fontId="0" fillId="3" borderId="1" xfId="0" applyNumberFormat="1" applyFill="1" applyBorder="1"/>
    <xf numFmtId="165" fontId="2" fillId="3" borderId="1" xfId="1" applyNumberFormat="1" applyFill="1" applyBorder="1"/>
    <xf numFmtId="0" fontId="4" fillId="7" borderId="1" xfId="0" applyFont="1" applyFill="1" applyBorder="1" applyAlignment="1">
      <alignment wrapText="1"/>
    </xf>
    <xf numFmtId="0" fontId="0" fillId="7" borderId="1" xfId="0" applyFill="1" applyBorder="1"/>
    <xf numFmtId="0" fontId="1" fillId="7" borderId="1" xfId="0" applyFont="1" applyFill="1" applyBorder="1"/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64" fontId="0" fillId="8" borderId="1" xfId="0" applyNumberFormat="1" applyFill="1" applyBorder="1"/>
    <xf numFmtId="165" fontId="0" fillId="8" borderId="1" xfId="0" applyNumberFormat="1" applyFill="1" applyBorder="1"/>
    <xf numFmtId="0" fontId="1" fillId="8" borderId="1" xfId="0" applyFont="1" applyFill="1" applyBorder="1"/>
    <xf numFmtId="0" fontId="0" fillId="8" borderId="1" xfId="0" applyFill="1" applyBorder="1"/>
    <xf numFmtId="0" fontId="1" fillId="2" borderId="1" xfId="0" applyFont="1" applyFill="1" applyBorder="1"/>
    <xf numFmtId="0" fontId="1" fillId="9" borderId="1" xfId="0" applyFont="1" applyFill="1" applyBorder="1"/>
    <xf numFmtId="0" fontId="0" fillId="9" borderId="1" xfId="0" applyFill="1" applyBorder="1"/>
    <xf numFmtId="164" fontId="0" fillId="6" borderId="0" xfId="0" applyNumberFormat="1" applyFill="1"/>
    <xf numFmtId="165" fontId="0" fillId="6" borderId="0" xfId="0" applyNumberFormat="1" applyFill="1"/>
    <xf numFmtId="165" fontId="2" fillId="6" borderId="0" xfId="1" applyNumberFormat="1" applyFill="1"/>
    <xf numFmtId="164" fontId="0" fillId="9" borderId="1" xfId="0" applyNumberFormat="1" applyFill="1" applyBorder="1"/>
    <xf numFmtId="0" fontId="0" fillId="10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164" fontId="0" fillId="11" borderId="1" xfId="0" applyNumberFormat="1" applyFill="1" applyBorder="1"/>
    <xf numFmtId="0" fontId="0" fillId="11" borderId="1" xfId="0" applyFill="1" applyBorder="1"/>
    <xf numFmtId="0" fontId="1" fillId="11" borderId="1" xfId="0" applyFont="1" applyFill="1" applyBorder="1"/>
    <xf numFmtId="165" fontId="0" fillId="11" borderId="1" xfId="0" applyNumberFormat="1" applyFill="1" applyBorder="1"/>
    <xf numFmtId="0" fontId="0" fillId="12" borderId="1" xfId="0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/>
    <xf numFmtId="0" fontId="0" fillId="13" borderId="1" xfId="0" applyFill="1" applyBorder="1"/>
    <xf numFmtId="0" fontId="1" fillId="10" borderId="1" xfId="0" applyFont="1" applyFill="1" applyBorder="1"/>
    <xf numFmtId="0" fontId="0" fillId="10" borderId="1" xfId="0" applyFill="1" applyBorder="1"/>
    <xf numFmtId="0" fontId="3" fillId="10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right" vertical="center"/>
    </xf>
    <xf numFmtId="168" fontId="21" fillId="15" borderId="1" xfId="0" applyNumberFormat="1" applyFont="1" applyFill="1" applyBorder="1" applyAlignment="1">
      <alignment horizontal="right" vertical="center"/>
    </xf>
    <xf numFmtId="0" fontId="0" fillId="15" borderId="1" xfId="0" applyFill="1" applyBorder="1"/>
    <xf numFmtId="169" fontId="22" fillId="0" borderId="1" xfId="0" applyNumberFormat="1" applyFont="1" applyBorder="1" applyAlignment="1">
      <alignment horizontal="right" vertical="center"/>
    </xf>
    <xf numFmtId="0" fontId="23" fillId="16" borderId="9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4" fontId="0" fillId="0" borderId="9" xfId="0" applyNumberFormat="1" applyBorder="1" applyAlignment="1">
      <alignment horizontal="center"/>
    </xf>
    <xf numFmtId="0" fontId="24" fillId="0" borderId="0" xfId="0" applyFont="1"/>
    <xf numFmtId="4" fontId="24" fillId="0" borderId="0" xfId="0" applyNumberFormat="1" applyFont="1"/>
    <xf numFmtId="168" fontId="24" fillId="17" borderId="0" xfId="0" applyNumberFormat="1" applyFont="1" applyFill="1"/>
    <xf numFmtId="0" fontId="23" fillId="16" borderId="9" xfId="0" applyFont="1" applyFill="1" applyBorder="1" applyAlignment="1">
      <alignment horizontal="center"/>
    </xf>
    <xf numFmtId="0" fontId="24" fillId="18" borderId="9" xfId="0" applyFont="1" applyFill="1" applyBorder="1"/>
    <xf numFmtId="4" fontId="24" fillId="18" borderId="9" xfId="0" applyNumberFormat="1" applyFont="1" applyFill="1" applyBorder="1"/>
    <xf numFmtId="0" fontId="24" fillId="0" borderId="9" xfId="0" applyFont="1" applyBorder="1"/>
    <xf numFmtId="168" fontId="24" fillId="17" borderId="9" xfId="0" applyNumberFormat="1" applyFont="1" applyFill="1" applyBorder="1"/>
    <xf numFmtId="0" fontId="0" fillId="8" borderId="10" xfId="0" applyFill="1" applyBorder="1" applyAlignment="1">
      <alignment horizontal="center"/>
    </xf>
    <xf numFmtId="0" fontId="0" fillId="3" borderId="2" xfId="0" applyFill="1" applyBorder="1"/>
    <xf numFmtId="168" fontId="26" fillId="21" borderId="12" xfId="0" applyNumberFormat="1" applyFont="1" applyFill="1" applyBorder="1" applyAlignment="1">
      <alignment horizontal="center" vertical="center"/>
    </xf>
    <xf numFmtId="168" fontId="27" fillId="20" borderId="12" xfId="0" applyNumberFormat="1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0" fillId="0" borderId="2" xfId="0" applyBorder="1"/>
    <xf numFmtId="0" fontId="3" fillId="22" borderId="1" xfId="0" applyFont="1" applyFill="1" applyBorder="1" applyAlignment="1">
      <alignment horizontal="center"/>
    </xf>
    <xf numFmtId="0" fontId="8" fillId="2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4" fontId="12" fillId="15" borderId="1" xfId="0" applyNumberFormat="1" applyFont="1" applyFill="1" applyBorder="1" applyAlignment="1">
      <alignment horizontal="center" vertical="center"/>
    </xf>
    <xf numFmtId="0" fontId="17" fillId="30" borderId="1" xfId="0" applyFont="1" applyFill="1" applyBorder="1" applyAlignment="1">
      <alignment horizontal="center" vertical="center"/>
    </xf>
    <xf numFmtId="4" fontId="19" fillId="31" borderId="1" xfId="0" applyNumberFormat="1" applyFont="1" applyFill="1" applyBorder="1" applyAlignment="1">
      <alignment horizontal="right" vertical="center"/>
    </xf>
    <xf numFmtId="3" fontId="18" fillId="32" borderId="12" xfId="0" applyNumberFormat="1" applyFont="1" applyFill="1" applyBorder="1" applyAlignment="1">
      <alignment horizontal="center" vertical="center"/>
    </xf>
    <xf numFmtId="170" fontId="9" fillId="32" borderId="12" xfId="0" applyNumberFormat="1" applyFont="1" applyFill="1" applyBorder="1" applyAlignment="1">
      <alignment horizontal="center" vertical="center"/>
    </xf>
    <xf numFmtId="168" fontId="9" fillId="32" borderId="12" xfId="0" applyNumberFormat="1" applyFont="1" applyFill="1" applyBorder="1" applyAlignment="1">
      <alignment horizontal="center" vertical="center"/>
    </xf>
    <xf numFmtId="3" fontId="18" fillId="27" borderId="12" xfId="0" applyNumberFormat="1" applyFont="1" applyFill="1" applyBorder="1" applyAlignment="1">
      <alignment horizontal="center" vertical="center"/>
    </xf>
    <xf numFmtId="170" fontId="9" fillId="27" borderId="12" xfId="0" applyNumberFormat="1" applyFont="1" applyFill="1" applyBorder="1" applyAlignment="1">
      <alignment horizontal="center" vertical="center"/>
    </xf>
    <xf numFmtId="168" fontId="9" fillId="27" borderId="12" xfId="0" applyNumberFormat="1" applyFont="1" applyFill="1" applyBorder="1" applyAlignment="1">
      <alignment horizontal="center" vertical="center"/>
    </xf>
    <xf numFmtId="0" fontId="17" fillId="33" borderId="12" xfId="0" applyFont="1" applyFill="1" applyBorder="1" applyAlignment="1">
      <alignment horizontal="center" vertical="center"/>
    </xf>
    <xf numFmtId="0" fontId="17" fillId="25" borderId="12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right" vertical="center"/>
    </xf>
    <xf numFmtId="169" fontId="10" fillId="0" borderId="1" xfId="0" applyNumberFormat="1" applyFont="1" applyBorder="1" applyAlignment="1">
      <alignment horizontal="right" vertical="center"/>
    </xf>
    <xf numFmtId="168" fontId="9" fillId="0" borderId="1" xfId="0" applyNumberFormat="1" applyFont="1" applyBorder="1" applyAlignment="1">
      <alignment horizontal="right" vertical="center"/>
    </xf>
    <xf numFmtId="1" fontId="10" fillId="37" borderId="1" xfId="0" applyNumberFormat="1" applyFont="1" applyFill="1" applyBorder="1" applyAlignment="1">
      <alignment horizontal="right" vertical="center"/>
    </xf>
    <xf numFmtId="168" fontId="9" fillId="37" borderId="1" xfId="0" applyNumberFormat="1" applyFont="1" applyFill="1" applyBorder="1" applyAlignment="1">
      <alignment horizontal="right" vertical="center"/>
    </xf>
    <xf numFmtId="169" fontId="9" fillId="37" borderId="1" xfId="0" applyNumberFormat="1" applyFont="1" applyFill="1" applyBorder="1" applyAlignment="1">
      <alignment horizontal="right" vertical="center"/>
    </xf>
    <xf numFmtId="171" fontId="9" fillId="37" borderId="1" xfId="0" applyNumberFormat="1" applyFont="1" applyFill="1" applyBorder="1" applyAlignment="1">
      <alignment horizontal="right" vertical="center"/>
    </xf>
    <xf numFmtId="1" fontId="9" fillId="37" borderId="1" xfId="0" applyNumberFormat="1" applyFont="1" applyFill="1" applyBorder="1" applyAlignment="1">
      <alignment horizontal="right" vertical="center"/>
    </xf>
    <xf numFmtId="169" fontId="29" fillId="38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0" xfId="0" applyFont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/>
    </xf>
    <xf numFmtId="167" fontId="15" fillId="27" borderId="1" xfId="0" applyNumberFormat="1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left" vertical="center"/>
    </xf>
    <xf numFmtId="0" fontId="6" fillId="24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13" fillId="2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6" fillId="29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20" fillId="24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left" vertical="center"/>
    </xf>
    <xf numFmtId="0" fontId="25" fillId="0" borderId="0" xfId="0" applyFont="1"/>
    <xf numFmtId="0" fontId="0" fillId="0" borderId="0" xfId="0"/>
    <xf numFmtId="0" fontId="19" fillId="19" borderId="11" xfId="0" applyFont="1" applyFill="1" applyBorder="1" applyAlignment="1">
      <alignment horizontal="left" vertical="center"/>
    </xf>
    <xf numFmtId="0" fontId="6" fillId="29" borderId="0" xfId="0" applyFont="1" applyFill="1" applyAlignment="1">
      <alignment horizontal="center" vertical="center"/>
    </xf>
    <xf numFmtId="0" fontId="19" fillId="34" borderId="11" xfId="0" applyFont="1" applyFill="1" applyBorder="1" applyAlignment="1">
      <alignment horizontal="left" vertical="center"/>
    </xf>
    <xf numFmtId="170" fontId="9" fillId="35" borderId="11" xfId="0" applyNumberFormat="1" applyFont="1" applyFill="1" applyBorder="1" applyAlignment="1">
      <alignment horizontal="center" vertical="center"/>
    </xf>
    <xf numFmtId="0" fontId="17" fillId="29" borderId="0" xfId="0" applyFont="1" applyFill="1" applyAlignment="1">
      <alignment horizontal="center" vertical="center"/>
    </xf>
    <xf numFmtId="0" fontId="19" fillId="36" borderId="11" xfId="0" applyFont="1" applyFill="1" applyBorder="1" applyAlignment="1">
      <alignment horizontal="left" vertical="center"/>
    </xf>
    <xf numFmtId="170" fontId="9" fillId="27" borderId="11" xfId="0" applyNumberFormat="1" applyFont="1" applyFill="1" applyBorder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170" fontId="9" fillId="20" borderId="11" xfId="0" applyNumberFormat="1" applyFont="1" applyFill="1" applyBorder="1" applyAlignment="1">
      <alignment horizontal="center" vertical="center"/>
    </xf>
    <xf numFmtId="0" fontId="28" fillId="37" borderId="1" xfId="0" applyFont="1" applyFill="1" applyBorder="1" applyAlignment="1">
      <alignment horizontal="left" vertical="center"/>
    </xf>
    <xf numFmtId="0" fontId="28" fillId="38" borderId="1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Normal" xfId="0" builtinId="0"/>
    <cellStyle name="Normal 2" xfId="1" xr:uid="{01256514-3DFA-49FA-AE6D-F0851B2345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'acf pacf'!$Z$2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'acf pacf'!$Z$3:$Z$82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0-45AF-9743-D6C653B49113}"/>
            </c:ext>
          </c:extLst>
        </c:ser>
        <c:ser>
          <c:idx val="1"/>
          <c:order val="1"/>
          <c:tx>
            <c:strRef>
              <c:f>'acf pacf'!$AA$2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'acf pacf'!$AA$3:$AA$82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0-45AF-9743-D6C653B49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53599"/>
        <c:axId val="211055039"/>
      </c:lineChart>
      <c:catAx>
        <c:axId val="211053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055039"/>
        <c:crosses val="autoZero"/>
        <c:auto val="1"/>
        <c:lblAlgn val="ctr"/>
        <c:lblOffset val="100"/>
        <c:noMultiLvlLbl val="0"/>
      </c:catAx>
      <c:valAx>
        <c:axId val="21105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05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FORECAST!$C$1</c:f>
              <c:strCache>
                <c:ptCount val="1"/>
                <c:pt idx="0">
                  <c:v>Aktual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FORECAST!$B$2:$B$19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FORECAST!$C$2:$C$19</c:f>
              <c:numCache>
                <c:formatCode>General</c:formatCode>
                <c:ptCount val="18"/>
                <c:pt idx="0">
                  <c:v>2634.49</c:v>
                </c:pt>
                <c:pt idx="1">
                  <c:v>2743.8</c:v>
                </c:pt>
                <c:pt idx="2">
                  <c:v>2653.55</c:v>
                </c:pt>
                <c:pt idx="3">
                  <c:v>2623.81</c:v>
                </c:pt>
                <c:pt idx="4">
                  <c:v>2801.18</c:v>
                </c:pt>
                <c:pt idx="5">
                  <c:v>2858.77</c:v>
                </c:pt>
                <c:pt idx="6">
                  <c:v>3123.35</c:v>
                </c:pt>
                <c:pt idx="7">
                  <c:v>3288.59</c:v>
                </c:pt>
                <c:pt idx="8">
                  <c:v>3289.4</c:v>
                </c:pt>
                <c:pt idx="9">
                  <c:v>3303.69</c:v>
                </c:pt>
                <c:pt idx="10">
                  <c:v>3290.32</c:v>
                </c:pt>
                <c:pt idx="11">
                  <c:v>3448</c:v>
                </c:pt>
                <c:pt idx="12">
                  <c:v>3858.51</c:v>
                </c:pt>
                <c:pt idx="13">
                  <c:v>4002.28</c:v>
                </c:pt>
                <c:pt idx="14">
                  <c:v>4230.63</c:v>
                </c:pt>
                <c:pt idx="15">
                  <c:v>4315.09</c:v>
                </c:pt>
                <c:pt idx="16">
                  <c:v>4865.3500000000004</c:v>
                </c:pt>
                <c:pt idx="17">
                  <c:v>5277.9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5-4A35-9F62-41F22C70748F}"/>
            </c:ext>
          </c:extLst>
        </c:ser>
        <c:ser>
          <c:idx val="1"/>
          <c:order val="1"/>
          <c:tx>
            <c:strRef>
              <c:f>FORECAST!$D$1</c:f>
              <c:strCache>
                <c:ptCount val="1"/>
                <c:pt idx="0">
                  <c:v>Forecasting (3,0,1)(0,0,0) ([6],0,0))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FORECAST!$B$2:$B$19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FORECAST!$D$2:$D$19</c:f>
              <c:numCache>
                <c:formatCode>General</c:formatCode>
                <c:ptCount val="18"/>
                <c:pt idx="0">
                  <c:v>2488.7465000000002</c:v>
                </c:pt>
                <c:pt idx="1">
                  <c:v>2473.0288999999998</c:v>
                </c:pt>
                <c:pt idx="2">
                  <c:v>2476.1307999999999</c:v>
                </c:pt>
                <c:pt idx="3">
                  <c:v>2496.9738000000002</c:v>
                </c:pt>
                <c:pt idx="4">
                  <c:v>2525.0475000000001</c:v>
                </c:pt>
                <c:pt idx="5">
                  <c:v>2505.6217000000001</c:v>
                </c:pt>
                <c:pt idx="6">
                  <c:v>2514.6178</c:v>
                </c:pt>
                <c:pt idx="7">
                  <c:v>2543.3548999999998</c:v>
                </c:pt>
                <c:pt idx="8">
                  <c:v>2562.0362</c:v>
                </c:pt>
                <c:pt idx="9">
                  <c:v>2578.3087999999998</c:v>
                </c:pt>
                <c:pt idx="10">
                  <c:v>2592.4684999999999</c:v>
                </c:pt>
                <c:pt idx="11">
                  <c:v>2616.8153000000002</c:v>
                </c:pt>
                <c:pt idx="12">
                  <c:v>2633.9517999999998</c:v>
                </c:pt>
                <c:pt idx="13">
                  <c:v>2645.8537000000001</c:v>
                </c:pt>
                <c:pt idx="14">
                  <c:v>2660.4344999999998</c:v>
                </c:pt>
                <c:pt idx="15">
                  <c:v>2675.6044000000002</c:v>
                </c:pt>
                <c:pt idx="16">
                  <c:v>2691.4618999999998</c:v>
                </c:pt>
                <c:pt idx="17">
                  <c:v>2704.4391000000001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5-4A35-9F62-41F22C707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2796799"/>
        <c:axId val="1872803039"/>
      </c:lineChart>
      <c:dateAx>
        <c:axId val="1872796799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72803039"/>
        <c:crosses val="autoZero"/>
        <c:auto val="1"/>
        <c:lblOffset val="100"/>
        <c:baseTimeUnit val="days"/>
      </c:dateAx>
      <c:valAx>
        <c:axId val="187280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7279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FORECAST!$P$1</c:f>
              <c:strCache>
                <c:ptCount val="1"/>
                <c:pt idx="0">
                  <c:v>Aktual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FORECAST!$O$2:$O$19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FORECAST!$P$2:$P$19</c:f>
              <c:numCache>
                <c:formatCode>General</c:formatCode>
                <c:ptCount val="18"/>
                <c:pt idx="0">
                  <c:v>2634.49</c:v>
                </c:pt>
                <c:pt idx="1">
                  <c:v>2743.8</c:v>
                </c:pt>
                <c:pt idx="2">
                  <c:v>2653.55</c:v>
                </c:pt>
                <c:pt idx="3">
                  <c:v>2623.81</c:v>
                </c:pt>
                <c:pt idx="4">
                  <c:v>2801.18</c:v>
                </c:pt>
                <c:pt idx="5">
                  <c:v>2858.77</c:v>
                </c:pt>
                <c:pt idx="6">
                  <c:v>3123.35</c:v>
                </c:pt>
                <c:pt idx="7">
                  <c:v>3288.59</c:v>
                </c:pt>
                <c:pt idx="8">
                  <c:v>3289.4</c:v>
                </c:pt>
                <c:pt idx="9">
                  <c:v>3303.69</c:v>
                </c:pt>
                <c:pt idx="10">
                  <c:v>3290.32</c:v>
                </c:pt>
                <c:pt idx="11">
                  <c:v>3448</c:v>
                </c:pt>
                <c:pt idx="12">
                  <c:v>3858.51</c:v>
                </c:pt>
                <c:pt idx="13">
                  <c:v>4002.28</c:v>
                </c:pt>
                <c:pt idx="14">
                  <c:v>4230.63</c:v>
                </c:pt>
                <c:pt idx="15">
                  <c:v>4315.09</c:v>
                </c:pt>
                <c:pt idx="16">
                  <c:v>4865.3500000000004</c:v>
                </c:pt>
                <c:pt idx="17">
                  <c:v>5277.9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C-4D99-B5AF-997C59A85A20}"/>
            </c:ext>
          </c:extLst>
        </c:ser>
        <c:ser>
          <c:idx val="1"/>
          <c:order val="1"/>
          <c:tx>
            <c:strRef>
              <c:f>FORECAST!$Q$1</c:f>
              <c:strCache>
                <c:ptCount val="1"/>
                <c:pt idx="0">
                  <c:v>Forecasting (3,0,1)(0,0,0) (0,0,[6]))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FORECAST!$O$2:$O$19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FORECAST!$Q$2:$Q$19</c:f>
              <c:numCache>
                <c:formatCode>General</c:formatCode>
                <c:ptCount val="18"/>
                <c:pt idx="0">
                  <c:v>2473.7982999999999</c:v>
                </c:pt>
                <c:pt idx="1">
                  <c:v>2465.8746999999998</c:v>
                </c:pt>
                <c:pt idx="2">
                  <c:v>2484.7159999999999</c:v>
                </c:pt>
                <c:pt idx="3">
                  <c:v>2513.9301999999998</c:v>
                </c:pt>
                <c:pt idx="4">
                  <c:v>2495.7525999999998</c:v>
                </c:pt>
                <c:pt idx="5">
                  <c:v>2509.7602000000002</c:v>
                </c:pt>
                <c:pt idx="6">
                  <c:v>2525.8391000000001</c:v>
                </c:pt>
                <c:pt idx="7">
                  <c:v>2541.0025000000001</c:v>
                </c:pt>
                <c:pt idx="8">
                  <c:v>2556.0133000000001</c:v>
                </c:pt>
                <c:pt idx="9">
                  <c:v>2571.2615999999998</c:v>
                </c:pt>
                <c:pt idx="10">
                  <c:v>2586.4229</c:v>
                </c:pt>
                <c:pt idx="11">
                  <c:v>2601.6988999999999</c:v>
                </c:pt>
                <c:pt idx="12">
                  <c:v>2616.9167000000002</c:v>
                </c:pt>
                <c:pt idx="13">
                  <c:v>2632.1959000000002</c:v>
                </c:pt>
                <c:pt idx="14">
                  <c:v>2647.4378999999999</c:v>
                </c:pt>
                <c:pt idx="15">
                  <c:v>2662.7141000000001</c:v>
                </c:pt>
                <c:pt idx="16">
                  <c:v>2677.9672999999998</c:v>
                </c:pt>
                <c:pt idx="17">
                  <c:v>2693.2401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8C-4D99-B5AF-997C59A85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167599"/>
        <c:axId val="1937169519"/>
      </c:lineChart>
      <c:dateAx>
        <c:axId val="1937167599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37169519"/>
        <c:crosses val="autoZero"/>
        <c:auto val="1"/>
        <c:lblOffset val="100"/>
        <c:baseTimeUnit val="days"/>
      </c:dateAx>
      <c:valAx>
        <c:axId val="193716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3716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46981627296588"/>
          <c:y val="0.17997739865850101"/>
          <c:w val="0.87753018372703417"/>
          <c:h val="0.59222951297754445"/>
        </c:manualLayout>
      </c:layout>
      <c:lineChart>
        <c:grouping val="standard"/>
        <c:varyColors val="0"/>
        <c:ser>
          <c:idx val="0"/>
          <c:order val="0"/>
          <c:tx>
            <c:strRef>
              <c:f>FORECAST!$AC$1</c:f>
              <c:strCache>
                <c:ptCount val="1"/>
                <c:pt idx="0">
                  <c:v>Aktual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FORECAST!$AB$2:$AB$19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FORECAST!$AC$2:$AC$19</c:f>
              <c:numCache>
                <c:formatCode>General</c:formatCode>
                <c:ptCount val="18"/>
                <c:pt idx="0">
                  <c:v>2634.49</c:v>
                </c:pt>
                <c:pt idx="1">
                  <c:v>2743.8</c:v>
                </c:pt>
                <c:pt idx="2">
                  <c:v>2653.55</c:v>
                </c:pt>
                <c:pt idx="3">
                  <c:v>2623.81</c:v>
                </c:pt>
                <c:pt idx="4">
                  <c:v>2801.18</c:v>
                </c:pt>
                <c:pt idx="5">
                  <c:v>2858.77</c:v>
                </c:pt>
                <c:pt idx="6">
                  <c:v>3123.35</c:v>
                </c:pt>
                <c:pt idx="7">
                  <c:v>3288.59</c:v>
                </c:pt>
                <c:pt idx="8">
                  <c:v>3289.4</c:v>
                </c:pt>
                <c:pt idx="9">
                  <c:v>3303.69</c:v>
                </c:pt>
                <c:pt idx="10">
                  <c:v>3290.32</c:v>
                </c:pt>
                <c:pt idx="11">
                  <c:v>3448</c:v>
                </c:pt>
                <c:pt idx="12">
                  <c:v>3858.51</c:v>
                </c:pt>
                <c:pt idx="13">
                  <c:v>4002.28</c:v>
                </c:pt>
                <c:pt idx="14">
                  <c:v>4230.63</c:v>
                </c:pt>
                <c:pt idx="15">
                  <c:v>4315.09</c:v>
                </c:pt>
                <c:pt idx="16">
                  <c:v>4865.3500000000004</c:v>
                </c:pt>
                <c:pt idx="17">
                  <c:v>5277.9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D-4BD0-AD16-44525F422D2A}"/>
            </c:ext>
          </c:extLst>
        </c:ser>
        <c:ser>
          <c:idx val="1"/>
          <c:order val="1"/>
          <c:tx>
            <c:strRef>
              <c:f>FORECAST!$AD$1</c:f>
              <c:strCache>
                <c:ptCount val="1"/>
                <c:pt idx="0">
                  <c:v>Forecasting (3,0,1)(0,0,0) (0,0,[6]))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FORECAST!$AB$2:$AB$19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FORECAST!$AD$2:$AD$19</c:f>
              <c:numCache>
                <c:formatCode>General</c:formatCode>
                <c:ptCount val="18"/>
                <c:pt idx="0">
                  <c:v>2450.2157000000002</c:v>
                </c:pt>
                <c:pt idx="1">
                  <c:v>2446.7979</c:v>
                </c:pt>
                <c:pt idx="2">
                  <c:v>2494.4007000000001</c:v>
                </c:pt>
                <c:pt idx="3">
                  <c:v>2537.5771</c:v>
                </c:pt>
                <c:pt idx="4">
                  <c:v>2521.6033000000002</c:v>
                </c:pt>
                <c:pt idx="5">
                  <c:v>2545.1390000000001</c:v>
                </c:pt>
                <c:pt idx="6">
                  <c:v>2586.2543999999998</c:v>
                </c:pt>
                <c:pt idx="7">
                  <c:v>2587.0441000000001</c:v>
                </c:pt>
                <c:pt idx="8">
                  <c:v>2621.8202999999999</c:v>
                </c:pt>
                <c:pt idx="9">
                  <c:v>2647.3298</c:v>
                </c:pt>
                <c:pt idx="10">
                  <c:v>2676.7829999999999</c:v>
                </c:pt>
                <c:pt idx="11">
                  <c:v>2704.0344</c:v>
                </c:pt>
                <c:pt idx="12">
                  <c:v>2720.5160000000001</c:v>
                </c:pt>
                <c:pt idx="13">
                  <c:v>2741.7952</c:v>
                </c:pt>
                <c:pt idx="14">
                  <c:v>2753.9097999999999</c:v>
                </c:pt>
                <c:pt idx="15">
                  <c:v>2778.5931</c:v>
                </c:pt>
                <c:pt idx="16">
                  <c:v>2794.1855</c:v>
                </c:pt>
                <c:pt idx="17">
                  <c:v>2809.8577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8D-4BD0-AD16-44525F422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556127"/>
        <c:axId val="1935554207"/>
      </c:lineChart>
      <c:dateAx>
        <c:axId val="1935556127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35554207"/>
        <c:crosses val="autoZero"/>
        <c:auto val="1"/>
        <c:lblOffset val="100"/>
        <c:baseTimeUnit val="days"/>
      </c:dateAx>
      <c:valAx>
        <c:axId val="193555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3555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FORECAST!$AJ$1</c:f>
              <c:strCache>
                <c:ptCount val="1"/>
                <c:pt idx="0">
                  <c:v>Aktual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FORECAST!$AI$2:$AI$19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FORECAST!$AJ$2:$AJ$19</c:f>
              <c:numCache>
                <c:formatCode>General</c:formatCode>
                <c:ptCount val="18"/>
                <c:pt idx="0">
                  <c:v>2634.49</c:v>
                </c:pt>
                <c:pt idx="1">
                  <c:v>2743.8</c:v>
                </c:pt>
                <c:pt idx="2">
                  <c:v>2653.55</c:v>
                </c:pt>
                <c:pt idx="3">
                  <c:v>2623.81</c:v>
                </c:pt>
                <c:pt idx="4">
                  <c:v>2801.18</c:v>
                </c:pt>
                <c:pt idx="5">
                  <c:v>2858.77</c:v>
                </c:pt>
                <c:pt idx="6">
                  <c:v>3123.35</c:v>
                </c:pt>
                <c:pt idx="7">
                  <c:v>3288.59</c:v>
                </c:pt>
                <c:pt idx="8">
                  <c:v>3289.4</c:v>
                </c:pt>
                <c:pt idx="9">
                  <c:v>3303.69</c:v>
                </c:pt>
                <c:pt idx="10">
                  <c:v>3290.32</c:v>
                </c:pt>
                <c:pt idx="11">
                  <c:v>3448</c:v>
                </c:pt>
                <c:pt idx="12">
                  <c:v>3858.51</c:v>
                </c:pt>
                <c:pt idx="13">
                  <c:v>4002.28</c:v>
                </c:pt>
                <c:pt idx="14">
                  <c:v>4230.63</c:v>
                </c:pt>
                <c:pt idx="15">
                  <c:v>4315.09</c:v>
                </c:pt>
                <c:pt idx="16">
                  <c:v>4865.3500000000004</c:v>
                </c:pt>
                <c:pt idx="17">
                  <c:v>5277.9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B-40A6-8D9D-992790271A1B}"/>
            </c:ext>
          </c:extLst>
        </c:ser>
        <c:ser>
          <c:idx val="1"/>
          <c:order val="1"/>
          <c:tx>
            <c:strRef>
              <c:f>FORECAST!$AK$1</c:f>
              <c:strCache>
                <c:ptCount val="1"/>
                <c:pt idx="0">
                  <c:v>Forecasting (3,0,1)(0,0,0) (0,0,[6]))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FORECAST!$AI$2:$AI$19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FORECAST!$AK$2:$AK$19</c:f>
              <c:numCache>
                <c:formatCode>General</c:formatCode>
                <c:ptCount val="18"/>
                <c:pt idx="0">
                  <c:v>2447.9164999999998</c:v>
                </c:pt>
                <c:pt idx="1">
                  <c:v>2433.3386999999998</c:v>
                </c:pt>
                <c:pt idx="2">
                  <c:v>2479.886</c:v>
                </c:pt>
                <c:pt idx="3">
                  <c:v>2520.2208999999998</c:v>
                </c:pt>
                <c:pt idx="4">
                  <c:v>2508.7723000000001</c:v>
                </c:pt>
                <c:pt idx="5">
                  <c:v>2536.7692999999999</c:v>
                </c:pt>
                <c:pt idx="6">
                  <c:v>2562.7671999999998</c:v>
                </c:pt>
                <c:pt idx="7">
                  <c:v>2558.7451000000001</c:v>
                </c:pt>
                <c:pt idx="8">
                  <c:v>2592.0866999999998</c:v>
                </c:pt>
                <c:pt idx="9">
                  <c:v>2620.8715000000002</c:v>
                </c:pt>
                <c:pt idx="10">
                  <c:v>2639.7084</c:v>
                </c:pt>
                <c:pt idx="11">
                  <c:v>2663.8935000000001</c:v>
                </c:pt>
                <c:pt idx="12">
                  <c:v>2684.8701000000001</c:v>
                </c:pt>
                <c:pt idx="13">
                  <c:v>2706.7779999999998</c:v>
                </c:pt>
                <c:pt idx="14">
                  <c:v>2718.5985999999998</c:v>
                </c:pt>
                <c:pt idx="15">
                  <c:v>2742.3442</c:v>
                </c:pt>
                <c:pt idx="16">
                  <c:v>2760.6378</c:v>
                </c:pt>
                <c:pt idx="17">
                  <c:v>2776.6172000000001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B-40A6-8D9D-992790271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86623"/>
        <c:axId val="1937910095"/>
      </c:lineChart>
      <c:dateAx>
        <c:axId val="112886623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37910095"/>
        <c:crosses val="autoZero"/>
        <c:auto val="1"/>
        <c:lblOffset val="100"/>
        <c:baseTimeUnit val="days"/>
      </c:dateAx>
      <c:valAx>
        <c:axId val="193791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88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025371828521428E-2"/>
          <c:y val="0.15290115284262035"/>
          <c:w val="0.87753018372703417"/>
          <c:h val="0.6535755154499493"/>
        </c:manualLayout>
      </c:layout>
      <c:lineChart>
        <c:grouping val="standard"/>
        <c:varyColors val="0"/>
        <c:ser>
          <c:idx val="0"/>
          <c:order val="0"/>
          <c:tx>
            <c:strRef>
              <c:f>FORECAST!$AX$1</c:f>
              <c:strCache>
                <c:ptCount val="1"/>
                <c:pt idx="0">
                  <c:v>Aktual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FORECAST!$AW$2:$AW$19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FORECAST!$AX$2:$AX$19</c:f>
              <c:numCache>
                <c:formatCode>General</c:formatCode>
                <c:ptCount val="18"/>
                <c:pt idx="0">
                  <c:v>2634.49</c:v>
                </c:pt>
                <c:pt idx="1">
                  <c:v>2743.8</c:v>
                </c:pt>
                <c:pt idx="2">
                  <c:v>2653.55</c:v>
                </c:pt>
                <c:pt idx="3">
                  <c:v>2623.81</c:v>
                </c:pt>
                <c:pt idx="4">
                  <c:v>2801.18</c:v>
                </c:pt>
                <c:pt idx="5">
                  <c:v>2858.77</c:v>
                </c:pt>
                <c:pt idx="6">
                  <c:v>3123.35</c:v>
                </c:pt>
                <c:pt idx="7">
                  <c:v>3288.59</c:v>
                </c:pt>
                <c:pt idx="8">
                  <c:v>3289.4</c:v>
                </c:pt>
                <c:pt idx="9">
                  <c:v>3303.69</c:v>
                </c:pt>
                <c:pt idx="10">
                  <c:v>3290.32</c:v>
                </c:pt>
                <c:pt idx="11">
                  <c:v>3448</c:v>
                </c:pt>
                <c:pt idx="12">
                  <c:v>3858.51</c:v>
                </c:pt>
                <c:pt idx="13">
                  <c:v>4002.28</c:v>
                </c:pt>
                <c:pt idx="14">
                  <c:v>4230.63</c:v>
                </c:pt>
                <c:pt idx="15">
                  <c:v>4315.09</c:v>
                </c:pt>
                <c:pt idx="16">
                  <c:v>4865.3500000000004</c:v>
                </c:pt>
                <c:pt idx="17">
                  <c:v>5277.9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6-4B57-B1E9-35DFD2987236}"/>
            </c:ext>
          </c:extLst>
        </c:ser>
        <c:ser>
          <c:idx val="1"/>
          <c:order val="1"/>
          <c:tx>
            <c:strRef>
              <c:f>FORECAST!$AY$1</c:f>
              <c:strCache>
                <c:ptCount val="1"/>
                <c:pt idx="0">
                  <c:v>Forecasting (25,0,2)(12,0,0) (0,0,[5]))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FORECAST!$AW$2:$AW$19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FORECAST!$AY$2:$AY$19</c:f>
              <c:numCache>
                <c:formatCode>General</c:formatCode>
                <c:ptCount val="18"/>
                <c:pt idx="0">
                  <c:v>2538.9405999999999</c:v>
                </c:pt>
                <c:pt idx="1">
                  <c:v>2575.6907000000001</c:v>
                </c:pt>
                <c:pt idx="2">
                  <c:v>2649.9623000000001</c:v>
                </c:pt>
                <c:pt idx="3">
                  <c:v>2752.2593999999999</c:v>
                </c:pt>
                <c:pt idx="4">
                  <c:v>2824.9191000000001</c:v>
                </c:pt>
                <c:pt idx="5">
                  <c:v>2895.0994000000001</c:v>
                </c:pt>
                <c:pt idx="6">
                  <c:v>2989.2132000000001</c:v>
                </c:pt>
                <c:pt idx="7">
                  <c:v>3045.7896999999998</c:v>
                </c:pt>
                <c:pt idx="8">
                  <c:v>3106.1983</c:v>
                </c:pt>
                <c:pt idx="9">
                  <c:v>3194.1051000000002</c:v>
                </c:pt>
                <c:pt idx="10">
                  <c:v>3303.8377</c:v>
                </c:pt>
                <c:pt idx="11">
                  <c:v>3344.7204999999999</c:v>
                </c:pt>
                <c:pt idx="12">
                  <c:v>3406.9461000000001</c:v>
                </c:pt>
                <c:pt idx="13">
                  <c:v>3467.2934</c:v>
                </c:pt>
                <c:pt idx="14">
                  <c:v>3506.3216000000002</c:v>
                </c:pt>
                <c:pt idx="15">
                  <c:v>3567.3011999999999</c:v>
                </c:pt>
                <c:pt idx="16">
                  <c:v>3617.9726999999998</c:v>
                </c:pt>
                <c:pt idx="17">
                  <c:v>3655.982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36-4B57-B1E9-35DFD2987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3004687"/>
        <c:axId val="1923003247"/>
      </c:lineChart>
      <c:dateAx>
        <c:axId val="1923004687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23003247"/>
        <c:crosses val="autoZero"/>
        <c:auto val="1"/>
        <c:lblOffset val="100"/>
        <c:baseTimeUnit val="days"/>
      </c:dateAx>
      <c:valAx>
        <c:axId val="19230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2300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FORECAST!$BM$1</c:f>
              <c:strCache>
                <c:ptCount val="1"/>
                <c:pt idx="0">
                  <c:v>Aktual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FORECAST!$BL$2:$BL$19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FORECAST!$BM$2:$BM$19</c:f>
              <c:numCache>
                <c:formatCode>General</c:formatCode>
                <c:ptCount val="18"/>
                <c:pt idx="0">
                  <c:v>2634.49</c:v>
                </c:pt>
                <c:pt idx="1">
                  <c:v>2743.8</c:v>
                </c:pt>
                <c:pt idx="2">
                  <c:v>2653.55</c:v>
                </c:pt>
                <c:pt idx="3">
                  <c:v>2623.81</c:v>
                </c:pt>
                <c:pt idx="4">
                  <c:v>2801.18</c:v>
                </c:pt>
                <c:pt idx="5">
                  <c:v>2858.77</c:v>
                </c:pt>
                <c:pt idx="6">
                  <c:v>3123.35</c:v>
                </c:pt>
                <c:pt idx="7">
                  <c:v>3288.59</c:v>
                </c:pt>
                <c:pt idx="8">
                  <c:v>3289.4</c:v>
                </c:pt>
                <c:pt idx="9">
                  <c:v>3303.69</c:v>
                </c:pt>
                <c:pt idx="10">
                  <c:v>3290.32</c:v>
                </c:pt>
                <c:pt idx="11">
                  <c:v>3448</c:v>
                </c:pt>
                <c:pt idx="12">
                  <c:v>3858.51</c:v>
                </c:pt>
                <c:pt idx="13">
                  <c:v>4002.28</c:v>
                </c:pt>
                <c:pt idx="14">
                  <c:v>4230.63</c:v>
                </c:pt>
                <c:pt idx="15">
                  <c:v>4315.09</c:v>
                </c:pt>
                <c:pt idx="16">
                  <c:v>4865.3500000000004</c:v>
                </c:pt>
                <c:pt idx="17">
                  <c:v>5277.9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F-41E8-88B5-66B2C44D50B5}"/>
            </c:ext>
          </c:extLst>
        </c:ser>
        <c:ser>
          <c:idx val="1"/>
          <c:order val="1"/>
          <c:tx>
            <c:strRef>
              <c:f>FORECAST!$BN$1</c:f>
              <c:strCache>
                <c:ptCount val="1"/>
                <c:pt idx="0">
                  <c:v>Forecasting (25,0,2)(12,0,0) ([6],0,[5]))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FORECAST!$BL$2:$BL$19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FORECAST!$BN$2:$BN$19</c:f>
              <c:numCache>
                <c:formatCode>General</c:formatCode>
                <c:ptCount val="18"/>
                <c:pt idx="0">
                  <c:v>2477.1622000000002</c:v>
                </c:pt>
                <c:pt idx="1">
                  <c:v>2495.6230999999998</c:v>
                </c:pt>
                <c:pt idx="2">
                  <c:v>2567.2237</c:v>
                </c:pt>
                <c:pt idx="3">
                  <c:v>2676.1179000000002</c:v>
                </c:pt>
                <c:pt idx="4">
                  <c:v>2718.0138999999999</c:v>
                </c:pt>
                <c:pt idx="5">
                  <c:v>2762.6601000000001</c:v>
                </c:pt>
                <c:pt idx="6">
                  <c:v>2857.8539000000001</c:v>
                </c:pt>
                <c:pt idx="7">
                  <c:v>2901.3364000000001</c:v>
                </c:pt>
                <c:pt idx="8">
                  <c:v>2953.4785000000002</c:v>
                </c:pt>
                <c:pt idx="9">
                  <c:v>3008.6478000000002</c:v>
                </c:pt>
                <c:pt idx="10">
                  <c:v>3107.9785000000002</c:v>
                </c:pt>
                <c:pt idx="11">
                  <c:v>3148.1954000000001</c:v>
                </c:pt>
                <c:pt idx="12">
                  <c:v>3192.8674000000001</c:v>
                </c:pt>
                <c:pt idx="13">
                  <c:v>3240.8334</c:v>
                </c:pt>
                <c:pt idx="14">
                  <c:v>3267.2732999999998</c:v>
                </c:pt>
                <c:pt idx="15">
                  <c:v>3323.1938</c:v>
                </c:pt>
                <c:pt idx="16">
                  <c:v>3360.5783000000001</c:v>
                </c:pt>
                <c:pt idx="17">
                  <c:v>3388.0293000000001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2F-41E8-88B5-66B2C44D5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91359"/>
        <c:axId val="162195679"/>
      </c:lineChart>
      <c:dateAx>
        <c:axId val="162191359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2195679"/>
        <c:crosses val="autoZero"/>
        <c:auto val="1"/>
        <c:lblOffset val="100"/>
        <c:baseTimeUnit val="days"/>
      </c:dateAx>
      <c:valAx>
        <c:axId val="16219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219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FORECAST!$B$23</c:f>
              <c:strCache>
                <c:ptCount val="1"/>
                <c:pt idx="0">
                  <c:v>Aktual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FORECAST!$A$24:$A$41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FORECAST!$B$24:$B$41</c:f>
              <c:numCache>
                <c:formatCode>General</c:formatCode>
                <c:ptCount val="18"/>
                <c:pt idx="0">
                  <c:v>2634.49</c:v>
                </c:pt>
                <c:pt idx="1">
                  <c:v>2743.8</c:v>
                </c:pt>
                <c:pt idx="2">
                  <c:v>2653.55</c:v>
                </c:pt>
                <c:pt idx="3">
                  <c:v>2623.81</c:v>
                </c:pt>
                <c:pt idx="4">
                  <c:v>2801.18</c:v>
                </c:pt>
                <c:pt idx="5">
                  <c:v>2858.77</c:v>
                </c:pt>
                <c:pt idx="6">
                  <c:v>3123.35</c:v>
                </c:pt>
                <c:pt idx="7">
                  <c:v>3288.59</c:v>
                </c:pt>
                <c:pt idx="8">
                  <c:v>3289.4</c:v>
                </c:pt>
                <c:pt idx="9">
                  <c:v>3303.69</c:v>
                </c:pt>
                <c:pt idx="10">
                  <c:v>3290.32</c:v>
                </c:pt>
                <c:pt idx="11">
                  <c:v>3448</c:v>
                </c:pt>
                <c:pt idx="12">
                  <c:v>3858.51</c:v>
                </c:pt>
                <c:pt idx="13">
                  <c:v>4002.28</c:v>
                </c:pt>
                <c:pt idx="14">
                  <c:v>4230.63</c:v>
                </c:pt>
                <c:pt idx="15">
                  <c:v>4315.09</c:v>
                </c:pt>
                <c:pt idx="16">
                  <c:v>4865.3500000000004</c:v>
                </c:pt>
                <c:pt idx="17">
                  <c:v>5277.9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9-4CAC-B086-68A3B8FF1667}"/>
            </c:ext>
          </c:extLst>
        </c:ser>
        <c:ser>
          <c:idx val="1"/>
          <c:order val="1"/>
          <c:tx>
            <c:strRef>
              <c:f>FORECAST!$C$23</c:f>
              <c:strCache>
                <c:ptCount val="1"/>
                <c:pt idx="0">
                  <c:v>Forecasting (3,0,1)(0,0,0) ([6],0,0))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FORECAST!$A$24:$A$41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FORECAST!$C$24:$C$41</c:f>
              <c:numCache>
                <c:formatCode>General</c:formatCode>
                <c:ptCount val="18"/>
                <c:pt idx="0">
                  <c:v>2488.7465000000002</c:v>
                </c:pt>
                <c:pt idx="1">
                  <c:v>2473.0288999999998</c:v>
                </c:pt>
                <c:pt idx="2">
                  <c:v>2476.1307999999999</c:v>
                </c:pt>
                <c:pt idx="3">
                  <c:v>2496.9738000000002</c:v>
                </c:pt>
                <c:pt idx="4">
                  <c:v>2525.0475000000001</c:v>
                </c:pt>
                <c:pt idx="5">
                  <c:v>2505.6217000000001</c:v>
                </c:pt>
                <c:pt idx="6">
                  <c:v>2514.6178</c:v>
                </c:pt>
                <c:pt idx="7">
                  <c:v>2543.3548999999998</c:v>
                </c:pt>
                <c:pt idx="8">
                  <c:v>2562.0362</c:v>
                </c:pt>
                <c:pt idx="9">
                  <c:v>2578.3087999999998</c:v>
                </c:pt>
                <c:pt idx="10">
                  <c:v>2592.4684999999999</c:v>
                </c:pt>
                <c:pt idx="11">
                  <c:v>2616.8153000000002</c:v>
                </c:pt>
                <c:pt idx="12">
                  <c:v>2633.9517999999998</c:v>
                </c:pt>
                <c:pt idx="13">
                  <c:v>2645.8537000000001</c:v>
                </c:pt>
                <c:pt idx="14">
                  <c:v>2660.4344999999998</c:v>
                </c:pt>
                <c:pt idx="15">
                  <c:v>2675.6044000000002</c:v>
                </c:pt>
                <c:pt idx="16">
                  <c:v>2691.4618999999998</c:v>
                </c:pt>
                <c:pt idx="17">
                  <c:v>2704.4391000000001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9-4CAC-B086-68A3B8FF1667}"/>
            </c:ext>
          </c:extLst>
        </c:ser>
        <c:ser>
          <c:idx val="2"/>
          <c:order val="2"/>
          <c:tx>
            <c:strRef>
              <c:f>FORECAST!$D$23</c:f>
              <c:strCache>
                <c:ptCount val="1"/>
                <c:pt idx="0">
                  <c:v>Forecasting (3,0,1)(0,0,0) (0,0,[6]))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FORECAST!$A$24:$A$41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FORECAST!$D$24:$D$41</c:f>
              <c:numCache>
                <c:formatCode>General</c:formatCode>
                <c:ptCount val="18"/>
                <c:pt idx="0">
                  <c:v>2473.7982999999999</c:v>
                </c:pt>
                <c:pt idx="1">
                  <c:v>2465.8746999999998</c:v>
                </c:pt>
                <c:pt idx="2">
                  <c:v>2484.7159999999999</c:v>
                </c:pt>
                <c:pt idx="3">
                  <c:v>2513.9301999999998</c:v>
                </c:pt>
                <c:pt idx="4">
                  <c:v>2495.7525999999998</c:v>
                </c:pt>
                <c:pt idx="5">
                  <c:v>2509.7602000000002</c:v>
                </c:pt>
                <c:pt idx="6">
                  <c:v>2525.8391000000001</c:v>
                </c:pt>
                <c:pt idx="7">
                  <c:v>2541.0025000000001</c:v>
                </c:pt>
                <c:pt idx="8">
                  <c:v>2556.0133000000001</c:v>
                </c:pt>
                <c:pt idx="9">
                  <c:v>2571.2615999999998</c:v>
                </c:pt>
                <c:pt idx="10">
                  <c:v>2586.4229</c:v>
                </c:pt>
                <c:pt idx="11">
                  <c:v>2601.6988999999999</c:v>
                </c:pt>
                <c:pt idx="12">
                  <c:v>2616.9167000000002</c:v>
                </c:pt>
                <c:pt idx="13">
                  <c:v>2632.1959000000002</c:v>
                </c:pt>
                <c:pt idx="14">
                  <c:v>2647.4378999999999</c:v>
                </c:pt>
                <c:pt idx="15">
                  <c:v>2662.7141000000001</c:v>
                </c:pt>
                <c:pt idx="16">
                  <c:v>2677.9672999999998</c:v>
                </c:pt>
                <c:pt idx="17">
                  <c:v>2693.2401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29-4CAC-B086-68A3B8FF1667}"/>
            </c:ext>
          </c:extLst>
        </c:ser>
        <c:ser>
          <c:idx val="3"/>
          <c:order val="3"/>
          <c:tx>
            <c:strRef>
              <c:f>FORECAST!$E$23</c:f>
              <c:strCache>
                <c:ptCount val="1"/>
                <c:pt idx="0">
                  <c:v>Forecasting (3,0,1)(12,0,0) ([6],0,0))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FORECAST!$A$24:$A$41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FORECAST!$E$24:$E$41</c:f>
              <c:numCache>
                <c:formatCode>General</c:formatCode>
                <c:ptCount val="18"/>
                <c:pt idx="0">
                  <c:v>2450.2157000000002</c:v>
                </c:pt>
                <c:pt idx="1">
                  <c:v>2446.7979</c:v>
                </c:pt>
                <c:pt idx="2">
                  <c:v>2494.4007000000001</c:v>
                </c:pt>
                <c:pt idx="3">
                  <c:v>2537.5771</c:v>
                </c:pt>
                <c:pt idx="4">
                  <c:v>2521.6033000000002</c:v>
                </c:pt>
                <c:pt idx="5">
                  <c:v>2545.1390000000001</c:v>
                </c:pt>
                <c:pt idx="6">
                  <c:v>2586.2543999999998</c:v>
                </c:pt>
                <c:pt idx="7">
                  <c:v>2587.0441000000001</c:v>
                </c:pt>
                <c:pt idx="8">
                  <c:v>2621.8202999999999</c:v>
                </c:pt>
                <c:pt idx="9">
                  <c:v>2647.3298</c:v>
                </c:pt>
                <c:pt idx="10">
                  <c:v>2676.7829999999999</c:v>
                </c:pt>
                <c:pt idx="11">
                  <c:v>2704.0344</c:v>
                </c:pt>
                <c:pt idx="12">
                  <c:v>2720.5160000000001</c:v>
                </c:pt>
                <c:pt idx="13">
                  <c:v>2741.7952</c:v>
                </c:pt>
                <c:pt idx="14">
                  <c:v>2753.9097999999999</c:v>
                </c:pt>
                <c:pt idx="15">
                  <c:v>2778.5931</c:v>
                </c:pt>
                <c:pt idx="16">
                  <c:v>2794.1855</c:v>
                </c:pt>
                <c:pt idx="17">
                  <c:v>2809.8577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29-4CAC-B086-68A3B8FF1667}"/>
            </c:ext>
          </c:extLst>
        </c:ser>
        <c:ser>
          <c:idx val="4"/>
          <c:order val="4"/>
          <c:tx>
            <c:strRef>
              <c:f>FORECAST!$F$23</c:f>
              <c:strCache>
                <c:ptCount val="1"/>
                <c:pt idx="0">
                  <c:v>Forecasting (3,0,1)(12,0,0) (0,0,[6]))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FORECAST!$A$24:$A$41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FORECAST!$F$24:$F$41</c:f>
              <c:numCache>
                <c:formatCode>General</c:formatCode>
                <c:ptCount val="18"/>
                <c:pt idx="0">
                  <c:v>2447.9164999999998</c:v>
                </c:pt>
                <c:pt idx="1">
                  <c:v>2433.3386999999998</c:v>
                </c:pt>
                <c:pt idx="2">
                  <c:v>2479.886</c:v>
                </c:pt>
                <c:pt idx="3">
                  <c:v>2520.2208999999998</c:v>
                </c:pt>
                <c:pt idx="4">
                  <c:v>2508.7723000000001</c:v>
                </c:pt>
                <c:pt idx="5">
                  <c:v>2536.7692999999999</c:v>
                </c:pt>
                <c:pt idx="6">
                  <c:v>2562.7671999999998</c:v>
                </c:pt>
                <c:pt idx="7">
                  <c:v>2558.7451000000001</c:v>
                </c:pt>
                <c:pt idx="8">
                  <c:v>2592.0866999999998</c:v>
                </c:pt>
                <c:pt idx="9">
                  <c:v>2620.8715000000002</c:v>
                </c:pt>
                <c:pt idx="10">
                  <c:v>2639.7084</c:v>
                </c:pt>
                <c:pt idx="11">
                  <c:v>2663.8935000000001</c:v>
                </c:pt>
                <c:pt idx="12">
                  <c:v>2684.8701000000001</c:v>
                </c:pt>
                <c:pt idx="13">
                  <c:v>2706.7779999999998</c:v>
                </c:pt>
                <c:pt idx="14">
                  <c:v>2718.5985999999998</c:v>
                </c:pt>
                <c:pt idx="15">
                  <c:v>2742.3442</c:v>
                </c:pt>
                <c:pt idx="16">
                  <c:v>2760.6378</c:v>
                </c:pt>
                <c:pt idx="17">
                  <c:v>2776.6172000000001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29-4CAC-B086-68A3B8FF1667}"/>
            </c:ext>
          </c:extLst>
        </c:ser>
        <c:ser>
          <c:idx val="5"/>
          <c:order val="5"/>
          <c:tx>
            <c:strRef>
              <c:f>FORECAST!$G$23</c:f>
              <c:strCache>
                <c:ptCount val="1"/>
                <c:pt idx="0">
                  <c:v>Forecasting (25,0,2)(12,0,0) (0,0,[5]))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FORECAST!$A$24:$A$41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FORECAST!$G$24:$G$41</c:f>
              <c:numCache>
                <c:formatCode>General</c:formatCode>
                <c:ptCount val="18"/>
                <c:pt idx="0">
                  <c:v>2538.9405999999999</c:v>
                </c:pt>
                <c:pt idx="1">
                  <c:v>2575.6907000000001</c:v>
                </c:pt>
                <c:pt idx="2">
                  <c:v>2649.9623000000001</c:v>
                </c:pt>
                <c:pt idx="3">
                  <c:v>2752.2593999999999</c:v>
                </c:pt>
                <c:pt idx="4">
                  <c:v>2824.9191000000001</c:v>
                </c:pt>
                <c:pt idx="5">
                  <c:v>2895.0994000000001</c:v>
                </c:pt>
                <c:pt idx="6">
                  <c:v>2989.2132000000001</c:v>
                </c:pt>
                <c:pt idx="7">
                  <c:v>3045.7896999999998</c:v>
                </c:pt>
                <c:pt idx="8">
                  <c:v>3106.1983</c:v>
                </c:pt>
                <c:pt idx="9">
                  <c:v>3194.1051000000002</c:v>
                </c:pt>
                <c:pt idx="10">
                  <c:v>3303.8377</c:v>
                </c:pt>
                <c:pt idx="11">
                  <c:v>3344.7204999999999</c:v>
                </c:pt>
                <c:pt idx="12">
                  <c:v>3406.9461000000001</c:v>
                </c:pt>
                <c:pt idx="13">
                  <c:v>3467.2934</c:v>
                </c:pt>
                <c:pt idx="14">
                  <c:v>3506.3216000000002</c:v>
                </c:pt>
                <c:pt idx="15">
                  <c:v>3567.3011999999999</c:v>
                </c:pt>
                <c:pt idx="16">
                  <c:v>3617.9726999999998</c:v>
                </c:pt>
                <c:pt idx="17">
                  <c:v>3655.982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29-4CAC-B086-68A3B8FF1667}"/>
            </c:ext>
          </c:extLst>
        </c:ser>
        <c:ser>
          <c:idx val="6"/>
          <c:order val="6"/>
          <c:tx>
            <c:strRef>
              <c:f>FORECAST!$H$23</c:f>
              <c:strCache>
                <c:ptCount val="1"/>
                <c:pt idx="0">
                  <c:v>Forecasting (25,0,2)(12,0,0) ([6],0,[5]))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FORECAST!$A$24:$A$41</c:f>
              <c:numCache>
                <c:formatCode>yyyy\-mm\-dd</c:formatCode>
                <c:ptCount val="18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</c:numCache>
            </c:numRef>
          </c:cat>
          <c:val>
            <c:numRef>
              <c:f>FORECAST!$H$24:$H$41</c:f>
              <c:numCache>
                <c:formatCode>General</c:formatCode>
                <c:ptCount val="18"/>
                <c:pt idx="0">
                  <c:v>2477.1622000000002</c:v>
                </c:pt>
                <c:pt idx="1">
                  <c:v>2495.6230999999998</c:v>
                </c:pt>
                <c:pt idx="2">
                  <c:v>2567.2237</c:v>
                </c:pt>
                <c:pt idx="3">
                  <c:v>2676.1179000000002</c:v>
                </c:pt>
                <c:pt idx="4">
                  <c:v>2718.0138999999999</c:v>
                </c:pt>
                <c:pt idx="5">
                  <c:v>2762.6601000000001</c:v>
                </c:pt>
                <c:pt idx="6">
                  <c:v>2857.8539000000001</c:v>
                </c:pt>
                <c:pt idx="7">
                  <c:v>2901.3364000000001</c:v>
                </c:pt>
                <c:pt idx="8">
                  <c:v>2953.4785000000002</c:v>
                </c:pt>
                <c:pt idx="9">
                  <c:v>3008.6478000000002</c:v>
                </c:pt>
                <c:pt idx="10">
                  <c:v>3107.9785000000002</c:v>
                </c:pt>
                <c:pt idx="11">
                  <c:v>3148.1954000000001</c:v>
                </c:pt>
                <c:pt idx="12">
                  <c:v>3192.8674000000001</c:v>
                </c:pt>
                <c:pt idx="13">
                  <c:v>3240.8334</c:v>
                </c:pt>
                <c:pt idx="14">
                  <c:v>3267.2732999999998</c:v>
                </c:pt>
                <c:pt idx="15">
                  <c:v>3323.1938</c:v>
                </c:pt>
                <c:pt idx="16">
                  <c:v>3360.5783000000001</c:v>
                </c:pt>
                <c:pt idx="17">
                  <c:v>3388.0293000000001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29-4CAC-B086-68A3B8FF1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426543"/>
        <c:axId val="1914425583"/>
      </c:lineChart>
      <c:dateAx>
        <c:axId val="1914426543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14425583"/>
        <c:crosses val="autoZero"/>
        <c:auto val="1"/>
        <c:lblOffset val="100"/>
        <c:baseTimeUnit val="days"/>
      </c:dateAx>
      <c:valAx>
        <c:axId val="191442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1442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cadangan!$S$23</c:f>
              <c:strCache>
                <c:ptCount val="1"/>
                <c:pt idx="0">
                  <c:v>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cadangan!$S$24:$S$103</c:f>
              <c:numCache>
                <c:formatCode>0.00000E+00</c:formatCode>
                <c:ptCount val="80"/>
                <c:pt idx="0">
                  <c:v>2685792892753.0264</c:v>
                </c:pt>
                <c:pt idx="1">
                  <c:v>2714296230256.1567</c:v>
                </c:pt>
                <c:pt idx="2">
                  <c:v>2751474376228.3833</c:v>
                </c:pt>
                <c:pt idx="3">
                  <c:v>2765163376288.2788</c:v>
                </c:pt>
                <c:pt idx="4">
                  <c:v>2798690574809.0239</c:v>
                </c:pt>
                <c:pt idx="5">
                  <c:v>2825466783910.8486</c:v>
                </c:pt>
                <c:pt idx="6">
                  <c:v>2847950499428.936</c:v>
                </c:pt>
                <c:pt idx="7">
                  <c:v>2877345085511.1685</c:v>
                </c:pt>
                <c:pt idx="8">
                  <c:v>2890900146846.375</c:v>
                </c:pt>
                <c:pt idx="9">
                  <c:v>2897663124977.4961</c:v>
                </c:pt>
                <c:pt idx="10">
                  <c:v>2913668002447.5518</c:v>
                </c:pt>
                <c:pt idx="11">
                  <c:v>2977780068868.0317</c:v>
                </c:pt>
                <c:pt idx="12">
                  <c:v>3023276357464.1733</c:v>
                </c:pt>
                <c:pt idx="13">
                  <c:v>3052600451765.0464</c:v>
                </c:pt>
                <c:pt idx="14">
                  <c:v>3085037136984.375</c:v>
                </c:pt>
                <c:pt idx="15">
                  <c:v>3108747986193.1235</c:v>
                </c:pt>
                <c:pt idx="16">
                  <c:v>3179376241861.1836</c:v>
                </c:pt>
                <c:pt idx="17">
                  <c:v>3243632284117.9517</c:v>
                </c:pt>
                <c:pt idx="18">
                  <c:v>3299165190228.0317</c:v>
                </c:pt>
                <c:pt idx="19">
                  <c:v>3357749474422.7837</c:v>
                </c:pt>
                <c:pt idx="20">
                  <c:v>3406824508823</c:v>
                </c:pt>
                <c:pt idx="21">
                  <c:v>3500798916116.3213</c:v>
                </c:pt>
                <c:pt idx="22">
                  <c:v>3578768654336</c:v>
                </c:pt>
                <c:pt idx="23">
                  <c:v>3615038494046.875</c:v>
                </c:pt>
                <c:pt idx="24">
                  <c:v>3671579057644.5112</c:v>
                </c:pt>
                <c:pt idx="25">
                  <c:v>3719120075252.5039</c:v>
                </c:pt>
                <c:pt idx="26">
                  <c:v>4121396307937</c:v>
                </c:pt>
                <c:pt idx="27">
                  <c:v>4969832847035.0762</c:v>
                </c:pt>
                <c:pt idx="28">
                  <c:v>5767021628028.29</c:v>
                </c:pt>
                <c:pt idx="29">
                  <c:v>6012980050484.1064</c:v>
                </c:pt>
                <c:pt idx="30">
                  <c:v>6164121160845.8652</c:v>
                </c:pt>
                <c:pt idx="31">
                  <c:v>6240886541692.9287</c:v>
                </c:pt>
                <c:pt idx="32">
                  <c:v>6437451048765.625</c:v>
                </c:pt>
                <c:pt idx="33">
                  <c:v>6599815749438.9746</c:v>
                </c:pt>
                <c:pt idx="34">
                  <c:v>6855751512973</c:v>
                </c:pt>
                <c:pt idx="35">
                  <c:v>6985067678746.8936</c:v>
                </c:pt>
                <c:pt idx="36">
                  <c:v>7277698976939</c:v>
                </c:pt>
                <c:pt idx="37">
                  <c:v>7577812474746.6309</c:v>
                </c:pt>
                <c:pt idx="38">
                  <c:v>7848802655679.1689</c:v>
                </c:pt>
                <c:pt idx="39">
                  <c:v>8214163152439.6104</c:v>
                </c:pt>
                <c:pt idx="40">
                  <c:v>8565295679740.8662</c:v>
                </c:pt>
                <c:pt idx="41">
                  <c:v>8587166648718.9512</c:v>
                </c:pt>
                <c:pt idx="42">
                  <c:v>8784278130328.0361</c:v>
                </c:pt>
                <c:pt idx="43">
                  <c:v>9052101379761.9316</c:v>
                </c:pt>
                <c:pt idx="44">
                  <c:v>9235885736141</c:v>
                </c:pt>
                <c:pt idx="45">
                  <c:v>9475102860933.0137</c:v>
                </c:pt>
                <c:pt idx="46">
                  <c:v>9711995559713.875</c:v>
                </c:pt>
                <c:pt idx="47">
                  <c:v>9936295020121.625</c:v>
                </c:pt>
                <c:pt idx="48">
                  <c:v>10147982742399.498</c:v>
                </c:pt>
                <c:pt idx="49">
                  <c:v>10253953641107.01</c:v>
                </c:pt>
                <c:pt idx="50">
                  <c:v>10341993497038.85</c:v>
                </c:pt>
                <c:pt idx="51">
                  <c:v>10316666177291.387</c:v>
                </c:pt>
                <c:pt idx="52">
                  <c:v>10246450921131.602</c:v>
                </c:pt>
                <c:pt idx="53">
                  <c:v>10149951522390.875</c:v>
                </c:pt>
                <c:pt idx="54">
                  <c:v>10151920557003.891</c:v>
                </c:pt>
                <c:pt idx="55">
                  <c:v>10131539320111.105</c:v>
                </c:pt>
                <c:pt idx="56">
                  <c:v>9989355648835.8633</c:v>
                </c:pt>
                <c:pt idx="57">
                  <c:v>9885357033223.1133</c:v>
                </c:pt>
                <c:pt idx="58">
                  <c:v>9809551878238.7637</c:v>
                </c:pt>
                <c:pt idx="59">
                  <c:v>9651216553805.4316</c:v>
                </c:pt>
                <c:pt idx="60">
                  <c:v>9636265301118.4004</c:v>
                </c:pt>
                <c:pt idx="61">
                  <c:v>9587171123737.4531</c:v>
                </c:pt>
                <c:pt idx="62">
                  <c:v>9191584360348.4258</c:v>
                </c:pt>
                <c:pt idx="63">
                  <c:v>8948905203991.5449</c:v>
                </c:pt>
                <c:pt idx="64">
                  <c:v>9037385130318.334</c:v>
                </c:pt>
                <c:pt idx="65">
                  <c:v>8998133270463.7852</c:v>
                </c:pt>
                <c:pt idx="66">
                  <c:v>8987754502467.9453</c:v>
                </c:pt>
                <c:pt idx="67">
                  <c:v>8969740378609.375</c:v>
                </c:pt>
                <c:pt idx="68">
                  <c:v>8931330463779.3516</c:v>
                </c:pt>
                <c:pt idx="69">
                  <c:v>8912102216272.291</c:v>
                </c:pt>
                <c:pt idx="70">
                  <c:v>8929522606713.3457</c:v>
                </c:pt>
                <c:pt idx="71">
                  <c:v>8970128918274.9512</c:v>
                </c:pt>
                <c:pt idx="72">
                  <c:v>9055750352109.4531</c:v>
                </c:pt>
                <c:pt idx="73">
                  <c:v>9164624956812.1113</c:v>
                </c:pt>
                <c:pt idx="74">
                  <c:v>9225588829871.1699</c:v>
                </c:pt>
                <c:pt idx="75">
                  <c:v>9206599268785.4707</c:v>
                </c:pt>
                <c:pt idx="76">
                  <c:v>9287352656510.6016</c:v>
                </c:pt>
                <c:pt idx="77">
                  <c:v>9350856157558.7344</c:v>
                </c:pt>
                <c:pt idx="78">
                  <c:v>9386453456912.3867</c:v>
                </c:pt>
                <c:pt idx="79">
                  <c:v>9508994677440.7109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17-46A2-9D4C-27C0A5CE5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911615"/>
        <c:axId val="462912095"/>
      </c:lineChart>
      <c:lineChart>
        <c:grouping val="standard"/>
        <c:varyColors val="0"/>
        <c:ser>
          <c:idx val="1"/>
          <c:order val="1"/>
          <c:tx>
            <c:strRef>
              <c:f>cadangan!$T$23</c:f>
              <c:strCache>
                <c:ptCount val="1"/>
                <c:pt idx="0">
                  <c:v>M2SL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cadangan!$T$24:$T$103</c:f>
              <c:numCache>
                <c:formatCode>0.0</c:formatCode>
                <c:ptCount val="80"/>
                <c:pt idx="0">
                  <c:v>13900.3</c:v>
                </c:pt>
                <c:pt idx="1">
                  <c:v>13949.3</c:v>
                </c:pt>
                <c:pt idx="2">
                  <c:v>14012.7</c:v>
                </c:pt>
                <c:pt idx="3">
                  <c:v>14035.9</c:v>
                </c:pt>
                <c:pt idx="4">
                  <c:v>14092.4</c:v>
                </c:pt>
                <c:pt idx="5">
                  <c:v>14137.2</c:v>
                </c:pt>
                <c:pt idx="6">
                  <c:v>14174.6</c:v>
                </c:pt>
                <c:pt idx="7">
                  <c:v>14223.2</c:v>
                </c:pt>
                <c:pt idx="8">
                  <c:v>14245.5</c:v>
                </c:pt>
                <c:pt idx="9">
                  <c:v>14256.6</c:v>
                </c:pt>
                <c:pt idx="10">
                  <c:v>14282.8</c:v>
                </c:pt>
                <c:pt idx="11">
                  <c:v>14386.8</c:v>
                </c:pt>
                <c:pt idx="12">
                  <c:v>14459.7</c:v>
                </c:pt>
                <c:pt idx="13">
                  <c:v>14506.3</c:v>
                </c:pt>
                <c:pt idx="14">
                  <c:v>14557.5</c:v>
                </c:pt>
                <c:pt idx="15">
                  <c:v>14594.7</c:v>
                </c:pt>
                <c:pt idx="16">
                  <c:v>14704.4</c:v>
                </c:pt>
                <c:pt idx="17">
                  <c:v>14802.8</c:v>
                </c:pt>
                <c:pt idx="18">
                  <c:v>14886.8</c:v>
                </c:pt>
                <c:pt idx="19">
                  <c:v>14974.4</c:v>
                </c:pt>
                <c:pt idx="20">
                  <c:v>15047</c:v>
                </c:pt>
                <c:pt idx="21">
                  <c:v>15184.1</c:v>
                </c:pt>
                <c:pt idx="22">
                  <c:v>15296</c:v>
                </c:pt>
                <c:pt idx="23">
                  <c:v>15347.5</c:v>
                </c:pt>
                <c:pt idx="24">
                  <c:v>15427.1</c:v>
                </c:pt>
                <c:pt idx="25">
                  <c:v>15493.4</c:v>
                </c:pt>
                <c:pt idx="26">
                  <c:v>16033</c:v>
                </c:pt>
                <c:pt idx="27">
                  <c:v>17065.3</c:v>
                </c:pt>
                <c:pt idx="28">
                  <c:v>17932.900000000001</c:v>
                </c:pt>
                <c:pt idx="29">
                  <c:v>18184.3</c:v>
                </c:pt>
                <c:pt idx="30">
                  <c:v>18335.400000000001</c:v>
                </c:pt>
                <c:pt idx="31">
                  <c:v>18411.2</c:v>
                </c:pt>
                <c:pt idx="32">
                  <c:v>18602.5</c:v>
                </c:pt>
                <c:pt idx="33">
                  <c:v>18757.599999999999</c:v>
                </c:pt>
                <c:pt idx="34">
                  <c:v>18997</c:v>
                </c:pt>
                <c:pt idx="35">
                  <c:v>19115.7</c:v>
                </c:pt>
                <c:pt idx="36">
                  <c:v>19379</c:v>
                </c:pt>
                <c:pt idx="37">
                  <c:v>19641.8</c:v>
                </c:pt>
                <c:pt idx="38">
                  <c:v>19873.2</c:v>
                </c:pt>
                <c:pt idx="39">
                  <c:v>20176.900000000001</c:v>
                </c:pt>
                <c:pt idx="40">
                  <c:v>20460.400000000001</c:v>
                </c:pt>
                <c:pt idx="41">
                  <c:v>20477.8</c:v>
                </c:pt>
                <c:pt idx="42">
                  <c:v>20633.3</c:v>
                </c:pt>
                <c:pt idx="43">
                  <c:v>20840.900000000001</c:v>
                </c:pt>
                <c:pt idx="44">
                  <c:v>20981</c:v>
                </c:pt>
                <c:pt idx="45">
                  <c:v>21160.6</c:v>
                </c:pt>
                <c:pt idx="46">
                  <c:v>21335.5</c:v>
                </c:pt>
                <c:pt idx="47">
                  <c:v>21498.5</c:v>
                </c:pt>
                <c:pt idx="48">
                  <c:v>21650.1</c:v>
                </c:pt>
                <c:pt idx="49">
                  <c:v>21725.200000000001</c:v>
                </c:pt>
                <c:pt idx="50">
                  <c:v>21787.200000000001</c:v>
                </c:pt>
                <c:pt idx="51">
                  <c:v>21769.4</c:v>
                </c:pt>
                <c:pt idx="52">
                  <c:v>21719.9</c:v>
                </c:pt>
                <c:pt idx="53">
                  <c:v>21651.5</c:v>
                </c:pt>
                <c:pt idx="54">
                  <c:v>21652.9</c:v>
                </c:pt>
                <c:pt idx="55">
                  <c:v>21638.400000000001</c:v>
                </c:pt>
                <c:pt idx="56">
                  <c:v>21536.7</c:v>
                </c:pt>
                <c:pt idx="57">
                  <c:v>21461.7</c:v>
                </c:pt>
                <c:pt idx="58">
                  <c:v>21406.7</c:v>
                </c:pt>
                <c:pt idx="59">
                  <c:v>21290.9</c:v>
                </c:pt>
                <c:pt idx="60">
                  <c:v>21279.9</c:v>
                </c:pt>
                <c:pt idx="61">
                  <c:v>21243.7</c:v>
                </c:pt>
                <c:pt idx="62">
                  <c:v>20947.400000000001</c:v>
                </c:pt>
                <c:pt idx="63">
                  <c:v>20761.400000000001</c:v>
                </c:pt>
                <c:pt idx="64">
                  <c:v>20829.599999999999</c:v>
                </c:pt>
                <c:pt idx="65">
                  <c:v>20799.400000000001</c:v>
                </c:pt>
                <c:pt idx="66">
                  <c:v>20791.400000000001</c:v>
                </c:pt>
                <c:pt idx="67">
                  <c:v>20777.5</c:v>
                </c:pt>
                <c:pt idx="68">
                  <c:v>20747.8</c:v>
                </c:pt>
                <c:pt idx="69">
                  <c:v>20732.900000000001</c:v>
                </c:pt>
                <c:pt idx="70">
                  <c:v>20746.400000000001</c:v>
                </c:pt>
                <c:pt idx="71">
                  <c:v>20777.8</c:v>
                </c:pt>
                <c:pt idx="72">
                  <c:v>20843.7</c:v>
                </c:pt>
                <c:pt idx="73">
                  <c:v>20926.900000000001</c:v>
                </c:pt>
                <c:pt idx="74">
                  <c:v>20973.200000000001</c:v>
                </c:pt>
                <c:pt idx="75">
                  <c:v>20958.8</c:v>
                </c:pt>
                <c:pt idx="76">
                  <c:v>21019.9</c:v>
                </c:pt>
                <c:pt idx="77">
                  <c:v>21067.7</c:v>
                </c:pt>
                <c:pt idx="78">
                  <c:v>21094.400000000001</c:v>
                </c:pt>
                <c:pt idx="79">
                  <c:v>21185.8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17-46A2-9D4C-27C0A5CE5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891455"/>
        <c:axId val="462906815"/>
      </c:lineChart>
      <c:catAx>
        <c:axId val="462911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62912095"/>
        <c:crosses val="autoZero"/>
        <c:auto val="1"/>
        <c:lblAlgn val="ctr"/>
        <c:lblOffset val="100"/>
        <c:noMultiLvlLbl val="0"/>
      </c:catAx>
      <c:valAx>
        <c:axId val="46291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62911615"/>
        <c:crosses val="autoZero"/>
        <c:crossBetween val="between"/>
      </c:valAx>
      <c:valAx>
        <c:axId val="462906815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62891455"/>
        <c:crosses val="max"/>
        <c:crossBetween val="between"/>
      </c:valAx>
      <c:catAx>
        <c:axId val="462891455"/>
        <c:scaling>
          <c:orientation val="minMax"/>
        </c:scaling>
        <c:delete val="1"/>
        <c:axPos val="b"/>
        <c:majorTickMark val="out"/>
        <c:minorTickMark val="none"/>
        <c:tickLblPos val="nextTo"/>
        <c:crossAx val="462906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cadangan!$A$1</c:f>
              <c:strCache>
                <c:ptCount val="1"/>
                <c:pt idx="0">
                  <c:v>SP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cadangan!$A$2:$A$81</c:f>
              <c:numCache>
                <c:formatCode>0.00</c:formatCode>
                <c:ptCount val="80"/>
                <c:pt idx="0">
                  <c:v>2823.81</c:v>
                </c:pt>
                <c:pt idx="1">
                  <c:v>2713.83</c:v>
                </c:pt>
                <c:pt idx="2">
                  <c:v>2640.87</c:v>
                </c:pt>
                <c:pt idx="3">
                  <c:v>2648.05</c:v>
                </c:pt>
                <c:pt idx="4">
                  <c:v>2705.27</c:v>
                </c:pt>
                <c:pt idx="5">
                  <c:v>2718.37</c:v>
                </c:pt>
                <c:pt idx="6">
                  <c:v>2816.29</c:v>
                </c:pt>
                <c:pt idx="7">
                  <c:v>2901.52</c:v>
                </c:pt>
                <c:pt idx="8">
                  <c:v>2913.98</c:v>
                </c:pt>
                <c:pt idx="9">
                  <c:v>2711.74</c:v>
                </c:pt>
                <c:pt idx="10">
                  <c:v>2760.17</c:v>
                </c:pt>
                <c:pt idx="11">
                  <c:v>2506.85</c:v>
                </c:pt>
                <c:pt idx="12">
                  <c:v>2704.1</c:v>
                </c:pt>
                <c:pt idx="13">
                  <c:v>2784.49</c:v>
                </c:pt>
                <c:pt idx="14">
                  <c:v>2834.4</c:v>
                </c:pt>
                <c:pt idx="15">
                  <c:v>2945.83</c:v>
                </c:pt>
                <c:pt idx="16">
                  <c:v>2752.06</c:v>
                </c:pt>
                <c:pt idx="17">
                  <c:v>2941.76</c:v>
                </c:pt>
                <c:pt idx="18">
                  <c:v>2980.38</c:v>
                </c:pt>
                <c:pt idx="19">
                  <c:v>2926.46</c:v>
                </c:pt>
                <c:pt idx="20">
                  <c:v>2976.74</c:v>
                </c:pt>
                <c:pt idx="21">
                  <c:v>3037.56</c:v>
                </c:pt>
                <c:pt idx="22">
                  <c:v>3140.98</c:v>
                </c:pt>
                <c:pt idx="23">
                  <c:v>3230.78</c:v>
                </c:pt>
                <c:pt idx="24">
                  <c:v>3225.52</c:v>
                </c:pt>
                <c:pt idx="25">
                  <c:v>2954.22</c:v>
                </c:pt>
                <c:pt idx="26">
                  <c:v>2584.59</c:v>
                </c:pt>
                <c:pt idx="27">
                  <c:v>2912.43</c:v>
                </c:pt>
                <c:pt idx="28">
                  <c:v>3044.31</c:v>
                </c:pt>
                <c:pt idx="29">
                  <c:v>3100.29</c:v>
                </c:pt>
                <c:pt idx="30">
                  <c:v>3271.12</c:v>
                </c:pt>
                <c:pt idx="31">
                  <c:v>3500.31</c:v>
                </c:pt>
                <c:pt idx="32">
                  <c:v>3363</c:v>
                </c:pt>
                <c:pt idx="33">
                  <c:v>3269.96</c:v>
                </c:pt>
                <c:pt idx="34">
                  <c:v>3621.63</c:v>
                </c:pt>
                <c:pt idx="35">
                  <c:v>3756.07</c:v>
                </c:pt>
                <c:pt idx="36">
                  <c:v>3714.24</c:v>
                </c:pt>
                <c:pt idx="37">
                  <c:v>3811.15</c:v>
                </c:pt>
                <c:pt idx="38">
                  <c:v>3972.89</c:v>
                </c:pt>
                <c:pt idx="39">
                  <c:v>4181.17</c:v>
                </c:pt>
                <c:pt idx="40">
                  <c:v>4204.1099999999997</c:v>
                </c:pt>
                <c:pt idx="41">
                  <c:v>4297.5</c:v>
                </c:pt>
                <c:pt idx="42">
                  <c:v>4395.26</c:v>
                </c:pt>
                <c:pt idx="43">
                  <c:v>4522.68</c:v>
                </c:pt>
                <c:pt idx="44">
                  <c:v>4307.54</c:v>
                </c:pt>
                <c:pt idx="45">
                  <c:v>4605.38</c:v>
                </c:pt>
                <c:pt idx="46">
                  <c:v>4567</c:v>
                </c:pt>
                <c:pt idx="47">
                  <c:v>4766.18</c:v>
                </c:pt>
                <c:pt idx="48">
                  <c:v>4515.55</c:v>
                </c:pt>
                <c:pt idx="49">
                  <c:v>4373.9399999999996</c:v>
                </c:pt>
                <c:pt idx="50">
                  <c:v>4530.41</c:v>
                </c:pt>
                <c:pt idx="51">
                  <c:v>4131.93</c:v>
                </c:pt>
                <c:pt idx="52">
                  <c:v>4132.1499999999996</c:v>
                </c:pt>
                <c:pt idx="53">
                  <c:v>3785.38</c:v>
                </c:pt>
                <c:pt idx="54">
                  <c:v>4130.29</c:v>
                </c:pt>
                <c:pt idx="55">
                  <c:v>3955</c:v>
                </c:pt>
                <c:pt idx="56">
                  <c:v>3585.62</c:v>
                </c:pt>
                <c:pt idx="57">
                  <c:v>3871.98</c:v>
                </c:pt>
                <c:pt idx="58">
                  <c:v>4080.11</c:v>
                </c:pt>
                <c:pt idx="59">
                  <c:v>3839.5</c:v>
                </c:pt>
                <c:pt idx="60">
                  <c:v>4076.6</c:v>
                </c:pt>
                <c:pt idx="61">
                  <c:v>3970.15</c:v>
                </c:pt>
                <c:pt idx="62">
                  <c:v>4109.3100000000004</c:v>
                </c:pt>
                <c:pt idx="63">
                  <c:v>4169.4799999999996</c:v>
                </c:pt>
                <c:pt idx="64">
                  <c:v>4179.83</c:v>
                </c:pt>
                <c:pt idx="65">
                  <c:v>4450.38</c:v>
                </c:pt>
                <c:pt idx="66">
                  <c:v>4588.96</c:v>
                </c:pt>
                <c:pt idx="67">
                  <c:v>4507.66</c:v>
                </c:pt>
                <c:pt idx="68">
                  <c:v>4288.05</c:v>
                </c:pt>
                <c:pt idx="69">
                  <c:v>4193.8</c:v>
                </c:pt>
                <c:pt idx="70">
                  <c:v>4567.8</c:v>
                </c:pt>
                <c:pt idx="71">
                  <c:v>4769.83</c:v>
                </c:pt>
                <c:pt idx="72">
                  <c:v>4845.6499999999996</c:v>
                </c:pt>
                <c:pt idx="73">
                  <c:v>5096.2700000000004</c:v>
                </c:pt>
                <c:pt idx="74">
                  <c:v>5254.35</c:v>
                </c:pt>
                <c:pt idx="75">
                  <c:v>5035.6899999999996</c:v>
                </c:pt>
                <c:pt idx="76">
                  <c:v>5277.51</c:v>
                </c:pt>
                <c:pt idx="77">
                  <c:v>5460.48</c:v>
                </c:pt>
                <c:pt idx="78">
                  <c:v>5522.3</c:v>
                </c:pt>
                <c:pt idx="79">
                  <c:v>5648.4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3-444D-8D7B-2DEF86B34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806975"/>
        <c:axId val="462807935"/>
      </c:lineChart>
      <c:lineChart>
        <c:grouping val="stacked"/>
        <c:varyColors val="0"/>
        <c:ser>
          <c:idx val="1"/>
          <c:order val="1"/>
          <c:tx>
            <c:strRef>
              <c:f>cadangan!$B$1</c:f>
              <c:strCache>
                <c:ptCount val="1"/>
                <c:pt idx="0">
                  <c:v>T2SP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cadangan!$B$2:$B$81</c:f>
              <c:numCache>
                <c:formatCode>General</c:formatCode>
                <c:ptCount val="80"/>
                <c:pt idx="0">
                  <c:v>7.2896867769605196</c:v>
                </c:pt>
                <c:pt idx="1">
                  <c:v>7.2176473648841135</c:v>
                </c:pt>
                <c:pt idx="2">
                  <c:v>7.1686397449792185</c:v>
                </c:pt>
                <c:pt idx="3">
                  <c:v>7.1735073112862686</c:v>
                </c:pt>
                <c:pt idx="4">
                  <c:v>7.211949119685741</c:v>
                </c:pt>
                <c:pt idx="5">
                  <c:v>7.2206640960584449</c:v>
                </c:pt>
                <c:pt idx="6">
                  <c:v>7.2848286885761011</c:v>
                </c:pt>
                <c:pt idx="7">
                  <c:v>7.3393296061875803</c:v>
                </c:pt>
                <c:pt idx="8">
                  <c:v>7.3471962717774737</c:v>
                </c:pt>
                <c:pt idx="9">
                  <c:v>7.2162573329511854</c:v>
                </c:pt>
                <c:pt idx="10">
                  <c:v>7.2482632449911906</c:v>
                </c:pt>
                <c:pt idx="11">
                  <c:v>7.0759065243736758</c:v>
                </c:pt>
                <c:pt idx="12">
                  <c:v>7.2111692207000484</c:v>
                </c:pt>
                <c:pt idx="13">
                  <c:v>7.2641769650327541</c:v>
                </c:pt>
                <c:pt idx="14">
                  <c:v>7.2965117273977178</c:v>
                </c:pt>
                <c:pt idx="15">
                  <c:v>7.3671908431180801</c:v>
                </c:pt>
                <c:pt idx="16">
                  <c:v>7.2429331117260611</c:v>
                </c:pt>
                <c:pt idx="17">
                  <c:v>7.3646448701347849</c:v>
                </c:pt>
                <c:pt idx="18">
                  <c:v>7.3886979012256386</c:v>
                </c:pt>
                <c:pt idx="19">
                  <c:v>7.3550503161314884</c:v>
                </c:pt>
                <c:pt idx="20">
                  <c:v>7.3864408747002637</c:v>
                </c:pt>
                <c:pt idx="21">
                  <c:v>7.4238846664658951</c:v>
                </c:pt>
                <c:pt idx="22">
                  <c:v>7.4862839010607694</c:v>
                </c:pt>
                <c:pt idx="23">
                  <c:v>7.539227463002752</c:v>
                </c:pt>
                <c:pt idx="24">
                  <c:v>7.5361569528624521</c:v>
                </c:pt>
                <c:pt idx="25">
                  <c:v>7.3724308624508215</c:v>
                </c:pt>
                <c:pt idx="26">
                  <c:v>7.1301376625707009</c:v>
                </c:pt>
                <c:pt idx="27">
                  <c:v>7.3462190493432713</c:v>
                </c:pt>
                <c:pt idx="28">
                  <c:v>7.4280055329689469</c:v>
                </c:pt>
                <c:pt idx="29">
                  <c:v>7.461919849762257</c:v>
                </c:pt>
                <c:pt idx="30">
                  <c:v>7.5626520445820109</c:v>
                </c:pt>
                <c:pt idx="31">
                  <c:v>7.6917759816036364</c:v>
                </c:pt>
                <c:pt idx="32">
                  <c:v>7.6152070667574048</c:v>
                </c:pt>
                <c:pt idx="33">
                  <c:v>7.5619814911308278</c:v>
                </c:pt>
                <c:pt idx="34">
                  <c:v>7.7575756560807854</c:v>
                </c:pt>
                <c:pt idx="35">
                  <c:v>7.828587667800238</c:v>
                </c:pt>
                <c:pt idx="36">
                  <c:v>7.8067000054482474</c:v>
                </c:pt>
                <c:pt idx="37">
                  <c:v>7.8571312976024821</c:v>
                </c:pt>
                <c:pt idx="38">
                  <c:v>7.9391980360077881</c:v>
                </c:pt>
                <c:pt idx="39">
                  <c:v>8.041266516114888</c:v>
                </c:pt>
                <c:pt idx="40">
                  <c:v>8.0522735031061856</c:v>
                </c:pt>
                <c:pt idx="41">
                  <c:v>8.0966239970889387</c:v>
                </c:pt>
                <c:pt idx="42">
                  <c:v>8.1422820563460157</c:v>
                </c:pt>
                <c:pt idx="43">
                  <c:v>8.2006629976041427</c:v>
                </c:pt>
                <c:pt idx="44">
                  <c:v>8.1013487780268054</c:v>
                </c:pt>
                <c:pt idx="45">
                  <c:v>8.237897190876101</c:v>
                </c:pt>
                <c:pt idx="46">
                  <c:v>8.2206801856958176</c:v>
                </c:pt>
                <c:pt idx="47">
                  <c:v>8.3088823573039203</c:v>
                </c:pt>
                <c:pt idx="48">
                  <c:v>8.1974290010503914</c:v>
                </c:pt>
                <c:pt idx="49">
                  <c:v>8.1323901433944119</c:v>
                </c:pt>
                <c:pt idx="50">
                  <c:v>8.2041648226147625</c:v>
                </c:pt>
                <c:pt idx="51">
                  <c:v>8.0174865282193881</c:v>
                </c:pt>
                <c:pt idx="52">
                  <c:v>8.0175932466185085</c:v>
                </c:pt>
                <c:pt idx="53">
                  <c:v>7.8438155187352736</c:v>
                </c:pt>
                <c:pt idx="54">
                  <c:v>8.0166908567401993</c:v>
                </c:pt>
                <c:pt idx="55">
                  <c:v>7.9302453136154938</c:v>
                </c:pt>
                <c:pt idx="56">
                  <c:v>7.7382198702394582</c:v>
                </c:pt>
                <c:pt idx="57">
                  <c:v>7.8882974106027488</c:v>
                </c:pt>
                <c:pt idx="58">
                  <c:v>7.992229898049847</c:v>
                </c:pt>
                <c:pt idx="59">
                  <c:v>7.8717024238935167</c:v>
                </c:pt>
                <c:pt idx="60">
                  <c:v>7.9905104725110263</c:v>
                </c:pt>
                <c:pt idx="61">
                  <c:v>7.9378288166914404</c:v>
                </c:pt>
                <c:pt idx="62">
                  <c:v>8.0064911189210246</c:v>
                </c:pt>
                <c:pt idx="63">
                  <c:v>8.0356400333662901</c:v>
                </c:pt>
                <c:pt idx="64">
                  <c:v>8.0406221634356747</c:v>
                </c:pt>
                <c:pt idx="65">
                  <c:v>8.167690523045529</c:v>
                </c:pt>
                <c:pt idx="66">
                  <c:v>8.23054451297069</c:v>
                </c:pt>
                <c:pt idx="67">
                  <c:v>8.1938458197535731</c:v>
                </c:pt>
                <c:pt idx="68">
                  <c:v>8.0921692983637143</c:v>
                </c:pt>
                <c:pt idx="69">
                  <c:v>8.047332183991827</c:v>
                </c:pt>
                <c:pt idx="70">
                  <c:v>8.2210401655616199</c:v>
                </c:pt>
                <c:pt idx="71">
                  <c:v>8.3104726620696976</c:v>
                </c:pt>
                <c:pt idx="72">
                  <c:v>8.3433028951375636</c:v>
                </c:pt>
                <c:pt idx="73">
                  <c:v>8.4491516902660138</c:v>
                </c:pt>
                <c:pt idx="74">
                  <c:v>8.5139236176612307</c:v>
                </c:pt>
                <c:pt idx="75">
                  <c:v>8.4239299487328267</c:v>
                </c:pt>
                <c:pt idx="76">
                  <c:v>8.5232900179002797</c:v>
                </c:pt>
                <c:pt idx="77">
                  <c:v>8.5962236318068843</c:v>
                </c:pt>
                <c:pt idx="78">
                  <c:v>8.6204512266879156</c:v>
                </c:pt>
                <c:pt idx="79">
                  <c:v>8.6692466856460104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3-444D-8D7B-2DEF86B34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125487"/>
        <c:axId val="405111087"/>
      </c:lineChart>
      <c:catAx>
        <c:axId val="46280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62807935"/>
        <c:crosses val="autoZero"/>
        <c:auto val="1"/>
        <c:lblAlgn val="ctr"/>
        <c:lblOffset val="100"/>
        <c:noMultiLvlLbl val="0"/>
      </c:catAx>
      <c:valAx>
        <c:axId val="46280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1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62806975"/>
        <c:crosses val="autoZero"/>
        <c:crossBetween val="between"/>
      </c:valAx>
      <c:valAx>
        <c:axId val="4051110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05125487"/>
        <c:crosses val="max"/>
        <c:crossBetween val="between"/>
      </c:valAx>
      <c:catAx>
        <c:axId val="405125487"/>
        <c:scaling>
          <c:orientation val="minMax"/>
        </c:scaling>
        <c:delete val="1"/>
        <c:axPos val="b"/>
        <c:majorTickMark val="out"/>
        <c:minorTickMark val="none"/>
        <c:tickLblPos val="nextTo"/>
        <c:crossAx val="405111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cadangan!$A$1</c:f>
              <c:strCache>
                <c:ptCount val="1"/>
                <c:pt idx="0">
                  <c:v>SP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cadangan!$A$2:$A$81</c:f>
              <c:numCache>
                <c:formatCode>0.00</c:formatCode>
                <c:ptCount val="80"/>
                <c:pt idx="0">
                  <c:v>2823.81</c:v>
                </c:pt>
                <c:pt idx="1">
                  <c:v>2713.83</c:v>
                </c:pt>
                <c:pt idx="2">
                  <c:v>2640.87</c:v>
                </c:pt>
                <c:pt idx="3">
                  <c:v>2648.05</c:v>
                </c:pt>
                <c:pt idx="4">
                  <c:v>2705.27</c:v>
                </c:pt>
                <c:pt idx="5">
                  <c:v>2718.37</c:v>
                </c:pt>
                <c:pt idx="6">
                  <c:v>2816.29</c:v>
                </c:pt>
                <c:pt idx="7">
                  <c:v>2901.52</c:v>
                </c:pt>
                <c:pt idx="8">
                  <c:v>2913.98</c:v>
                </c:pt>
                <c:pt idx="9">
                  <c:v>2711.74</c:v>
                </c:pt>
                <c:pt idx="10">
                  <c:v>2760.17</c:v>
                </c:pt>
                <c:pt idx="11">
                  <c:v>2506.85</c:v>
                </c:pt>
                <c:pt idx="12">
                  <c:v>2704.1</c:v>
                </c:pt>
                <c:pt idx="13">
                  <c:v>2784.49</c:v>
                </c:pt>
                <c:pt idx="14">
                  <c:v>2834.4</c:v>
                </c:pt>
                <c:pt idx="15">
                  <c:v>2945.83</c:v>
                </c:pt>
                <c:pt idx="16">
                  <c:v>2752.06</c:v>
                </c:pt>
                <c:pt idx="17">
                  <c:v>2941.76</c:v>
                </c:pt>
                <c:pt idx="18">
                  <c:v>2980.38</c:v>
                </c:pt>
                <c:pt idx="19">
                  <c:v>2926.46</c:v>
                </c:pt>
                <c:pt idx="20">
                  <c:v>2976.74</c:v>
                </c:pt>
                <c:pt idx="21">
                  <c:v>3037.56</c:v>
                </c:pt>
                <c:pt idx="22">
                  <c:v>3140.98</c:v>
                </c:pt>
                <c:pt idx="23">
                  <c:v>3230.78</c:v>
                </c:pt>
                <c:pt idx="24">
                  <c:v>3225.52</c:v>
                </c:pt>
                <c:pt idx="25">
                  <c:v>2954.22</c:v>
                </c:pt>
                <c:pt idx="26">
                  <c:v>2584.59</c:v>
                </c:pt>
                <c:pt idx="27">
                  <c:v>2912.43</c:v>
                </c:pt>
                <c:pt idx="28">
                  <c:v>3044.31</c:v>
                </c:pt>
                <c:pt idx="29">
                  <c:v>3100.29</c:v>
                </c:pt>
                <c:pt idx="30">
                  <c:v>3271.12</c:v>
                </c:pt>
                <c:pt idx="31">
                  <c:v>3500.31</c:v>
                </c:pt>
                <c:pt idx="32">
                  <c:v>3363</c:v>
                </c:pt>
                <c:pt idx="33">
                  <c:v>3269.96</c:v>
                </c:pt>
                <c:pt idx="34">
                  <c:v>3621.63</c:v>
                </c:pt>
                <c:pt idx="35">
                  <c:v>3756.07</c:v>
                </c:pt>
                <c:pt idx="36">
                  <c:v>3714.24</c:v>
                </c:pt>
                <c:pt idx="37">
                  <c:v>3811.15</c:v>
                </c:pt>
                <c:pt idx="38">
                  <c:v>3972.89</c:v>
                </c:pt>
                <c:pt idx="39">
                  <c:v>4181.17</c:v>
                </c:pt>
                <c:pt idx="40">
                  <c:v>4204.1099999999997</c:v>
                </c:pt>
                <c:pt idx="41">
                  <c:v>4297.5</c:v>
                </c:pt>
                <c:pt idx="42">
                  <c:v>4395.26</c:v>
                </c:pt>
                <c:pt idx="43">
                  <c:v>4522.68</c:v>
                </c:pt>
                <c:pt idx="44">
                  <c:v>4307.54</c:v>
                </c:pt>
                <c:pt idx="45">
                  <c:v>4605.38</c:v>
                </c:pt>
                <c:pt idx="46">
                  <c:v>4567</c:v>
                </c:pt>
                <c:pt idx="47">
                  <c:v>4766.18</c:v>
                </c:pt>
                <c:pt idx="48">
                  <c:v>4515.55</c:v>
                </c:pt>
                <c:pt idx="49">
                  <c:v>4373.9399999999996</c:v>
                </c:pt>
                <c:pt idx="50">
                  <c:v>4530.41</c:v>
                </c:pt>
                <c:pt idx="51">
                  <c:v>4131.93</c:v>
                </c:pt>
                <c:pt idx="52">
                  <c:v>4132.1499999999996</c:v>
                </c:pt>
                <c:pt idx="53">
                  <c:v>3785.38</c:v>
                </c:pt>
                <c:pt idx="54">
                  <c:v>4130.29</c:v>
                </c:pt>
                <c:pt idx="55">
                  <c:v>3955</c:v>
                </c:pt>
                <c:pt idx="56">
                  <c:v>3585.62</c:v>
                </c:pt>
                <c:pt idx="57">
                  <c:v>3871.98</c:v>
                </c:pt>
                <c:pt idx="58">
                  <c:v>4080.11</c:v>
                </c:pt>
                <c:pt idx="59">
                  <c:v>3839.5</c:v>
                </c:pt>
                <c:pt idx="60">
                  <c:v>4076.6</c:v>
                </c:pt>
                <c:pt idx="61">
                  <c:v>3970.15</c:v>
                </c:pt>
                <c:pt idx="62">
                  <c:v>4109.3100000000004</c:v>
                </c:pt>
                <c:pt idx="63">
                  <c:v>4169.4799999999996</c:v>
                </c:pt>
                <c:pt idx="64">
                  <c:v>4179.83</c:v>
                </c:pt>
                <c:pt idx="65">
                  <c:v>4450.38</c:v>
                </c:pt>
                <c:pt idx="66">
                  <c:v>4588.96</c:v>
                </c:pt>
                <c:pt idx="67">
                  <c:v>4507.66</c:v>
                </c:pt>
                <c:pt idx="68">
                  <c:v>4288.05</c:v>
                </c:pt>
                <c:pt idx="69">
                  <c:v>4193.8</c:v>
                </c:pt>
                <c:pt idx="70">
                  <c:v>4567.8</c:v>
                </c:pt>
                <c:pt idx="71">
                  <c:v>4769.83</c:v>
                </c:pt>
                <c:pt idx="72">
                  <c:v>4845.6499999999996</c:v>
                </c:pt>
                <c:pt idx="73">
                  <c:v>5096.2700000000004</c:v>
                </c:pt>
                <c:pt idx="74">
                  <c:v>5254.35</c:v>
                </c:pt>
                <c:pt idx="75">
                  <c:v>5035.6899999999996</c:v>
                </c:pt>
                <c:pt idx="76">
                  <c:v>5277.51</c:v>
                </c:pt>
                <c:pt idx="77">
                  <c:v>5460.48</c:v>
                </c:pt>
                <c:pt idx="78">
                  <c:v>5522.3</c:v>
                </c:pt>
                <c:pt idx="79">
                  <c:v>5648.4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CA-457D-8C96-5888947CD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142623"/>
        <c:axId val="329148863"/>
      </c:lineChart>
      <c:lineChart>
        <c:grouping val="stacked"/>
        <c:varyColors val="0"/>
        <c:ser>
          <c:idx val="1"/>
          <c:order val="1"/>
          <c:tx>
            <c:strRef>
              <c:f>cadangan!$B$1</c:f>
              <c:strCache>
                <c:ptCount val="1"/>
                <c:pt idx="0">
                  <c:v>T2SP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cadangan!$B$2:$B$81</c:f>
              <c:numCache>
                <c:formatCode>General</c:formatCode>
                <c:ptCount val="80"/>
                <c:pt idx="0">
                  <c:v>7.2896867769605196</c:v>
                </c:pt>
                <c:pt idx="1">
                  <c:v>7.2176473648841135</c:v>
                </c:pt>
                <c:pt idx="2">
                  <c:v>7.1686397449792185</c:v>
                </c:pt>
                <c:pt idx="3">
                  <c:v>7.1735073112862686</c:v>
                </c:pt>
                <c:pt idx="4">
                  <c:v>7.211949119685741</c:v>
                </c:pt>
                <c:pt idx="5">
                  <c:v>7.2206640960584449</c:v>
                </c:pt>
                <c:pt idx="6">
                  <c:v>7.2848286885761011</c:v>
                </c:pt>
                <c:pt idx="7">
                  <c:v>7.3393296061875803</c:v>
                </c:pt>
                <c:pt idx="8">
                  <c:v>7.3471962717774737</c:v>
                </c:pt>
                <c:pt idx="9">
                  <c:v>7.2162573329511854</c:v>
                </c:pt>
                <c:pt idx="10">
                  <c:v>7.2482632449911906</c:v>
                </c:pt>
                <c:pt idx="11">
                  <c:v>7.0759065243736758</c:v>
                </c:pt>
                <c:pt idx="12">
                  <c:v>7.2111692207000484</c:v>
                </c:pt>
                <c:pt idx="13">
                  <c:v>7.2641769650327541</c:v>
                </c:pt>
                <c:pt idx="14">
                  <c:v>7.2965117273977178</c:v>
                </c:pt>
                <c:pt idx="15">
                  <c:v>7.3671908431180801</c:v>
                </c:pt>
                <c:pt idx="16">
                  <c:v>7.2429331117260611</c:v>
                </c:pt>
                <c:pt idx="17">
                  <c:v>7.3646448701347849</c:v>
                </c:pt>
                <c:pt idx="18">
                  <c:v>7.3886979012256386</c:v>
                </c:pt>
                <c:pt idx="19">
                  <c:v>7.3550503161314884</c:v>
                </c:pt>
                <c:pt idx="20">
                  <c:v>7.3864408747002637</c:v>
                </c:pt>
                <c:pt idx="21">
                  <c:v>7.4238846664658951</c:v>
                </c:pt>
                <c:pt idx="22">
                  <c:v>7.4862839010607694</c:v>
                </c:pt>
                <c:pt idx="23">
                  <c:v>7.539227463002752</c:v>
                </c:pt>
                <c:pt idx="24">
                  <c:v>7.5361569528624521</c:v>
                </c:pt>
                <c:pt idx="25">
                  <c:v>7.3724308624508215</c:v>
                </c:pt>
                <c:pt idx="26">
                  <c:v>7.1301376625707009</c:v>
                </c:pt>
                <c:pt idx="27">
                  <c:v>7.3462190493432713</c:v>
                </c:pt>
                <c:pt idx="28">
                  <c:v>7.4280055329689469</c:v>
                </c:pt>
                <c:pt idx="29">
                  <c:v>7.461919849762257</c:v>
                </c:pt>
                <c:pt idx="30">
                  <c:v>7.5626520445820109</c:v>
                </c:pt>
                <c:pt idx="31">
                  <c:v>7.6917759816036364</c:v>
                </c:pt>
                <c:pt idx="32">
                  <c:v>7.6152070667574048</c:v>
                </c:pt>
                <c:pt idx="33">
                  <c:v>7.5619814911308278</c:v>
                </c:pt>
                <c:pt idx="34">
                  <c:v>7.7575756560807854</c:v>
                </c:pt>
                <c:pt idx="35">
                  <c:v>7.828587667800238</c:v>
                </c:pt>
                <c:pt idx="36">
                  <c:v>7.8067000054482474</c:v>
                </c:pt>
                <c:pt idx="37">
                  <c:v>7.8571312976024821</c:v>
                </c:pt>
                <c:pt idx="38">
                  <c:v>7.9391980360077881</c:v>
                </c:pt>
                <c:pt idx="39">
                  <c:v>8.041266516114888</c:v>
                </c:pt>
                <c:pt idx="40">
                  <c:v>8.0522735031061856</c:v>
                </c:pt>
                <c:pt idx="41">
                  <c:v>8.0966239970889387</c:v>
                </c:pt>
                <c:pt idx="42">
                  <c:v>8.1422820563460157</c:v>
                </c:pt>
                <c:pt idx="43">
                  <c:v>8.2006629976041427</c:v>
                </c:pt>
                <c:pt idx="44">
                  <c:v>8.1013487780268054</c:v>
                </c:pt>
                <c:pt idx="45">
                  <c:v>8.237897190876101</c:v>
                </c:pt>
                <c:pt idx="46">
                  <c:v>8.2206801856958176</c:v>
                </c:pt>
                <c:pt idx="47">
                  <c:v>8.3088823573039203</c:v>
                </c:pt>
                <c:pt idx="48">
                  <c:v>8.1974290010503914</c:v>
                </c:pt>
                <c:pt idx="49">
                  <c:v>8.1323901433944119</c:v>
                </c:pt>
                <c:pt idx="50">
                  <c:v>8.2041648226147625</c:v>
                </c:pt>
                <c:pt idx="51">
                  <c:v>8.0174865282193881</c:v>
                </c:pt>
                <c:pt idx="52">
                  <c:v>8.0175932466185085</c:v>
                </c:pt>
                <c:pt idx="53">
                  <c:v>7.8438155187352736</c:v>
                </c:pt>
                <c:pt idx="54">
                  <c:v>8.0166908567401993</c:v>
                </c:pt>
                <c:pt idx="55">
                  <c:v>7.9302453136154938</c:v>
                </c:pt>
                <c:pt idx="56">
                  <c:v>7.7382198702394582</c:v>
                </c:pt>
                <c:pt idx="57">
                  <c:v>7.8882974106027488</c:v>
                </c:pt>
                <c:pt idx="58">
                  <c:v>7.992229898049847</c:v>
                </c:pt>
                <c:pt idx="59">
                  <c:v>7.8717024238935167</c:v>
                </c:pt>
                <c:pt idx="60">
                  <c:v>7.9905104725110263</c:v>
                </c:pt>
                <c:pt idx="61">
                  <c:v>7.9378288166914404</c:v>
                </c:pt>
                <c:pt idx="62">
                  <c:v>8.0064911189210246</c:v>
                </c:pt>
                <c:pt idx="63">
                  <c:v>8.0356400333662901</c:v>
                </c:pt>
                <c:pt idx="64">
                  <c:v>8.0406221634356747</c:v>
                </c:pt>
                <c:pt idx="65">
                  <c:v>8.167690523045529</c:v>
                </c:pt>
                <c:pt idx="66">
                  <c:v>8.23054451297069</c:v>
                </c:pt>
                <c:pt idx="67">
                  <c:v>8.1938458197535731</c:v>
                </c:pt>
                <c:pt idx="68">
                  <c:v>8.0921692983637143</c:v>
                </c:pt>
                <c:pt idx="69">
                  <c:v>8.047332183991827</c:v>
                </c:pt>
                <c:pt idx="70">
                  <c:v>8.2210401655616199</c:v>
                </c:pt>
                <c:pt idx="71">
                  <c:v>8.3104726620696976</c:v>
                </c:pt>
                <c:pt idx="72">
                  <c:v>8.3433028951375636</c:v>
                </c:pt>
                <c:pt idx="73">
                  <c:v>8.4491516902660138</c:v>
                </c:pt>
                <c:pt idx="74">
                  <c:v>8.5139236176612307</c:v>
                </c:pt>
                <c:pt idx="75">
                  <c:v>8.4239299487328267</c:v>
                </c:pt>
                <c:pt idx="76">
                  <c:v>8.5232900179002797</c:v>
                </c:pt>
                <c:pt idx="77">
                  <c:v>8.5962236318068843</c:v>
                </c:pt>
                <c:pt idx="78">
                  <c:v>8.6204512266879156</c:v>
                </c:pt>
                <c:pt idx="79">
                  <c:v>8.6692466856460104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CA-457D-8C96-5888947CD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802655"/>
        <c:axId val="462801695"/>
      </c:lineChart>
      <c:catAx>
        <c:axId val="329142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29148863"/>
        <c:crosses val="autoZero"/>
        <c:auto val="1"/>
        <c:lblAlgn val="ctr"/>
        <c:lblOffset val="100"/>
        <c:noMultiLvlLbl val="0"/>
      </c:catAx>
      <c:valAx>
        <c:axId val="32914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29142623"/>
        <c:crosses val="autoZero"/>
        <c:crossBetween val="between"/>
      </c:valAx>
      <c:valAx>
        <c:axId val="4628016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62802655"/>
        <c:crosses val="max"/>
        <c:crossBetween val="between"/>
      </c:valAx>
      <c:catAx>
        <c:axId val="462802655"/>
        <c:scaling>
          <c:orientation val="minMax"/>
        </c:scaling>
        <c:delete val="1"/>
        <c:axPos val="b"/>
        <c:majorTickMark val="out"/>
        <c:minorTickMark val="none"/>
        <c:tickLblPos val="nextTo"/>
        <c:crossAx val="462801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cadangan!$AE$1</c:f>
              <c:strCache>
                <c:ptCount val="1"/>
                <c:pt idx="0">
                  <c:v>Nilai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cadangan!$AE$2:$AE$154</c:f>
              <c:numCache>
                <c:formatCode>General</c:formatCode>
                <c:ptCount val="153"/>
                <c:pt idx="0">
                  <c:v>3142.6</c:v>
                </c:pt>
                <c:pt idx="1">
                  <c:v>3355.5</c:v>
                </c:pt>
                <c:pt idx="2">
                  <c:v>3486.1</c:v>
                </c:pt>
                <c:pt idx="3">
                  <c:v>3560.7</c:v>
                </c:pt>
                <c:pt idx="4">
                  <c:v>3724.9</c:v>
                </c:pt>
                <c:pt idx="5">
                  <c:v>2899.7</c:v>
                </c:pt>
                <c:pt idx="6">
                  <c:v>2919.7</c:v>
                </c:pt>
                <c:pt idx="7">
                  <c:v>2783</c:v>
                </c:pt>
                <c:pt idx="8">
                  <c:v>2770.5</c:v>
                </c:pt>
                <c:pt idx="9">
                  <c:v>2650.6</c:v>
                </c:pt>
                <c:pt idx="10">
                  <c:v>2717.1</c:v>
                </c:pt>
                <c:pt idx="11">
                  <c:v>2966.9</c:v>
                </c:pt>
                <c:pt idx="12">
                  <c:v>2653.7</c:v>
                </c:pt>
                <c:pt idx="13">
                  <c:v>2567.6</c:v>
                </c:pt>
                <c:pt idx="14">
                  <c:v>2928.3</c:v>
                </c:pt>
                <c:pt idx="15">
                  <c:v>2452.1</c:v>
                </c:pt>
                <c:pt idx="16">
                  <c:v>2926.2</c:v>
                </c:pt>
                <c:pt idx="17">
                  <c:v>2800.4</c:v>
                </c:pt>
                <c:pt idx="18">
                  <c:v>2282.6</c:v>
                </c:pt>
                <c:pt idx="19">
                  <c:v>2720.5</c:v>
                </c:pt>
                <c:pt idx="20">
                  <c:v>2414.6999999999998</c:v>
                </c:pt>
                <c:pt idx="21">
                  <c:v>2715.2</c:v>
                </c:pt>
                <c:pt idx="22">
                  <c:v>2766.8</c:v>
                </c:pt>
                <c:pt idx="23">
                  <c:v>3405.1</c:v>
                </c:pt>
                <c:pt idx="24">
                  <c:v>2501.6999999999998</c:v>
                </c:pt>
                <c:pt idx="25">
                  <c:v>2729.1</c:v>
                </c:pt>
                <c:pt idx="26">
                  <c:v>2641.3</c:v>
                </c:pt>
                <c:pt idx="27">
                  <c:v>2651.4</c:v>
                </c:pt>
                <c:pt idx="28">
                  <c:v>2375.6999999999998</c:v>
                </c:pt>
                <c:pt idx="29">
                  <c:v>2786</c:v>
                </c:pt>
                <c:pt idx="30">
                  <c:v>2496.3000000000002</c:v>
                </c:pt>
                <c:pt idx="31">
                  <c:v>2598.1999999999998</c:v>
                </c:pt>
                <c:pt idx="32">
                  <c:v>2622.6</c:v>
                </c:pt>
                <c:pt idx="33">
                  <c:v>2413.1999999999998</c:v>
                </c:pt>
                <c:pt idx="34">
                  <c:v>2035.4</c:v>
                </c:pt>
                <c:pt idx="35">
                  <c:v>2168</c:v>
                </c:pt>
                <c:pt idx="36">
                  <c:v>1959</c:v>
                </c:pt>
                <c:pt idx="37">
                  <c:v>1753.4</c:v>
                </c:pt>
                <c:pt idx="38">
                  <c:v>1988.9</c:v>
                </c:pt>
                <c:pt idx="39">
                  <c:v>1458.2</c:v>
                </c:pt>
                <c:pt idx="40">
                  <c:v>1392.7</c:v>
                </c:pt>
                <c:pt idx="41">
                  <c:v>1439.9</c:v>
                </c:pt>
                <c:pt idx="42">
                  <c:v>1421.8</c:v>
                </c:pt>
                <c:pt idx="43">
                  <c:v>1530.9</c:v>
                </c:pt>
                <c:pt idx="44">
                  <c:v>1453.6</c:v>
                </c:pt>
                <c:pt idx="45">
                  <c:v>1379.6</c:v>
                </c:pt>
                <c:pt idx="46">
                  <c:v>1497</c:v>
                </c:pt>
                <c:pt idx="47">
                  <c:v>1299.5</c:v>
                </c:pt>
                <c:pt idx="48">
                  <c:v>1108</c:v>
                </c:pt>
                <c:pt idx="49">
                  <c:v>1113.3</c:v>
                </c:pt>
                <c:pt idx="50">
                  <c:v>1239.3</c:v>
                </c:pt>
                <c:pt idx="51">
                  <c:v>891.7</c:v>
                </c:pt>
                <c:pt idx="52">
                  <c:v>958</c:v>
                </c:pt>
                <c:pt idx="53">
                  <c:v>1187.4000000000001</c:v>
                </c:pt>
                <c:pt idx="54">
                  <c:v>998.6</c:v>
                </c:pt>
                <c:pt idx="55">
                  <c:v>1138.5999999999999</c:v>
                </c:pt>
                <c:pt idx="56">
                  <c:v>1061.5</c:v>
                </c:pt>
                <c:pt idx="57">
                  <c:v>1055.9000000000001</c:v>
                </c:pt>
                <c:pt idx="58">
                  <c:v>1103</c:v>
                </c:pt>
                <c:pt idx="59">
                  <c:v>1250.2</c:v>
                </c:pt>
                <c:pt idx="60">
                  <c:v>1278.5999999999999</c:v>
                </c:pt>
                <c:pt idx="61">
                  <c:v>1208.5999999999999</c:v>
                </c:pt>
                <c:pt idx="62">
                  <c:v>1516.2</c:v>
                </c:pt>
                <c:pt idx="63">
                  <c:v>1036.2</c:v>
                </c:pt>
                <c:pt idx="64">
                  <c:v>1294.4000000000001</c:v>
                </c:pt>
                <c:pt idx="65">
                  <c:v>1276.3</c:v>
                </c:pt>
                <c:pt idx="66">
                  <c:v>1165</c:v>
                </c:pt>
                <c:pt idx="67">
                  <c:v>1233.5999999999999</c:v>
                </c:pt>
                <c:pt idx="68">
                  <c:v>1455</c:v>
                </c:pt>
                <c:pt idx="69">
                  <c:v>1488.2</c:v>
                </c:pt>
                <c:pt idx="70">
                  <c:v>1295.8</c:v>
                </c:pt>
                <c:pt idx="71">
                  <c:v>1496.5</c:v>
                </c:pt>
                <c:pt idx="72">
                  <c:v>1342.7</c:v>
                </c:pt>
                <c:pt idx="73">
                  <c:v>1388.8</c:v>
                </c:pt>
                <c:pt idx="74">
                  <c:v>1256.0999999999999</c:v>
                </c:pt>
                <c:pt idx="75">
                  <c:v>1178.8</c:v>
                </c:pt>
                <c:pt idx="76">
                  <c:v>1633.1</c:v>
                </c:pt>
                <c:pt idx="77">
                  <c:v>1646.7</c:v>
                </c:pt>
                <c:pt idx="78">
                  <c:v>1416.5</c:v>
                </c:pt>
                <c:pt idx="79">
                  <c:v>1423.7</c:v>
                </c:pt>
                <c:pt idx="80">
                  <c:v>1320.2</c:v>
                </c:pt>
                <c:pt idx="81">
                  <c:v>1545.3</c:v>
                </c:pt>
                <c:pt idx="82">
                  <c:v>1312.9</c:v>
                </c:pt>
                <c:pt idx="83">
                  <c:v>1706.8</c:v>
                </c:pt>
                <c:pt idx="84">
                  <c:v>1131.3</c:v>
                </c:pt>
                <c:pt idx="85">
                  <c:v>1050.8</c:v>
                </c:pt>
                <c:pt idx="86">
                  <c:v>1077.4000000000001</c:v>
                </c:pt>
                <c:pt idx="87">
                  <c:v>688.1</c:v>
                </c:pt>
                <c:pt idx="88">
                  <c:v>1054.2</c:v>
                </c:pt>
                <c:pt idx="89">
                  <c:v>714.1</c:v>
                </c:pt>
                <c:pt idx="90">
                  <c:v>1400.5</c:v>
                </c:pt>
                <c:pt idx="91">
                  <c:v>842.9</c:v>
                </c:pt>
                <c:pt idx="92">
                  <c:v>803</c:v>
                </c:pt>
                <c:pt idx="93">
                  <c:v>860</c:v>
                </c:pt>
                <c:pt idx="94">
                  <c:v>1033.7</c:v>
                </c:pt>
                <c:pt idx="95">
                  <c:v>1133.3</c:v>
                </c:pt>
                <c:pt idx="96">
                  <c:v>815.3</c:v>
                </c:pt>
                <c:pt idx="97">
                  <c:v>805.2</c:v>
                </c:pt>
                <c:pt idx="98">
                  <c:v>617.4</c:v>
                </c:pt>
                <c:pt idx="99">
                  <c:v>562.1</c:v>
                </c:pt>
                <c:pt idx="100">
                  <c:v>560.9</c:v>
                </c:pt>
                <c:pt idx="101">
                  <c:v>567.4</c:v>
                </c:pt>
                <c:pt idx="102">
                  <c:v>660.4</c:v>
                </c:pt>
                <c:pt idx="103">
                  <c:v>599.6</c:v>
                </c:pt>
                <c:pt idx="104">
                  <c:v>667.3</c:v>
                </c:pt>
                <c:pt idx="105">
                  <c:v>614.5</c:v>
                </c:pt>
                <c:pt idx="106">
                  <c:v>762.2</c:v>
                </c:pt>
                <c:pt idx="107">
                  <c:v>1018.8</c:v>
                </c:pt>
                <c:pt idx="108">
                  <c:v>883.8</c:v>
                </c:pt>
                <c:pt idx="109">
                  <c:v>860.6</c:v>
                </c:pt>
                <c:pt idx="110">
                  <c:v>951.5</c:v>
                </c:pt>
                <c:pt idx="111">
                  <c:v>941.7</c:v>
                </c:pt>
                <c:pt idx="112">
                  <c:v>940.6</c:v>
                </c:pt>
                <c:pt idx="113">
                  <c:v>1239.3</c:v>
                </c:pt>
                <c:pt idx="114">
                  <c:v>978.8</c:v>
                </c:pt>
                <c:pt idx="115">
                  <c:v>1044.5999999999999</c:v>
                </c:pt>
                <c:pt idx="116">
                  <c:v>934.8</c:v>
                </c:pt>
                <c:pt idx="117">
                  <c:v>1064.3</c:v>
                </c:pt>
                <c:pt idx="118">
                  <c:v>1339.5</c:v>
                </c:pt>
                <c:pt idx="119">
                  <c:v>1068</c:v>
                </c:pt>
                <c:pt idx="120">
                  <c:v>903.5</c:v>
                </c:pt>
                <c:pt idx="121">
                  <c:v>1029.5999999999999</c:v>
                </c:pt>
                <c:pt idx="122">
                  <c:v>1493.3</c:v>
                </c:pt>
                <c:pt idx="123">
                  <c:v>1466.6</c:v>
                </c:pt>
                <c:pt idx="124">
                  <c:v>1498.1</c:v>
                </c:pt>
                <c:pt idx="125">
                  <c:v>1551.8</c:v>
                </c:pt>
                <c:pt idx="126">
                  <c:v>1287.5999999999999</c:v>
                </c:pt>
                <c:pt idx="127">
                  <c:v>1662.9</c:v>
                </c:pt>
                <c:pt idx="128">
                  <c:v>1259</c:v>
                </c:pt>
                <c:pt idx="129">
                  <c:v>1286.3</c:v>
                </c:pt>
                <c:pt idx="130">
                  <c:v>1101.9000000000001</c:v>
                </c:pt>
                <c:pt idx="131">
                  <c:v>1457.8</c:v>
                </c:pt>
                <c:pt idx="132">
                  <c:v>1487.9</c:v>
                </c:pt>
                <c:pt idx="133">
                  <c:v>1186.5</c:v>
                </c:pt>
                <c:pt idx="134">
                  <c:v>1338.2</c:v>
                </c:pt>
                <c:pt idx="135">
                  <c:v>1258.7</c:v>
                </c:pt>
                <c:pt idx="136">
                  <c:v>1308.5999999999999</c:v>
                </c:pt>
                <c:pt idx="137">
                  <c:v>1259.7</c:v>
                </c:pt>
                <c:pt idx="138">
                  <c:v>1226.8</c:v>
                </c:pt>
                <c:pt idx="139">
                  <c:v>1318.8</c:v>
                </c:pt>
                <c:pt idx="140">
                  <c:v>1405.1</c:v>
                </c:pt>
                <c:pt idx="141">
                  <c:v>1370.4</c:v>
                </c:pt>
                <c:pt idx="142">
                  <c:v>1282.2</c:v>
                </c:pt>
                <c:pt idx="143">
                  <c:v>1478.9</c:v>
                </c:pt>
                <c:pt idx="144">
                  <c:v>1397.6</c:v>
                </c:pt>
                <c:pt idx="145">
                  <c:v>1216.9000000000001</c:v>
                </c:pt>
                <c:pt idx="146">
                  <c:v>1285.2</c:v>
                </c:pt>
                <c:pt idx="147">
                  <c:v>1350</c:v>
                </c:pt>
                <c:pt idx="148">
                  <c:v>1419.1</c:v>
                </c:pt>
                <c:pt idx="149">
                  <c:v>1231.2</c:v>
                </c:pt>
                <c:pt idx="150">
                  <c:v>1422.9</c:v>
                </c:pt>
                <c:pt idx="151">
                  <c:v>1203.5999999999999</c:v>
                </c:pt>
                <c:pt idx="152">
                  <c:v>1150.9000000000001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8-4859-BCFE-23FE15EA4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3837647"/>
        <c:axId val="2103836687"/>
      </c:lineChart>
      <c:lineChart>
        <c:grouping val="stacked"/>
        <c:varyColors val="0"/>
        <c:ser>
          <c:idx val="1"/>
          <c:order val="1"/>
          <c:tx>
            <c:strRef>
              <c:f>cadangan!$AF$1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cadangan!$AF$2:$AF$154</c:f>
              <c:numCache>
                <c:formatCode>General</c:formatCode>
                <c:ptCount val="153"/>
                <c:pt idx="0">
                  <c:v>56.058897598864711</c:v>
                </c:pt>
                <c:pt idx="1">
                  <c:v>57.926677791843026</c:v>
                </c:pt>
                <c:pt idx="2">
                  <c:v>59.043204520080039</c:v>
                </c:pt>
                <c:pt idx="3">
                  <c:v>59.671601285703737</c:v>
                </c:pt>
                <c:pt idx="4">
                  <c:v>61.031958841249725</c:v>
                </c:pt>
                <c:pt idx="5">
                  <c:v>53.84886256923167</c:v>
                </c:pt>
                <c:pt idx="6">
                  <c:v>54.034248398585135</c:v>
                </c:pt>
                <c:pt idx="7">
                  <c:v>52.754146756439916</c:v>
                </c:pt>
                <c:pt idx="8">
                  <c:v>52.635539324680622</c:v>
                </c:pt>
                <c:pt idx="9">
                  <c:v>51.483978090275812</c:v>
                </c:pt>
                <c:pt idx="10">
                  <c:v>52.125809346234618</c:v>
                </c:pt>
                <c:pt idx="11">
                  <c:v>54.46925738432644</c:v>
                </c:pt>
                <c:pt idx="12">
                  <c:v>51.514075746343345</c:v>
                </c:pt>
                <c:pt idx="13">
                  <c:v>50.671490998390802</c:v>
                </c:pt>
                <c:pt idx="14">
                  <c:v>54.11376904263831</c:v>
                </c:pt>
                <c:pt idx="15">
                  <c:v>49.518683342754578</c:v>
                </c:pt>
                <c:pt idx="16">
                  <c:v>54.094361998271133</c:v>
                </c:pt>
                <c:pt idx="17">
                  <c:v>52.918805731044237</c:v>
                </c:pt>
                <c:pt idx="18">
                  <c:v>47.776563292057752</c:v>
                </c:pt>
                <c:pt idx="19">
                  <c:v>52.158412552530777</c:v>
                </c:pt>
                <c:pt idx="20">
                  <c:v>49.139597067945111</c:v>
                </c:pt>
                <c:pt idx="21">
                  <c:v>52.107581022342607</c:v>
                </c:pt>
                <c:pt idx="22">
                  <c:v>52.600380226762624</c:v>
                </c:pt>
                <c:pt idx="23">
                  <c:v>58.353234700400286</c:v>
                </c:pt>
                <c:pt idx="24">
                  <c:v>50.016997110982182</c:v>
                </c:pt>
                <c:pt idx="25">
                  <c:v>52.24078866173442</c:v>
                </c:pt>
                <c:pt idx="26">
                  <c:v>51.393579365519969</c:v>
                </c:pt>
                <c:pt idx="27">
                  <c:v>51.491746911519712</c:v>
                </c:pt>
                <c:pt idx="28">
                  <c:v>48.741153043398548</c:v>
                </c:pt>
                <c:pt idx="29">
                  <c:v>52.782572881586589</c:v>
                </c:pt>
                <c:pt idx="30">
                  <c:v>49.96298629986002</c:v>
                </c:pt>
                <c:pt idx="31">
                  <c:v>50.972541627821542</c:v>
                </c:pt>
                <c:pt idx="32">
                  <c:v>51.211326872089536</c:v>
                </c:pt>
                <c:pt idx="33">
                  <c:v>49.124332056527749</c:v>
                </c:pt>
                <c:pt idx="34">
                  <c:v>45.115407567703521</c:v>
                </c:pt>
                <c:pt idx="35">
                  <c:v>46.561786907291264</c:v>
                </c:pt>
                <c:pt idx="36">
                  <c:v>44.260591952661457</c:v>
                </c:pt>
                <c:pt idx="37">
                  <c:v>41.873619380225541</c:v>
                </c:pt>
                <c:pt idx="38">
                  <c:v>44.59708510654032</c:v>
                </c:pt>
                <c:pt idx="39">
                  <c:v>38.186385008272254</c:v>
                </c:pt>
                <c:pt idx="40">
                  <c:v>37.318896017969237</c:v>
                </c:pt>
                <c:pt idx="41">
                  <c:v>37.946014283452747</c:v>
                </c:pt>
                <c:pt idx="42">
                  <c:v>37.706763319065189</c:v>
                </c:pt>
                <c:pt idx="43">
                  <c:v>39.126717214711483</c:v>
                </c:pt>
                <c:pt idx="44">
                  <c:v>38.126106541318904</c:v>
                </c:pt>
                <c:pt idx="45">
                  <c:v>37.142967032804471</c:v>
                </c:pt>
                <c:pt idx="46">
                  <c:v>38.691084244306204</c:v>
                </c:pt>
                <c:pt idx="47">
                  <c:v>36.04857833535187</c:v>
                </c:pt>
                <c:pt idx="48">
                  <c:v>33.286633954186478</c:v>
                </c:pt>
                <c:pt idx="49">
                  <c:v>33.366150512158278</c:v>
                </c:pt>
                <c:pt idx="50">
                  <c:v>35.203692988094303</c:v>
                </c:pt>
                <c:pt idx="51">
                  <c:v>29.861346252304166</c:v>
                </c:pt>
                <c:pt idx="52">
                  <c:v>30.951575081084322</c:v>
                </c:pt>
                <c:pt idx="53">
                  <c:v>34.458670897177683</c:v>
                </c:pt>
                <c:pt idx="54">
                  <c:v>31.60063290505429</c:v>
                </c:pt>
                <c:pt idx="55">
                  <c:v>33.743147452482852</c:v>
                </c:pt>
                <c:pt idx="56">
                  <c:v>32.580669115289822</c:v>
                </c:pt>
                <c:pt idx="57">
                  <c:v>32.494614938478655</c:v>
                </c:pt>
                <c:pt idx="58">
                  <c:v>33.211443810831227</c:v>
                </c:pt>
                <c:pt idx="59">
                  <c:v>35.358167373324086</c:v>
                </c:pt>
                <c:pt idx="60">
                  <c:v>35.757516692298417</c:v>
                </c:pt>
                <c:pt idx="61">
                  <c:v>34.7649248525004</c:v>
                </c:pt>
                <c:pt idx="62">
                  <c:v>38.938412910646477</c:v>
                </c:pt>
                <c:pt idx="63">
                  <c:v>32.190060577762196</c:v>
                </c:pt>
                <c:pt idx="64">
                  <c:v>35.977770914830174</c:v>
                </c:pt>
                <c:pt idx="65">
                  <c:v>35.725341146026864</c:v>
                </c:pt>
                <c:pt idx="66">
                  <c:v>34.132096331752024</c:v>
                </c:pt>
                <c:pt idx="67">
                  <c:v>35.122642269624308</c:v>
                </c:pt>
                <c:pt idx="68">
                  <c:v>38.144462245521304</c:v>
                </c:pt>
                <c:pt idx="69">
                  <c:v>38.577195336104985</c:v>
                </c:pt>
                <c:pt idx="70">
                  <c:v>35.997222115046597</c:v>
                </c:pt>
                <c:pt idx="71">
                  <c:v>38.684622267769399</c:v>
                </c:pt>
                <c:pt idx="72">
                  <c:v>36.64287106655263</c:v>
                </c:pt>
                <c:pt idx="73">
                  <c:v>37.266607036326768</c:v>
                </c:pt>
                <c:pt idx="74">
                  <c:v>35.441501096877936</c:v>
                </c:pt>
                <c:pt idx="75">
                  <c:v>34.33365695640358</c:v>
                </c:pt>
                <c:pt idx="76">
                  <c:v>40.411631988822229</c:v>
                </c:pt>
                <c:pt idx="77">
                  <c:v>40.579551500725088</c:v>
                </c:pt>
                <c:pt idx="78">
                  <c:v>37.636418533117627</c:v>
                </c:pt>
                <c:pt idx="79">
                  <c:v>37.731949326797313</c:v>
                </c:pt>
                <c:pt idx="80">
                  <c:v>36.334556554332679</c:v>
                </c:pt>
                <c:pt idx="81">
                  <c:v>39.310303992719263</c:v>
                </c:pt>
                <c:pt idx="82">
                  <c:v>36.23396196940103</c:v>
                </c:pt>
                <c:pt idx="83">
                  <c:v>41.313436071089512</c:v>
                </c:pt>
                <c:pt idx="84">
                  <c:v>33.634803403617511</c:v>
                </c:pt>
                <c:pt idx="85">
                  <c:v>32.416045409642429</c:v>
                </c:pt>
                <c:pt idx="86">
                  <c:v>32.823771873445622</c:v>
                </c:pt>
                <c:pt idx="87">
                  <c:v>26.231660260075039</c:v>
                </c:pt>
                <c:pt idx="88">
                  <c:v>32.468446220908078</c:v>
                </c:pt>
                <c:pt idx="89">
                  <c:v>26.722649569232466</c:v>
                </c:pt>
                <c:pt idx="90">
                  <c:v>37.423254802328458</c:v>
                </c:pt>
                <c:pt idx="91">
                  <c:v>29.032740139366798</c:v>
                </c:pt>
                <c:pt idx="92">
                  <c:v>28.337254630609507</c:v>
                </c:pt>
                <c:pt idx="93">
                  <c:v>29.32575659723036</c:v>
                </c:pt>
                <c:pt idx="94">
                  <c:v>32.151205265121867</c:v>
                </c:pt>
                <c:pt idx="95">
                  <c:v>33.664521383795133</c:v>
                </c:pt>
                <c:pt idx="96">
                  <c:v>28.553458634638289</c:v>
                </c:pt>
                <c:pt idx="97">
                  <c:v>28.376046236218322</c:v>
                </c:pt>
                <c:pt idx="98">
                  <c:v>24.847535089018386</c:v>
                </c:pt>
                <c:pt idx="99">
                  <c:v>23.708648211148606</c:v>
                </c:pt>
                <c:pt idx="100">
                  <c:v>23.683327468917874</c:v>
                </c:pt>
                <c:pt idx="101">
                  <c:v>23.820159529272679</c:v>
                </c:pt>
                <c:pt idx="102">
                  <c:v>25.698248967585322</c:v>
                </c:pt>
                <c:pt idx="103">
                  <c:v>24.486731100741071</c:v>
                </c:pt>
                <c:pt idx="104">
                  <c:v>25.832150510555639</c:v>
                </c:pt>
                <c:pt idx="105">
                  <c:v>24.789110512481081</c:v>
                </c:pt>
                <c:pt idx="106">
                  <c:v>27.607969863791144</c:v>
                </c:pt>
                <c:pt idx="107">
                  <c:v>31.918646587848926</c:v>
                </c:pt>
                <c:pt idx="108">
                  <c:v>29.728773940409987</c:v>
                </c:pt>
                <c:pt idx="109">
                  <c:v>29.335984728657056</c:v>
                </c:pt>
                <c:pt idx="110">
                  <c:v>30.846393630374362</c:v>
                </c:pt>
                <c:pt idx="111">
                  <c:v>30.687130853176875</c:v>
                </c:pt>
                <c:pt idx="112">
                  <c:v>30.669202793682135</c:v>
                </c:pt>
                <c:pt idx="113">
                  <c:v>35.203692988094303</c:v>
                </c:pt>
                <c:pt idx="114">
                  <c:v>31.285779517218362</c:v>
                </c:pt>
                <c:pt idx="115">
                  <c:v>32.320272276080843</c:v>
                </c:pt>
                <c:pt idx="116">
                  <c:v>30.574499178236753</c:v>
                </c:pt>
                <c:pt idx="117">
                  <c:v>32.623611081546443</c:v>
                </c:pt>
                <c:pt idx="118">
                  <c:v>36.599180318690202</c:v>
                </c:pt>
                <c:pt idx="119">
                  <c:v>32.680269276736382</c:v>
                </c:pt>
                <c:pt idx="120">
                  <c:v>30.058276730378275</c:v>
                </c:pt>
                <c:pt idx="121">
                  <c:v>32.087380697090246</c:v>
                </c:pt>
                <c:pt idx="122">
                  <c:v>38.643240029790462</c:v>
                </c:pt>
                <c:pt idx="123">
                  <c:v>38.296213912082742</c:v>
                </c:pt>
                <c:pt idx="124">
                  <c:v>38.705296795141614</c:v>
                </c:pt>
                <c:pt idx="125">
                  <c:v>39.392892759989081</c:v>
                </c:pt>
                <c:pt idx="126">
                  <c:v>35.88314367499035</c:v>
                </c:pt>
                <c:pt idx="127">
                  <c:v>40.778670895457104</c:v>
                </c:pt>
                <c:pt idx="128">
                  <c:v>35.482389998420345</c:v>
                </c:pt>
                <c:pt idx="129">
                  <c:v>35.865024745565144</c:v>
                </c:pt>
                <c:pt idx="130">
                  <c:v>33.194879123141874</c:v>
                </c:pt>
                <c:pt idx="131">
                  <c:v>38.181147180251145</c:v>
                </c:pt>
                <c:pt idx="132">
                  <c:v>38.573306832575298</c:v>
                </c:pt>
                <c:pt idx="133">
                  <c:v>34.445609299299669</c:v>
                </c:pt>
                <c:pt idx="134">
                  <c:v>36.581416046949307</c:v>
                </c:pt>
                <c:pt idx="135">
                  <c:v>35.478162297390774</c:v>
                </c:pt>
                <c:pt idx="136">
                  <c:v>36.174576707958863</c:v>
                </c:pt>
                <c:pt idx="137">
                  <c:v>35.492252675760099</c:v>
                </c:pt>
                <c:pt idx="138">
                  <c:v>35.025704846583743</c:v>
                </c:pt>
                <c:pt idx="139">
                  <c:v>36.315286037700432</c:v>
                </c:pt>
                <c:pt idx="140">
                  <c:v>37.484663530569406</c:v>
                </c:pt>
                <c:pt idx="141">
                  <c:v>37.018914084559533</c:v>
                </c:pt>
                <c:pt idx="142">
                  <c:v>35.807820374884592</c:v>
                </c:pt>
                <c:pt idx="143">
                  <c:v>38.456468896662891</c:v>
                </c:pt>
                <c:pt idx="144">
                  <c:v>37.384488762052101</c:v>
                </c:pt>
                <c:pt idx="145">
                  <c:v>34.88409379645686</c:v>
                </c:pt>
                <c:pt idx="146">
                  <c:v>35.849686191095174</c:v>
                </c:pt>
                <c:pt idx="147">
                  <c:v>36.742346141747674</c:v>
                </c:pt>
                <c:pt idx="148">
                  <c:v>37.670943709973606</c:v>
                </c:pt>
                <c:pt idx="149">
                  <c:v>35.088459641312269</c:v>
                </c:pt>
                <c:pt idx="150">
                  <c:v>37.721346741599774</c:v>
                </c:pt>
                <c:pt idx="151">
                  <c:v>34.69293876280878</c:v>
                </c:pt>
                <c:pt idx="152">
                  <c:v>33.92491709643518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8-4859-BCFE-23FE15EA4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385919"/>
        <c:axId val="1980745679"/>
      </c:lineChart>
      <c:catAx>
        <c:axId val="2103837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03836687"/>
        <c:crosses val="autoZero"/>
        <c:auto val="1"/>
        <c:lblAlgn val="ctr"/>
        <c:lblOffset val="100"/>
        <c:noMultiLvlLbl val="0"/>
      </c:catAx>
      <c:valAx>
        <c:axId val="21038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03837647"/>
        <c:crosses val="autoZero"/>
        <c:crossBetween val="between"/>
      </c:valAx>
      <c:valAx>
        <c:axId val="19807456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35385919"/>
        <c:crosses val="max"/>
        <c:crossBetween val="between"/>
      </c:valAx>
      <c:catAx>
        <c:axId val="435385919"/>
        <c:scaling>
          <c:orientation val="minMax"/>
        </c:scaling>
        <c:delete val="1"/>
        <c:axPos val="b"/>
        <c:majorTickMark val="out"/>
        <c:minorTickMark val="none"/>
        <c:tickLblPos val="nextTo"/>
        <c:crossAx val="19807456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cadangan!$AJ$1</c:f>
              <c:strCache>
                <c:ptCount val="1"/>
                <c:pt idx="0">
                  <c:v>EMAS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cadangan!$AJ$2:$AJ$81</c:f>
              <c:numCache>
                <c:formatCode>General</c:formatCode>
                <c:ptCount val="80"/>
                <c:pt idx="0">
                  <c:v>1344.7</c:v>
                </c:pt>
                <c:pt idx="1">
                  <c:v>1317.66</c:v>
                </c:pt>
                <c:pt idx="2">
                  <c:v>1324</c:v>
                </c:pt>
                <c:pt idx="3">
                  <c:v>1314.95</c:v>
                </c:pt>
                <c:pt idx="4">
                  <c:v>1297.92</c:v>
                </c:pt>
                <c:pt idx="5">
                  <c:v>1252.25</c:v>
                </c:pt>
                <c:pt idx="6">
                  <c:v>1223.4100000000001</c:v>
                </c:pt>
                <c:pt idx="7">
                  <c:v>1200.71</c:v>
                </c:pt>
                <c:pt idx="8">
                  <c:v>1191.69</c:v>
                </c:pt>
                <c:pt idx="9">
                  <c:v>1214.1400000000001</c:v>
                </c:pt>
                <c:pt idx="10">
                  <c:v>1221.8800000000001</c:v>
                </c:pt>
                <c:pt idx="11">
                  <c:v>1282.73</c:v>
                </c:pt>
                <c:pt idx="12">
                  <c:v>1320.56</c:v>
                </c:pt>
                <c:pt idx="13">
                  <c:v>1312.66</c:v>
                </c:pt>
                <c:pt idx="14">
                  <c:v>1291.9000000000001</c:v>
                </c:pt>
                <c:pt idx="15">
                  <c:v>1283.3499999999999</c:v>
                </c:pt>
                <c:pt idx="16">
                  <c:v>1305.25</c:v>
                </c:pt>
                <c:pt idx="17">
                  <c:v>1409.1</c:v>
                </c:pt>
                <c:pt idx="18">
                  <c:v>1413.55</c:v>
                </c:pt>
                <c:pt idx="19">
                  <c:v>1519.85</c:v>
                </c:pt>
                <c:pt idx="20">
                  <c:v>1472</c:v>
                </c:pt>
                <c:pt idx="21">
                  <c:v>1513.16</c:v>
                </c:pt>
                <c:pt idx="22">
                  <c:v>1463.9</c:v>
                </c:pt>
                <c:pt idx="23">
                  <c:v>1517.01</c:v>
                </c:pt>
                <c:pt idx="24">
                  <c:v>1589.81</c:v>
                </c:pt>
                <c:pt idx="25">
                  <c:v>1584.74</c:v>
                </c:pt>
                <c:pt idx="26">
                  <c:v>1571.05</c:v>
                </c:pt>
                <c:pt idx="27">
                  <c:v>1680.09</c:v>
                </c:pt>
                <c:pt idx="28">
                  <c:v>1726.3</c:v>
                </c:pt>
                <c:pt idx="29">
                  <c:v>1780.67</c:v>
                </c:pt>
                <c:pt idx="30">
                  <c:v>1974.69</c:v>
                </c:pt>
                <c:pt idx="31">
                  <c:v>1969.75</c:v>
                </c:pt>
                <c:pt idx="32">
                  <c:v>1885.44</c:v>
                </c:pt>
                <c:pt idx="33">
                  <c:v>1877.95</c:v>
                </c:pt>
                <c:pt idx="34">
                  <c:v>1777.02</c:v>
                </c:pt>
                <c:pt idx="35">
                  <c:v>1896.49</c:v>
                </c:pt>
                <c:pt idx="36">
                  <c:v>1846.09</c:v>
                </c:pt>
                <c:pt idx="37">
                  <c:v>1733.49</c:v>
                </c:pt>
                <c:pt idx="38">
                  <c:v>1707.01</c:v>
                </c:pt>
                <c:pt idx="39">
                  <c:v>1768.59</c:v>
                </c:pt>
                <c:pt idx="40">
                  <c:v>1906.36</c:v>
                </c:pt>
                <c:pt idx="41">
                  <c:v>1769.8</c:v>
                </c:pt>
                <c:pt idx="42">
                  <c:v>1813.58</c:v>
                </c:pt>
                <c:pt idx="43">
                  <c:v>1813.43</c:v>
                </c:pt>
                <c:pt idx="44">
                  <c:v>1756.66</c:v>
                </c:pt>
                <c:pt idx="45">
                  <c:v>1782.81</c:v>
                </c:pt>
                <c:pt idx="46">
                  <c:v>1773.78</c:v>
                </c:pt>
                <c:pt idx="47">
                  <c:v>1828.39</c:v>
                </c:pt>
                <c:pt idx="48">
                  <c:v>1796.47</c:v>
                </c:pt>
                <c:pt idx="49">
                  <c:v>1907.9</c:v>
                </c:pt>
                <c:pt idx="50">
                  <c:v>1937.23</c:v>
                </c:pt>
                <c:pt idx="51">
                  <c:v>1896.4</c:v>
                </c:pt>
                <c:pt idx="52">
                  <c:v>1837.09</c:v>
                </c:pt>
                <c:pt idx="53">
                  <c:v>1806.89</c:v>
                </c:pt>
                <c:pt idx="54">
                  <c:v>1765.22</c:v>
                </c:pt>
                <c:pt idx="55">
                  <c:v>1710.7</c:v>
                </c:pt>
                <c:pt idx="56">
                  <c:v>1659.67</c:v>
                </c:pt>
                <c:pt idx="57">
                  <c:v>1633.12</c:v>
                </c:pt>
                <c:pt idx="58">
                  <c:v>1768.45</c:v>
                </c:pt>
                <c:pt idx="59">
                  <c:v>1824.4</c:v>
                </c:pt>
                <c:pt idx="60">
                  <c:v>1927.88</c:v>
                </c:pt>
                <c:pt idx="61">
                  <c:v>1827.15</c:v>
                </c:pt>
                <c:pt idx="62">
                  <c:v>1967.9</c:v>
                </c:pt>
                <c:pt idx="63">
                  <c:v>1989.65</c:v>
                </c:pt>
                <c:pt idx="64">
                  <c:v>1962.3</c:v>
                </c:pt>
                <c:pt idx="65">
                  <c:v>1919.57</c:v>
                </c:pt>
                <c:pt idx="66">
                  <c:v>1964.19</c:v>
                </c:pt>
                <c:pt idx="67">
                  <c:v>1939.74</c:v>
                </c:pt>
                <c:pt idx="68">
                  <c:v>1848.31</c:v>
                </c:pt>
                <c:pt idx="69">
                  <c:v>1982.7</c:v>
                </c:pt>
                <c:pt idx="70">
                  <c:v>2035.75</c:v>
                </c:pt>
                <c:pt idx="71">
                  <c:v>2062.59</c:v>
                </c:pt>
                <c:pt idx="72">
                  <c:v>2037.19</c:v>
                </c:pt>
                <c:pt idx="73">
                  <c:v>2043.24</c:v>
                </c:pt>
                <c:pt idx="74">
                  <c:v>2232.38</c:v>
                </c:pt>
                <c:pt idx="75">
                  <c:v>2285.5700000000002</c:v>
                </c:pt>
                <c:pt idx="76">
                  <c:v>2326.9699999999998</c:v>
                </c:pt>
                <c:pt idx="77">
                  <c:v>2325.71</c:v>
                </c:pt>
                <c:pt idx="78">
                  <c:v>2448.1</c:v>
                </c:pt>
                <c:pt idx="79">
                  <c:v>2503.0300000000002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5A-4681-A479-CFCDF7480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684511"/>
        <c:axId val="324683551"/>
      </c:lineChart>
      <c:lineChart>
        <c:grouping val="standard"/>
        <c:varyColors val="0"/>
        <c:ser>
          <c:idx val="1"/>
          <c:order val="1"/>
          <c:tx>
            <c:strRef>
              <c:f>cadangan!$AK$1</c:f>
              <c:strCache>
                <c:ptCount val="1"/>
                <c:pt idx="0">
                  <c:v>T1 EMAS FIX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cadangan!$AK$2:$AK$81</c:f>
              <c:numCache>
                <c:formatCode>General</c:formatCode>
                <c:ptCount val="80"/>
                <c:pt idx="0">
                  <c:v>36.670151349564946</c:v>
                </c:pt>
                <c:pt idx="1">
                  <c:v>36.299586774507503</c:v>
                </c:pt>
                <c:pt idx="2">
                  <c:v>36.386810797320507</c:v>
                </c:pt>
                <c:pt idx="3">
                  <c:v>36.262239313092621</c:v>
                </c:pt>
                <c:pt idx="4">
                  <c:v>36.026656797432651</c:v>
                </c:pt>
                <c:pt idx="5">
                  <c:v>35.387144558440994</c:v>
                </c:pt>
                <c:pt idx="6">
                  <c:v>34.977278338944558</c:v>
                </c:pt>
                <c:pt idx="7">
                  <c:v>34.651262603258772</c:v>
                </c:pt>
                <c:pt idx="8">
                  <c:v>34.520863256876993</c:v>
                </c:pt>
                <c:pt idx="9">
                  <c:v>34.844511762973518</c:v>
                </c:pt>
                <c:pt idx="10">
                  <c:v>34.955400155054726</c:v>
                </c:pt>
                <c:pt idx="11">
                  <c:v>35.815220228277255</c:v>
                </c:pt>
                <c:pt idx="12">
                  <c:v>36.339510178316935</c:v>
                </c:pt>
                <c:pt idx="13">
                  <c:v>36.230650007969771</c:v>
                </c:pt>
                <c:pt idx="14">
                  <c:v>35.943010447095276</c:v>
                </c:pt>
                <c:pt idx="15">
                  <c:v>35.823874720638472</c:v>
                </c:pt>
                <c:pt idx="16">
                  <c:v>36.128243799000252</c:v>
                </c:pt>
                <c:pt idx="17">
                  <c:v>37.537980766152032</c:v>
                </c:pt>
                <c:pt idx="18">
                  <c:v>37.597207343099299</c:v>
                </c:pt>
                <c:pt idx="19">
                  <c:v>38.985253622363416</c:v>
                </c:pt>
                <c:pt idx="20">
                  <c:v>38.366652186501753</c:v>
                </c:pt>
                <c:pt idx="21">
                  <c:v>38.899357321169205</c:v>
                </c:pt>
                <c:pt idx="22">
                  <c:v>38.260946146168422</c:v>
                </c:pt>
                <c:pt idx="23">
                  <c:v>38.948812562130826</c:v>
                </c:pt>
                <c:pt idx="24">
                  <c:v>39.872421546728262</c:v>
                </c:pt>
                <c:pt idx="25">
                  <c:v>39.808792998532375</c:v>
                </c:pt>
                <c:pt idx="26">
                  <c:v>39.63647310243433</c:v>
                </c:pt>
                <c:pt idx="27">
                  <c:v>40.988900936717002</c:v>
                </c:pt>
                <c:pt idx="28">
                  <c:v>41.548766528021019</c:v>
                </c:pt>
                <c:pt idx="29">
                  <c:v>42.197985733918628</c:v>
                </c:pt>
                <c:pt idx="30">
                  <c:v>44.437484177212376</c:v>
                </c:pt>
                <c:pt idx="31">
                  <c:v>44.381865666057799</c:v>
                </c:pt>
                <c:pt idx="32">
                  <c:v>43.421653584358118</c:v>
                </c:pt>
                <c:pt idx="33">
                  <c:v>43.335320467258576</c:v>
                </c:pt>
                <c:pt idx="34">
                  <c:v>42.154715038771165</c:v>
                </c:pt>
                <c:pt idx="35">
                  <c:v>43.548708362016889</c:v>
                </c:pt>
                <c:pt idx="36">
                  <c:v>42.966149466760456</c:v>
                </c:pt>
                <c:pt idx="37">
                  <c:v>41.63520145261699</c:v>
                </c:pt>
                <c:pt idx="38">
                  <c:v>41.315977538961846</c:v>
                </c:pt>
                <c:pt idx="39">
                  <c:v>42.05460735757736</c:v>
                </c:pt>
                <c:pt idx="40">
                  <c:v>43.661882689595508</c:v>
                </c:pt>
                <c:pt idx="41">
                  <c:v>42.068990955334307</c:v>
                </c:pt>
                <c:pt idx="42">
                  <c:v>42.586147982648065</c:v>
                </c:pt>
                <c:pt idx="43">
                  <c:v>42.584386810191361</c:v>
                </c:pt>
                <c:pt idx="44">
                  <c:v>41.912527960026466</c:v>
                </c:pt>
                <c:pt idx="45">
                  <c:v>42.223334780663642</c:v>
                </c:pt>
                <c:pt idx="46">
                  <c:v>42.116267640900944</c:v>
                </c:pt>
                <c:pt idx="47">
                  <c:v>42.759677267257295</c:v>
                </c:pt>
                <c:pt idx="48">
                  <c:v>42.384785005942874</c:v>
                </c:pt>
                <c:pt idx="49">
                  <c:v>43.679514649318165</c:v>
                </c:pt>
                <c:pt idx="50">
                  <c:v>44.013975053385032</c:v>
                </c:pt>
                <c:pt idx="51">
                  <c:v>43.547675024046924</c:v>
                </c:pt>
                <c:pt idx="52">
                  <c:v>42.861287894789164</c:v>
                </c:pt>
                <c:pt idx="53">
                  <c:v>42.50752874491765</c:v>
                </c:pt>
                <c:pt idx="54">
                  <c:v>42.014521299188928</c:v>
                </c:pt>
                <c:pt idx="55">
                  <c:v>41.360609279844994</c:v>
                </c:pt>
                <c:pt idx="56">
                  <c:v>40.739047607915431</c:v>
                </c:pt>
                <c:pt idx="57">
                  <c:v>40.41187944157015</c:v>
                </c:pt>
                <c:pt idx="58">
                  <c:v>42.052942822114126</c:v>
                </c:pt>
                <c:pt idx="59">
                  <c:v>42.712995680471771</c:v>
                </c:pt>
                <c:pt idx="60">
                  <c:v>43.90763031638123</c:v>
                </c:pt>
                <c:pt idx="61">
                  <c:v>42.74517516632725</c:v>
                </c:pt>
                <c:pt idx="62">
                  <c:v>44.361018924276301</c:v>
                </c:pt>
                <c:pt idx="63">
                  <c:v>44.605492935287693</c:v>
                </c:pt>
                <c:pt idx="64">
                  <c:v>44.297855478566902</c:v>
                </c:pt>
                <c:pt idx="65">
                  <c:v>43.812897644415166</c:v>
                </c:pt>
                <c:pt idx="66">
                  <c:v>44.319183205469841</c:v>
                </c:pt>
                <c:pt idx="67">
                  <c:v>44.042479494233746</c:v>
                </c:pt>
                <c:pt idx="68">
                  <c:v>42.991975995527348</c:v>
                </c:pt>
                <c:pt idx="69">
                  <c:v>44.527519580591957</c:v>
                </c:pt>
                <c:pt idx="70">
                  <c:v>45.119286341873803</c:v>
                </c:pt>
                <c:pt idx="71">
                  <c:v>45.415746168041764</c:v>
                </c:pt>
                <c:pt idx="72">
                  <c:v>45.135241220137509</c:v>
                </c:pt>
                <c:pt idx="73">
                  <c:v>45.202212335238634</c:v>
                </c:pt>
                <c:pt idx="74">
                  <c:v>47.24806874360052</c:v>
                </c:pt>
                <c:pt idx="75">
                  <c:v>47.807635373442182</c:v>
                </c:pt>
                <c:pt idx="76">
                  <c:v>48.238677427972668</c:v>
                </c:pt>
                <c:pt idx="77">
                  <c:v>48.225615600010748</c:v>
                </c:pt>
                <c:pt idx="78">
                  <c:v>49.478278062196139</c:v>
                </c:pt>
                <c:pt idx="79">
                  <c:v>50.030290824659417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5A-4681-A479-CFCDF7480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151279"/>
        <c:axId val="329156079"/>
      </c:lineChart>
      <c:catAx>
        <c:axId val="324684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24683551"/>
        <c:crosses val="autoZero"/>
        <c:auto val="1"/>
        <c:lblAlgn val="ctr"/>
        <c:lblOffset val="100"/>
        <c:noMultiLvlLbl val="0"/>
      </c:catAx>
      <c:valAx>
        <c:axId val="32468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24684511"/>
        <c:crosses val="autoZero"/>
        <c:crossBetween val="between"/>
      </c:valAx>
      <c:valAx>
        <c:axId val="3291560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29151279"/>
        <c:crosses val="max"/>
        <c:crossBetween val="between"/>
      </c:valAx>
      <c:catAx>
        <c:axId val="329151279"/>
        <c:scaling>
          <c:orientation val="minMax"/>
        </c:scaling>
        <c:delete val="1"/>
        <c:axPos val="b"/>
        <c:majorTickMark val="out"/>
        <c:minorTickMark val="none"/>
        <c:tickLblPos val="nextTo"/>
        <c:crossAx val="329156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cadangan!$A$1:$A$81</c:f>
              <c:numCache>
                <c:formatCode>0.00</c:formatCode>
                <c:ptCount val="81"/>
                <c:pt idx="0">
                  <c:v>0</c:v>
                </c:pt>
                <c:pt idx="1">
                  <c:v>2823.81</c:v>
                </c:pt>
                <c:pt idx="2">
                  <c:v>2713.83</c:v>
                </c:pt>
                <c:pt idx="3">
                  <c:v>2640.87</c:v>
                </c:pt>
                <c:pt idx="4">
                  <c:v>2648.05</c:v>
                </c:pt>
                <c:pt idx="5">
                  <c:v>2705.27</c:v>
                </c:pt>
                <c:pt idx="6">
                  <c:v>2718.37</c:v>
                </c:pt>
                <c:pt idx="7">
                  <c:v>2816.29</c:v>
                </c:pt>
                <c:pt idx="8">
                  <c:v>2901.52</c:v>
                </c:pt>
                <c:pt idx="9">
                  <c:v>2913.98</c:v>
                </c:pt>
                <c:pt idx="10">
                  <c:v>2711.74</c:v>
                </c:pt>
                <c:pt idx="11">
                  <c:v>2760.17</c:v>
                </c:pt>
                <c:pt idx="12">
                  <c:v>2506.85</c:v>
                </c:pt>
                <c:pt idx="13">
                  <c:v>2704.1</c:v>
                </c:pt>
                <c:pt idx="14">
                  <c:v>2784.49</c:v>
                </c:pt>
                <c:pt idx="15">
                  <c:v>2834.4</c:v>
                </c:pt>
                <c:pt idx="16">
                  <c:v>2945.83</c:v>
                </c:pt>
                <c:pt idx="17">
                  <c:v>2752.06</c:v>
                </c:pt>
                <c:pt idx="18">
                  <c:v>2941.76</c:v>
                </c:pt>
                <c:pt idx="19">
                  <c:v>2980.38</c:v>
                </c:pt>
                <c:pt idx="20">
                  <c:v>2926.46</c:v>
                </c:pt>
                <c:pt idx="21">
                  <c:v>2976.74</c:v>
                </c:pt>
                <c:pt idx="22">
                  <c:v>3037.56</c:v>
                </c:pt>
                <c:pt idx="23">
                  <c:v>3140.98</c:v>
                </c:pt>
                <c:pt idx="24">
                  <c:v>3230.78</c:v>
                </c:pt>
                <c:pt idx="25">
                  <c:v>3225.52</c:v>
                </c:pt>
                <c:pt idx="26">
                  <c:v>2954.22</c:v>
                </c:pt>
                <c:pt idx="27">
                  <c:v>2584.59</c:v>
                </c:pt>
                <c:pt idx="28">
                  <c:v>2912.43</c:v>
                </c:pt>
                <c:pt idx="29">
                  <c:v>3044.31</c:v>
                </c:pt>
                <c:pt idx="30">
                  <c:v>3100.29</c:v>
                </c:pt>
                <c:pt idx="31">
                  <c:v>3271.12</c:v>
                </c:pt>
                <c:pt idx="32">
                  <c:v>3500.31</c:v>
                </c:pt>
                <c:pt idx="33">
                  <c:v>3363</c:v>
                </c:pt>
                <c:pt idx="34">
                  <c:v>3269.96</c:v>
                </c:pt>
                <c:pt idx="35">
                  <c:v>3621.63</c:v>
                </c:pt>
                <c:pt idx="36">
                  <c:v>3756.07</c:v>
                </c:pt>
                <c:pt idx="37">
                  <c:v>3714.24</c:v>
                </c:pt>
                <c:pt idx="38">
                  <c:v>3811.15</c:v>
                </c:pt>
                <c:pt idx="39">
                  <c:v>3972.89</c:v>
                </c:pt>
                <c:pt idx="40">
                  <c:v>4181.17</c:v>
                </c:pt>
                <c:pt idx="41">
                  <c:v>4204.1099999999997</c:v>
                </c:pt>
                <c:pt idx="42">
                  <c:v>4297.5</c:v>
                </c:pt>
                <c:pt idx="43">
                  <c:v>4395.26</c:v>
                </c:pt>
                <c:pt idx="44">
                  <c:v>4522.68</c:v>
                </c:pt>
                <c:pt idx="45">
                  <c:v>4307.54</c:v>
                </c:pt>
                <c:pt idx="46">
                  <c:v>4605.38</c:v>
                </c:pt>
                <c:pt idx="47">
                  <c:v>4567</c:v>
                </c:pt>
                <c:pt idx="48">
                  <c:v>4766.18</c:v>
                </c:pt>
                <c:pt idx="49">
                  <c:v>4515.55</c:v>
                </c:pt>
                <c:pt idx="50">
                  <c:v>4373.9399999999996</c:v>
                </c:pt>
                <c:pt idx="51">
                  <c:v>4530.41</c:v>
                </c:pt>
                <c:pt idx="52">
                  <c:v>4131.93</c:v>
                </c:pt>
                <c:pt idx="53">
                  <c:v>4132.1499999999996</c:v>
                </c:pt>
                <c:pt idx="54">
                  <c:v>3785.38</c:v>
                </c:pt>
                <c:pt idx="55">
                  <c:v>4130.29</c:v>
                </c:pt>
                <c:pt idx="56">
                  <c:v>3955</c:v>
                </c:pt>
                <c:pt idx="57">
                  <c:v>3585.62</c:v>
                </c:pt>
                <c:pt idx="58">
                  <c:v>3871.98</c:v>
                </c:pt>
                <c:pt idx="59">
                  <c:v>4080.11</c:v>
                </c:pt>
                <c:pt idx="60">
                  <c:v>3839.5</c:v>
                </c:pt>
                <c:pt idx="61">
                  <c:v>4076.6</c:v>
                </c:pt>
                <c:pt idx="62">
                  <c:v>3970.15</c:v>
                </c:pt>
                <c:pt idx="63">
                  <c:v>4109.3100000000004</c:v>
                </c:pt>
                <c:pt idx="64">
                  <c:v>4169.4799999999996</c:v>
                </c:pt>
                <c:pt idx="65">
                  <c:v>4179.83</c:v>
                </c:pt>
                <c:pt idx="66">
                  <c:v>4450.38</c:v>
                </c:pt>
                <c:pt idx="67">
                  <c:v>4588.96</c:v>
                </c:pt>
                <c:pt idx="68">
                  <c:v>4507.66</c:v>
                </c:pt>
                <c:pt idx="69">
                  <c:v>4288.05</c:v>
                </c:pt>
                <c:pt idx="70">
                  <c:v>4193.8</c:v>
                </c:pt>
                <c:pt idx="71">
                  <c:v>4567.8</c:v>
                </c:pt>
                <c:pt idx="72">
                  <c:v>4769.83</c:v>
                </c:pt>
                <c:pt idx="73">
                  <c:v>4845.6499999999996</c:v>
                </c:pt>
                <c:pt idx="74">
                  <c:v>5096.2700000000004</c:v>
                </c:pt>
                <c:pt idx="75">
                  <c:v>5254.35</c:v>
                </c:pt>
                <c:pt idx="76">
                  <c:v>5035.6899999999996</c:v>
                </c:pt>
                <c:pt idx="77">
                  <c:v>5277.51</c:v>
                </c:pt>
                <c:pt idx="78">
                  <c:v>5460.48</c:v>
                </c:pt>
                <c:pt idx="79">
                  <c:v>5522.3</c:v>
                </c:pt>
                <c:pt idx="80">
                  <c:v>5648.4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1-457F-8A1C-714FFFE61B8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cadangan!$B$1:$B$81</c:f>
              <c:numCache>
                <c:formatCode>General</c:formatCode>
                <c:ptCount val="81"/>
                <c:pt idx="0">
                  <c:v>0</c:v>
                </c:pt>
                <c:pt idx="1">
                  <c:v>7.2896867769605196</c:v>
                </c:pt>
                <c:pt idx="2">
                  <c:v>7.2176473648841135</c:v>
                </c:pt>
                <c:pt idx="3">
                  <c:v>7.1686397449792185</c:v>
                </c:pt>
                <c:pt idx="4">
                  <c:v>7.1735073112862686</c:v>
                </c:pt>
                <c:pt idx="5">
                  <c:v>7.211949119685741</c:v>
                </c:pt>
                <c:pt idx="6">
                  <c:v>7.2206640960584449</c:v>
                </c:pt>
                <c:pt idx="7">
                  <c:v>7.2848286885761011</c:v>
                </c:pt>
                <c:pt idx="8">
                  <c:v>7.3393296061875803</c:v>
                </c:pt>
                <c:pt idx="9">
                  <c:v>7.3471962717774737</c:v>
                </c:pt>
                <c:pt idx="10">
                  <c:v>7.2162573329511854</c:v>
                </c:pt>
                <c:pt idx="11">
                  <c:v>7.2482632449911906</c:v>
                </c:pt>
                <c:pt idx="12">
                  <c:v>7.0759065243736758</c:v>
                </c:pt>
                <c:pt idx="13">
                  <c:v>7.2111692207000484</c:v>
                </c:pt>
                <c:pt idx="14">
                  <c:v>7.2641769650327541</c:v>
                </c:pt>
                <c:pt idx="15">
                  <c:v>7.2965117273977178</c:v>
                </c:pt>
                <c:pt idx="16">
                  <c:v>7.3671908431180801</c:v>
                </c:pt>
                <c:pt idx="17">
                  <c:v>7.2429331117260611</c:v>
                </c:pt>
                <c:pt idx="18">
                  <c:v>7.3646448701347849</c:v>
                </c:pt>
                <c:pt idx="19">
                  <c:v>7.3886979012256386</c:v>
                </c:pt>
                <c:pt idx="20">
                  <c:v>7.3550503161314884</c:v>
                </c:pt>
                <c:pt idx="21">
                  <c:v>7.3864408747002637</c:v>
                </c:pt>
                <c:pt idx="22">
                  <c:v>7.4238846664658951</c:v>
                </c:pt>
                <c:pt idx="23">
                  <c:v>7.4862839010607694</c:v>
                </c:pt>
                <c:pt idx="24">
                  <c:v>7.539227463002752</c:v>
                </c:pt>
                <c:pt idx="25">
                  <c:v>7.5361569528624521</c:v>
                </c:pt>
                <c:pt idx="26">
                  <c:v>7.3724308624508215</c:v>
                </c:pt>
                <c:pt idx="27">
                  <c:v>7.1301376625707009</c:v>
                </c:pt>
                <c:pt idx="28">
                  <c:v>7.3462190493432713</c:v>
                </c:pt>
                <c:pt idx="29">
                  <c:v>7.4280055329689469</c:v>
                </c:pt>
                <c:pt idx="30">
                  <c:v>7.461919849762257</c:v>
                </c:pt>
                <c:pt idx="31">
                  <c:v>7.5626520445820109</c:v>
                </c:pt>
                <c:pt idx="32">
                  <c:v>7.6917759816036364</c:v>
                </c:pt>
                <c:pt idx="33">
                  <c:v>7.6152070667574048</c:v>
                </c:pt>
                <c:pt idx="34">
                  <c:v>7.5619814911308278</c:v>
                </c:pt>
                <c:pt idx="35">
                  <c:v>7.7575756560807854</c:v>
                </c:pt>
                <c:pt idx="36">
                  <c:v>7.828587667800238</c:v>
                </c:pt>
                <c:pt idx="37">
                  <c:v>7.8067000054482474</c:v>
                </c:pt>
                <c:pt idx="38">
                  <c:v>7.8571312976024821</c:v>
                </c:pt>
                <c:pt idx="39">
                  <c:v>7.9391980360077881</c:v>
                </c:pt>
                <c:pt idx="40">
                  <c:v>8.041266516114888</c:v>
                </c:pt>
                <c:pt idx="41">
                  <c:v>8.0522735031061856</c:v>
                </c:pt>
                <c:pt idx="42">
                  <c:v>8.0966239970889387</c:v>
                </c:pt>
                <c:pt idx="43">
                  <c:v>8.1422820563460157</c:v>
                </c:pt>
                <c:pt idx="44">
                  <c:v>8.2006629976041427</c:v>
                </c:pt>
                <c:pt idx="45">
                  <c:v>8.1013487780268054</c:v>
                </c:pt>
                <c:pt idx="46">
                  <c:v>8.237897190876101</c:v>
                </c:pt>
                <c:pt idx="47">
                  <c:v>8.2206801856958176</c:v>
                </c:pt>
                <c:pt idx="48">
                  <c:v>8.3088823573039203</c:v>
                </c:pt>
                <c:pt idx="49">
                  <c:v>8.1974290010503914</c:v>
                </c:pt>
                <c:pt idx="50">
                  <c:v>8.1323901433944119</c:v>
                </c:pt>
                <c:pt idx="51">
                  <c:v>8.2041648226147625</c:v>
                </c:pt>
                <c:pt idx="52">
                  <c:v>8.0174865282193881</c:v>
                </c:pt>
                <c:pt idx="53">
                  <c:v>8.0175932466185085</c:v>
                </c:pt>
                <c:pt idx="54">
                  <c:v>7.8438155187352736</c:v>
                </c:pt>
                <c:pt idx="55">
                  <c:v>8.0166908567401993</c:v>
                </c:pt>
                <c:pt idx="56">
                  <c:v>7.9302453136154938</c:v>
                </c:pt>
                <c:pt idx="57">
                  <c:v>7.7382198702394582</c:v>
                </c:pt>
                <c:pt idx="58">
                  <c:v>7.8882974106027488</c:v>
                </c:pt>
                <c:pt idx="59">
                  <c:v>7.992229898049847</c:v>
                </c:pt>
                <c:pt idx="60">
                  <c:v>7.8717024238935167</c:v>
                </c:pt>
                <c:pt idx="61">
                  <c:v>7.9905104725110263</c:v>
                </c:pt>
                <c:pt idx="62">
                  <c:v>7.9378288166914404</c:v>
                </c:pt>
                <c:pt idx="63">
                  <c:v>8.0064911189210246</c:v>
                </c:pt>
                <c:pt idx="64">
                  <c:v>8.0356400333662901</c:v>
                </c:pt>
                <c:pt idx="65">
                  <c:v>8.0406221634356747</c:v>
                </c:pt>
                <c:pt idx="66">
                  <c:v>8.167690523045529</c:v>
                </c:pt>
                <c:pt idx="67">
                  <c:v>8.23054451297069</c:v>
                </c:pt>
                <c:pt idx="68">
                  <c:v>8.1938458197535731</c:v>
                </c:pt>
                <c:pt idx="69">
                  <c:v>8.0921692983637143</c:v>
                </c:pt>
                <c:pt idx="70">
                  <c:v>8.047332183991827</c:v>
                </c:pt>
                <c:pt idx="71">
                  <c:v>8.2210401655616199</c:v>
                </c:pt>
                <c:pt idx="72">
                  <c:v>8.3104726620696976</c:v>
                </c:pt>
                <c:pt idx="73">
                  <c:v>8.3433028951375636</c:v>
                </c:pt>
                <c:pt idx="74">
                  <c:v>8.4491516902660138</c:v>
                </c:pt>
                <c:pt idx="75">
                  <c:v>8.5139236176612307</c:v>
                </c:pt>
                <c:pt idx="76">
                  <c:v>8.4239299487328267</c:v>
                </c:pt>
                <c:pt idx="77">
                  <c:v>8.5232900179002797</c:v>
                </c:pt>
                <c:pt idx="78">
                  <c:v>8.5962236318068843</c:v>
                </c:pt>
                <c:pt idx="79">
                  <c:v>8.6204512266879156</c:v>
                </c:pt>
                <c:pt idx="80">
                  <c:v>8.6692466856460104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1-457F-8A1C-714FFFE61B8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cadangan!$C$1:$C$81</c:f>
              <c:numCache>
                <c:formatCode>General</c:formatCode>
                <c:ptCount val="81"/>
                <c:pt idx="0">
                  <c:v>0</c:v>
                </c:pt>
                <c:pt idx="1">
                  <c:v>4.8613418798551402</c:v>
                </c:pt>
                <c:pt idx="2">
                  <c:v>4.8427876610541993</c:v>
                </c:pt>
                <c:pt idx="3">
                  <c:v>4.8300465008242259</c:v>
                </c:pt>
                <c:pt idx="4">
                  <c:v>4.8313163444115927</c:v>
                </c:pt>
                <c:pt idx="5">
                  <c:v>4.8413111989799296</c:v>
                </c:pt>
                <c:pt idx="6">
                  <c:v>4.8435687924315811</c:v>
                </c:pt>
                <c:pt idx="7">
                  <c:v>4.8600971149878198</c:v>
                </c:pt>
                <c:pt idx="8">
                  <c:v>4.874008657493194</c:v>
                </c:pt>
                <c:pt idx="9">
                  <c:v>4.8760070996885077</c:v>
                </c:pt>
                <c:pt idx="10">
                  <c:v>4.8424276127947437</c:v>
                </c:pt>
                <c:pt idx="11">
                  <c:v>4.8506982026521301</c:v>
                </c:pt>
                <c:pt idx="12">
                  <c:v>4.8056681584865153</c:v>
                </c:pt>
                <c:pt idx="13">
                  <c:v>4.8411090191123272</c:v>
                </c:pt>
                <c:pt idx="14">
                  <c:v>4.8547952311446902</c:v>
                </c:pt>
                <c:pt idx="15">
                  <c:v>4.8630890367652571</c:v>
                </c:pt>
                <c:pt idx="16">
                  <c:v>4.8810757502672644</c:v>
                </c:pt>
                <c:pt idx="17">
                  <c:v>4.8493236939975555</c:v>
                </c:pt>
                <c:pt idx="18">
                  <c:v>4.8804311983303554</c:v>
                </c:pt>
                <c:pt idx="19">
                  <c:v>4.8865106673586522</c:v>
                </c:pt>
                <c:pt idx="20">
                  <c:v>4.8779999486988821</c:v>
                </c:pt>
                <c:pt idx="21">
                  <c:v>4.8859411396304697</c:v>
                </c:pt>
                <c:pt idx="22">
                  <c:v>4.8953644551199806</c:v>
                </c:pt>
                <c:pt idx="23">
                  <c:v>4.9109507278875366</c:v>
                </c:pt>
                <c:pt idx="24">
                  <c:v>4.9240616849249585</c:v>
                </c:pt>
                <c:pt idx="25">
                  <c:v>4.9233041172533278</c:v>
                </c:pt>
                <c:pt idx="26">
                  <c:v>4.8824015573203408</c:v>
                </c:pt>
                <c:pt idx="27">
                  <c:v>4.8199679640447508</c:v>
                </c:pt>
                <c:pt idx="28">
                  <c:v>4.87575897705206</c:v>
                </c:pt>
                <c:pt idx="29">
                  <c:v>4.8963982877009053</c:v>
                </c:pt>
                <c:pt idx="30">
                  <c:v>4.9048823451100354</c:v>
                </c:pt>
                <c:pt idx="31">
                  <c:v>4.9298297624460945</c:v>
                </c:pt>
                <c:pt idx="32">
                  <c:v>4.961271219278939</c:v>
                </c:pt>
                <c:pt idx="33">
                  <c:v>4.942698631625376</c:v>
                </c:pt>
                <c:pt idx="34">
                  <c:v>4.9296649227801979</c:v>
                </c:pt>
                <c:pt idx="35">
                  <c:v>4.9770674889300599</c:v>
                </c:pt>
                <c:pt idx="36">
                  <c:v>4.9939482131783421</c:v>
                </c:pt>
                <c:pt idx="37">
                  <c:v>4.9887634248222108</c:v>
                </c:pt>
                <c:pt idx="38">
                  <c:v>5.0006854441856907</c:v>
                </c:pt>
                <c:pt idx="39">
                  <c:v>5.0199049025725246</c:v>
                </c:pt>
                <c:pt idx="40">
                  <c:v>5.0435020263479196</c:v>
                </c:pt>
                <c:pt idx="41">
                  <c:v>5.046026773864944</c:v>
                </c:pt>
                <c:pt idx="42">
                  <c:v>5.0561609514066941</c:v>
                </c:pt>
                <c:pt idx="43">
                  <c:v>5.0665295501145895</c:v>
                </c:pt>
                <c:pt idx="44">
                  <c:v>5.0796935398684324</c:v>
                </c:pt>
                <c:pt idx="45">
                  <c:v>5.0572369288956249</c:v>
                </c:pt>
                <c:pt idx="46">
                  <c:v>5.0880349236926676</c:v>
                </c:pt>
                <c:pt idx="47">
                  <c:v>5.0841831116480956</c:v>
                </c:pt>
                <c:pt idx="48">
                  <c:v>5.1038217985734731</c:v>
                </c:pt>
                <c:pt idx="49">
                  <c:v>5.0789670562642266</c:v>
                </c:pt>
                <c:pt idx="50">
                  <c:v>5.0642886731375416</c:v>
                </c:pt>
                <c:pt idx="51">
                  <c:v>5.080479828967273</c:v>
                </c:pt>
                <c:pt idx="52">
                  <c:v>5.0380342834576091</c:v>
                </c:pt>
                <c:pt idx="53">
                  <c:v>5.038058861597162</c:v>
                </c:pt>
                <c:pt idx="54">
                  <c:v>4.9975458865896902</c:v>
                </c:pt>
                <c:pt idx="55">
                  <c:v>5.0378510221757828</c:v>
                </c:pt>
                <c:pt idx="56">
                  <c:v>5.0178190234932369</c:v>
                </c:pt>
                <c:pt idx="57">
                  <c:v>4.9724363902640061</c:v>
                </c:pt>
                <c:pt idx="58">
                  <c:v>5.0080105715700984</c:v>
                </c:pt>
                <c:pt idx="59">
                  <c:v>5.0322071985133752</c:v>
                </c:pt>
                <c:pt idx="60">
                  <c:v>5.0041141934276121</c:v>
                </c:pt>
                <c:pt idx="61">
                  <c:v>5.031809755577382</c:v>
                </c:pt>
                <c:pt idx="62">
                  <c:v>5.0195860604121068</c:v>
                </c:pt>
                <c:pt idx="63">
                  <c:v>5.0354999938591254</c:v>
                </c:pt>
                <c:pt idx="64">
                  <c:v>5.0422099547038686</c:v>
                </c:pt>
                <c:pt idx="65">
                  <c:v>5.0433541075552615</c:v>
                </c:pt>
                <c:pt idx="66">
                  <c:v>5.0722716298371662</c:v>
                </c:pt>
                <c:pt idx="67">
                  <c:v>5.0863910691471821</c:v>
                </c:pt>
                <c:pt idx="68">
                  <c:v>5.078161759444856</c:v>
                </c:pt>
                <c:pt idx="69">
                  <c:v>5.0551458394696613</c:v>
                </c:pt>
                <c:pt idx="70">
                  <c:v>5.0448938255980806</c:v>
                </c:pt>
                <c:pt idx="71">
                  <c:v>5.0842637386664515</c:v>
                </c:pt>
                <c:pt idx="72">
                  <c:v>5.104173757535273</c:v>
                </c:pt>
                <c:pt idx="73">
                  <c:v>5.1114229097280903</c:v>
                </c:pt>
                <c:pt idx="74">
                  <c:v>5.134580954833261</c:v>
                </c:pt>
                <c:pt idx="75">
                  <c:v>5.1485935973408932</c:v>
                </c:pt>
                <c:pt idx="76">
                  <c:v>5.1290922128849514</c:v>
                </c:pt>
                <c:pt idx="77">
                  <c:v>5.150610104095902</c:v>
                </c:pt>
                <c:pt idx="78">
                  <c:v>5.1662283988117883</c:v>
                </c:pt>
                <c:pt idx="79">
                  <c:v>5.171384061696739</c:v>
                </c:pt>
                <c:pt idx="80">
                  <c:v>5.1817191528549822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1-457F-8A1C-714FFFE61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480063"/>
        <c:axId val="618478143"/>
      </c:lineChart>
      <c:catAx>
        <c:axId val="618480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18478143"/>
        <c:crosses val="autoZero"/>
        <c:auto val="1"/>
        <c:lblAlgn val="ctr"/>
        <c:lblOffset val="100"/>
        <c:noMultiLvlLbl val="0"/>
      </c:catAx>
      <c:valAx>
        <c:axId val="6184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1848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cadangan!$C$1</c:f>
              <c:strCache>
                <c:ptCount val="1"/>
                <c:pt idx="0">
                  <c:v>T1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cadangan!$C$2:$C$81</c:f>
              <c:numCache>
                <c:formatCode>General</c:formatCode>
                <c:ptCount val="80"/>
                <c:pt idx="0">
                  <c:v>4.8613418798551402</c:v>
                </c:pt>
                <c:pt idx="1">
                  <c:v>4.8427876610541993</c:v>
                </c:pt>
                <c:pt idx="2">
                  <c:v>4.8300465008242259</c:v>
                </c:pt>
                <c:pt idx="3">
                  <c:v>4.8313163444115927</c:v>
                </c:pt>
                <c:pt idx="4">
                  <c:v>4.8413111989799296</c:v>
                </c:pt>
                <c:pt idx="5">
                  <c:v>4.8435687924315811</c:v>
                </c:pt>
                <c:pt idx="6">
                  <c:v>4.8600971149878198</c:v>
                </c:pt>
                <c:pt idx="7">
                  <c:v>4.874008657493194</c:v>
                </c:pt>
                <c:pt idx="8">
                  <c:v>4.8760070996885077</c:v>
                </c:pt>
                <c:pt idx="9">
                  <c:v>4.8424276127947437</c:v>
                </c:pt>
                <c:pt idx="10">
                  <c:v>4.8506982026521301</c:v>
                </c:pt>
                <c:pt idx="11">
                  <c:v>4.8056681584865153</c:v>
                </c:pt>
                <c:pt idx="12">
                  <c:v>4.8411090191123272</c:v>
                </c:pt>
                <c:pt idx="13">
                  <c:v>4.8547952311446902</c:v>
                </c:pt>
                <c:pt idx="14">
                  <c:v>4.8630890367652571</c:v>
                </c:pt>
                <c:pt idx="15">
                  <c:v>4.8810757502672644</c:v>
                </c:pt>
                <c:pt idx="16">
                  <c:v>4.8493236939975555</c:v>
                </c:pt>
                <c:pt idx="17">
                  <c:v>4.8804311983303554</c:v>
                </c:pt>
                <c:pt idx="18">
                  <c:v>4.8865106673586522</c:v>
                </c:pt>
                <c:pt idx="19">
                  <c:v>4.8779999486988821</c:v>
                </c:pt>
                <c:pt idx="20">
                  <c:v>4.8859411396304697</c:v>
                </c:pt>
                <c:pt idx="21">
                  <c:v>4.8953644551199806</c:v>
                </c:pt>
                <c:pt idx="22">
                  <c:v>4.9109507278875366</c:v>
                </c:pt>
                <c:pt idx="23">
                  <c:v>4.9240616849249585</c:v>
                </c:pt>
                <c:pt idx="24">
                  <c:v>4.9233041172533278</c:v>
                </c:pt>
                <c:pt idx="25">
                  <c:v>4.8824015573203408</c:v>
                </c:pt>
                <c:pt idx="26">
                  <c:v>4.8199679640447508</c:v>
                </c:pt>
                <c:pt idx="27">
                  <c:v>4.87575897705206</c:v>
                </c:pt>
                <c:pt idx="28">
                  <c:v>4.8963982877009053</c:v>
                </c:pt>
                <c:pt idx="29">
                  <c:v>4.9048823451100354</c:v>
                </c:pt>
                <c:pt idx="30">
                  <c:v>4.9298297624460945</c:v>
                </c:pt>
                <c:pt idx="31">
                  <c:v>4.961271219278939</c:v>
                </c:pt>
                <c:pt idx="32">
                  <c:v>4.942698631625376</c:v>
                </c:pt>
                <c:pt idx="33">
                  <c:v>4.9296649227801979</c:v>
                </c:pt>
                <c:pt idx="34">
                  <c:v>4.9770674889300599</c:v>
                </c:pt>
                <c:pt idx="35">
                  <c:v>4.9939482131783421</c:v>
                </c:pt>
                <c:pt idx="36">
                  <c:v>4.9887634248222108</c:v>
                </c:pt>
                <c:pt idx="37">
                  <c:v>5.0006854441856907</c:v>
                </c:pt>
                <c:pt idx="38">
                  <c:v>5.0199049025725246</c:v>
                </c:pt>
                <c:pt idx="39">
                  <c:v>5.0435020263479196</c:v>
                </c:pt>
                <c:pt idx="40">
                  <c:v>5.046026773864944</c:v>
                </c:pt>
                <c:pt idx="41">
                  <c:v>5.0561609514066941</c:v>
                </c:pt>
                <c:pt idx="42">
                  <c:v>5.0665295501145895</c:v>
                </c:pt>
                <c:pt idx="43">
                  <c:v>5.0796935398684324</c:v>
                </c:pt>
                <c:pt idx="44">
                  <c:v>5.0572369288956249</c:v>
                </c:pt>
                <c:pt idx="45">
                  <c:v>5.0880349236926676</c:v>
                </c:pt>
                <c:pt idx="46">
                  <c:v>5.0841831116480956</c:v>
                </c:pt>
                <c:pt idx="47">
                  <c:v>5.1038217985734731</c:v>
                </c:pt>
                <c:pt idx="48">
                  <c:v>5.0789670562642266</c:v>
                </c:pt>
                <c:pt idx="49">
                  <c:v>5.0642886731375416</c:v>
                </c:pt>
                <c:pt idx="50">
                  <c:v>5.080479828967273</c:v>
                </c:pt>
                <c:pt idx="51">
                  <c:v>5.0380342834576091</c:v>
                </c:pt>
                <c:pt idx="52">
                  <c:v>5.038058861597162</c:v>
                </c:pt>
                <c:pt idx="53">
                  <c:v>4.9975458865896902</c:v>
                </c:pt>
                <c:pt idx="54">
                  <c:v>5.0378510221757828</c:v>
                </c:pt>
                <c:pt idx="55">
                  <c:v>5.0178190234932369</c:v>
                </c:pt>
                <c:pt idx="56">
                  <c:v>4.9724363902640061</c:v>
                </c:pt>
                <c:pt idx="57">
                  <c:v>5.0080105715700984</c:v>
                </c:pt>
                <c:pt idx="58">
                  <c:v>5.0322071985133752</c:v>
                </c:pt>
                <c:pt idx="59">
                  <c:v>5.0041141934276121</c:v>
                </c:pt>
                <c:pt idx="60">
                  <c:v>5.031809755577382</c:v>
                </c:pt>
                <c:pt idx="61">
                  <c:v>5.0195860604121068</c:v>
                </c:pt>
                <c:pt idx="62">
                  <c:v>5.0354999938591254</c:v>
                </c:pt>
                <c:pt idx="63">
                  <c:v>5.0422099547038686</c:v>
                </c:pt>
                <c:pt idx="64">
                  <c:v>5.0433541075552615</c:v>
                </c:pt>
                <c:pt idx="65">
                  <c:v>5.0722716298371662</c:v>
                </c:pt>
                <c:pt idx="66">
                  <c:v>5.0863910691471821</c:v>
                </c:pt>
                <c:pt idx="67">
                  <c:v>5.078161759444856</c:v>
                </c:pt>
                <c:pt idx="68">
                  <c:v>5.0551458394696613</c:v>
                </c:pt>
                <c:pt idx="69">
                  <c:v>5.0448938255980806</c:v>
                </c:pt>
                <c:pt idx="70">
                  <c:v>5.0842637386664515</c:v>
                </c:pt>
                <c:pt idx="71">
                  <c:v>5.104173757535273</c:v>
                </c:pt>
                <c:pt idx="72">
                  <c:v>5.1114229097280903</c:v>
                </c:pt>
                <c:pt idx="73">
                  <c:v>5.134580954833261</c:v>
                </c:pt>
                <c:pt idx="74">
                  <c:v>5.1485935973408932</c:v>
                </c:pt>
                <c:pt idx="75">
                  <c:v>5.1290922128849514</c:v>
                </c:pt>
                <c:pt idx="76">
                  <c:v>5.150610104095902</c:v>
                </c:pt>
                <c:pt idx="77">
                  <c:v>5.1662283988117883</c:v>
                </c:pt>
                <c:pt idx="78">
                  <c:v>5.171384061696739</c:v>
                </c:pt>
                <c:pt idx="79">
                  <c:v>5.1817191528549822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5E-4E32-8652-251321EEB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375807"/>
        <c:axId val="999377247"/>
      </c:lineChart>
      <c:lineChart>
        <c:grouping val="standard"/>
        <c:varyColors val="0"/>
        <c:ser>
          <c:idx val="1"/>
          <c:order val="1"/>
          <c:tx>
            <c:strRef>
              <c:f>cadangan!$D$1</c:f>
              <c:strCache>
                <c:ptCount val="1"/>
                <c:pt idx="0">
                  <c:v>SP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cadangan!$D$2:$D$81</c:f>
              <c:numCache>
                <c:formatCode>0.00</c:formatCode>
                <c:ptCount val="80"/>
                <c:pt idx="0">
                  <c:v>2823.81</c:v>
                </c:pt>
                <c:pt idx="1">
                  <c:v>2713.83</c:v>
                </c:pt>
                <c:pt idx="2">
                  <c:v>2640.87</c:v>
                </c:pt>
                <c:pt idx="3">
                  <c:v>2648.05</c:v>
                </c:pt>
                <c:pt idx="4">
                  <c:v>2705.27</c:v>
                </c:pt>
                <c:pt idx="5">
                  <c:v>2718.37</c:v>
                </c:pt>
                <c:pt idx="6">
                  <c:v>2816.29</c:v>
                </c:pt>
                <c:pt idx="7">
                  <c:v>2901.52</c:v>
                </c:pt>
                <c:pt idx="8">
                  <c:v>2913.98</c:v>
                </c:pt>
                <c:pt idx="9">
                  <c:v>2711.74</c:v>
                </c:pt>
                <c:pt idx="10">
                  <c:v>2760.17</c:v>
                </c:pt>
                <c:pt idx="11">
                  <c:v>2506.85</c:v>
                </c:pt>
                <c:pt idx="12">
                  <c:v>2704.1</c:v>
                </c:pt>
                <c:pt idx="13">
                  <c:v>2784.49</c:v>
                </c:pt>
                <c:pt idx="14">
                  <c:v>2834.4</c:v>
                </c:pt>
                <c:pt idx="15">
                  <c:v>2945.83</c:v>
                </c:pt>
                <c:pt idx="16">
                  <c:v>2752.06</c:v>
                </c:pt>
                <c:pt idx="17">
                  <c:v>2941.76</c:v>
                </c:pt>
                <c:pt idx="18">
                  <c:v>2980.38</c:v>
                </c:pt>
                <c:pt idx="19">
                  <c:v>2926.46</c:v>
                </c:pt>
                <c:pt idx="20">
                  <c:v>2976.74</c:v>
                </c:pt>
                <c:pt idx="21">
                  <c:v>3037.56</c:v>
                </c:pt>
                <c:pt idx="22">
                  <c:v>3140.98</c:v>
                </c:pt>
                <c:pt idx="23">
                  <c:v>3230.78</c:v>
                </c:pt>
                <c:pt idx="24">
                  <c:v>3225.52</c:v>
                </c:pt>
                <c:pt idx="25">
                  <c:v>2954.22</c:v>
                </c:pt>
                <c:pt idx="26">
                  <c:v>2584.59</c:v>
                </c:pt>
                <c:pt idx="27">
                  <c:v>2912.43</c:v>
                </c:pt>
                <c:pt idx="28">
                  <c:v>3044.31</c:v>
                </c:pt>
                <c:pt idx="29">
                  <c:v>3100.29</c:v>
                </c:pt>
                <c:pt idx="30">
                  <c:v>3271.12</c:v>
                </c:pt>
                <c:pt idx="31">
                  <c:v>3500.31</c:v>
                </c:pt>
                <c:pt idx="32">
                  <c:v>3363</c:v>
                </c:pt>
                <c:pt idx="33">
                  <c:v>3269.96</c:v>
                </c:pt>
                <c:pt idx="34">
                  <c:v>3621.63</c:v>
                </c:pt>
                <c:pt idx="35">
                  <c:v>3756.07</c:v>
                </c:pt>
                <c:pt idx="36">
                  <c:v>3714.24</c:v>
                </c:pt>
                <c:pt idx="37">
                  <c:v>3811.15</c:v>
                </c:pt>
                <c:pt idx="38">
                  <c:v>3972.89</c:v>
                </c:pt>
                <c:pt idx="39">
                  <c:v>4181.17</c:v>
                </c:pt>
                <c:pt idx="40">
                  <c:v>4204.1099999999997</c:v>
                </c:pt>
                <c:pt idx="41">
                  <c:v>4297.5</c:v>
                </c:pt>
                <c:pt idx="42">
                  <c:v>4395.26</c:v>
                </c:pt>
                <c:pt idx="43">
                  <c:v>4522.68</c:v>
                </c:pt>
                <c:pt idx="44">
                  <c:v>4307.54</c:v>
                </c:pt>
                <c:pt idx="45">
                  <c:v>4605.38</c:v>
                </c:pt>
                <c:pt idx="46">
                  <c:v>4567</c:v>
                </c:pt>
                <c:pt idx="47">
                  <c:v>4766.18</c:v>
                </c:pt>
                <c:pt idx="48">
                  <c:v>4515.55</c:v>
                </c:pt>
                <c:pt idx="49">
                  <c:v>4373.9399999999996</c:v>
                </c:pt>
                <c:pt idx="50">
                  <c:v>4530.41</c:v>
                </c:pt>
                <c:pt idx="51">
                  <c:v>4131.93</c:v>
                </c:pt>
                <c:pt idx="52">
                  <c:v>4132.1499999999996</c:v>
                </c:pt>
                <c:pt idx="53">
                  <c:v>3785.38</c:v>
                </c:pt>
                <c:pt idx="54">
                  <c:v>4130.29</c:v>
                </c:pt>
                <c:pt idx="55">
                  <c:v>3955</c:v>
                </c:pt>
                <c:pt idx="56">
                  <c:v>3585.62</c:v>
                </c:pt>
                <c:pt idx="57">
                  <c:v>3871.98</c:v>
                </c:pt>
                <c:pt idx="58">
                  <c:v>4080.11</c:v>
                </c:pt>
                <c:pt idx="59">
                  <c:v>3839.5</c:v>
                </c:pt>
                <c:pt idx="60">
                  <c:v>4076.6</c:v>
                </c:pt>
                <c:pt idx="61">
                  <c:v>3970.15</c:v>
                </c:pt>
                <c:pt idx="62">
                  <c:v>4109.3100000000004</c:v>
                </c:pt>
                <c:pt idx="63">
                  <c:v>4169.4799999999996</c:v>
                </c:pt>
                <c:pt idx="64">
                  <c:v>4179.83</c:v>
                </c:pt>
                <c:pt idx="65">
                  <c:v>4450.38</c:v>
                </c:pt>
                <c:pt idx="66">
                  <c:v>4588.96</c:v>
                </c:pt>
                <c:pt idx="67">
                  <c:v>4507.66</c:v>
                </c:pt>
                <c:pt idx="68">
                  <c:v>4288.05</c:v>
                </c:pt>
                <c:pt idx="69">
                  <c:v>4193.8</c:v>
                </c:pt>
                <c:pt idx="70">
                  <c:v>4567.8</c:v>
                </c:pt>
                <c:pt idx="71">
                  <c:v>4769.83</c:v>
                </c:pt>
                <c:pt idx="72">
                  <c:v>4845.6499999999996</c:v>
                </c:pt>
                <c:pt idx="73">
                  <c:v>5096.2700000000004</c:v>
                </c:pt>
                <c:pt idx="74">
                  <c:v>5254.35</c:v>
                </c:pt>
                <c:pt idx="75">
                  <c:v>5035.6899999999996</c:v>
                </c:pt>
                <c:pt idx="76">
                  <c:v>5277.51</c:v>
                </c:pt>
                <c:pt idx="77">
                  <c:v>5460.48</c:v>
                </c:pt>
                <c:pt idx="78">
                  <c:v>5522.3</c:v>
                </c:pt>
                <c:pt idx="79">
                  <c:v>5648.4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5E-4E32-8652-251321EEB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598559"/>
        <c:axId val="867598079"/>
      </c:lineChart>
      <c:catAx>
        <c:axId val="999375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99377247"/>
        <c:crosses val="autoZero"/>
        <c:auto val="1"/>
        <c:lblAlgn val="ctr"/>
        <c:lblOffset val="100"/>
        <c:noMultiLvlLbl val="0"/>
      </c:catAx>
      <c:valAx>
        <c:axId val="99937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99375807"/>
        <c:crosses val="autoZero"/>
        <c:crossBetween val="between"/>
      </c:valAx>
      <c:valAx>
        <c:axId val="86759807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7598559"/>
        <c:crosses val="max"/>
        <c:crossBetween val="between"/>
      </c:valAx>
      <c:catAx>
        <c:axId val="867598559"/>
        <c:scaling>
          <c:orientation val="minMax"/>
        </c:scaling>
        <c:delete val="1"/>
        <c:axPos val="b"/>
        <c:majorTickMark val="out"/>
        <c:minorTickMark val="none"/>
        <c:tickLblPos val="nextTo"/>
        <c:crossAx val="867598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'FORECAST MASA DEPAN'!$E$100:$E$109</c:f>
              <c:numCache>
                <c:formatCode>General</c:formatCode>
                <c:ptCount val="10"/>
                <c:pt idx="0">
                  <c:v>5271.5934789796574</c:v>
                </c:pt>
                <c:pt idx="1">
                  <c:v>5333.736398561703</c:v>
                </c:pt>
                <c:pt idx="2">
                  <c:v>5420.7077344903037</c:v>
                </c:pt>
                <c:pt idx="3">
                  <c:v>5614.096354585372</c:v>
                </c:pt>
                <c:pt idx="4">
                  <c:v>5753.2736180350385</c:v>
                </c:pt>
                <c:pt idx="5">
                  <c:v>5761.1170123350375</c:v>
                </c:pt>
                <c:pt idx="6">
                  <c:v>5772.3422663350384</c:v>
                </c:pt>
                <c:pt idx="7">
                  <c:v>5790.8677409350366</c:v>
                </c:pt>
                <c:pt idx="8">
                  <c:v>5776.9270150350367</c:v>
                </c:pt>
                <c:pt idx="9">
                  <c:v>5749.7732899350385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7-4D5D-BDBE-6C0F73562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465792"/>
        <c:axId val="587984128"/>
      </c:lineChart>
      <c:catAx>
        <c:axId val="590465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7984128"/>
        <c:crosses val="autoZero"/>
        <c:auto val="1"/>
        <c:lblAlgn val="ctr"/>
        <c:lblOffset val="100"/>
        <c:noMultiLvlLbl val="0"/>
      </c:catAx>
      <c:valAx>
        <c:axId val="5879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046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46981627296588"/>
          <c:y val="2.5428331875182269E-2"/>
          <c:w val="0.87753018372703417"/>
          <c:h val="0.8416746864975212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'FORECAST MASA DEPAN DGN CONSTAN'!$E$100:$E$109</c:f>
              <c:numCache>
                <c:formatCode>General</c:formatCode>
                <c:ptCount val="10"/>
                <c:pt idx="0">
                  <c:v>5302.9458409553581</c:v>
                </c:pt>
                <c:pt idx="1">
                  <c:v>5396.4411225131043</c:v>
                </c:pt>
                <c:pt idx="2">
                  <c:v>5514.7648204174056</c:v>
                </c:pt>
                <c:pt idx="3">
                  <c:v>5739.5058024881746</c:v>
                </c:pt>
                <c:pt idx="4">
                  <c:v>5910.0354279135418</c:v>
                </c:pt>
                <c:pt idx="5">
                  <c:v>5960.3788222135408</c:v>
                </c:pt>
                <c:pt idx="6">
                  <c:v>6014.1040762135417</c:v>
                </c:pt>
                <c:pt idx="7">
                  <c:v>6075.1295508135399</c:v>
                </c:pt>
                <c:pt idx="8">
                  <c:v>6103.68882491354</c:v>
                </c:pt>
                <c:pt idx="9">
                  <c:v>6119.0350998135418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4F-4224-A7BE-B04A8B9F8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451552"/>
        <c:axId val="590455392"/>
      </c:lineChart>
      <c:catAx>
        <c:axId val="590451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0455392"/>
        <c:crosses val="autoZero"/>
        <c:auto val="1"/>
        <c:lblAlgn val="ctr"/>
        <c:lblOffset val="100"/>
        <c:noMultiLvlLbl val="0"/>
      </c:catAx>
      <c:valAx>
        <c:axId val="59045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045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85187</xdr:colOff>
      <xdr:row>55</xdr:row>
      <xdr:rowOff>144350</xdr:rowOff>
    </xdr:from>
    <xdr:to>
      <xdr:col>24</xdr:col>
      <xdr:colOff>1108789</xdr:colOff>
      <xdr:row>70</xdr:row>
      <xdr:rowOff>170913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D84B7E63-0F03-9E2B-5696-A23D17675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427691</xdr:colOff>
      <xdr:row>0</xdr:row>
      <xdr:rowOff>217694</xdr:rowOff>
    </xdr:from>
    <xdr:to>
      <xdr:col>12</xdr:col>
      <xdr:colOff>55216</xdr:colOff>
      <xdr:row>15</xdr:row>
      <xdr:rowOff>55217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4CE1DCAF-6832-FEE9-1BE3-B1664A1EE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130968</xdr:colOff>
      <xdr:row>0</xdr:row>
      <xdr:rowOff>109537</xdr:rowOff>
    </xdr:from>
    <xdr:to>
      <xdr:col>26</xdr:col>
      <xdr:colOff>169068</xdr:colOff>
      <xdr:row>14</xdr:row>
      <xdr:rowOff>166687</xdr:rowOff>
    </xdr:to>
    <xdr:graphicFrame macro="">
      <xdr:nvGraphicFramePr>
        <xdr:cNvPr id="5" name="Bagan 4">
          <a:extLst>
            <a:ext uri="{FF2B5EF4-FFF2-40B4-BE49-F238E27FC236}">
              <a16:creationId xmlns:a16="http://schemas.microsoft.com/office/drawing/2014/main" id="{F95C2495-F695-70C9-DDB4-C24C50CE4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883443</xdr:colOff>
      <xdr:row>30</xdr:row>
      <xdr:rowOff>57150</xdr:rowOff>
    </xdr:from>
    <xdr:to>
      <xdr:col>36</xdr:col>
      <xdr:colOff>116680</xdr:colOff>
      <xdr:row>45</xdr:row>
      <xdr:rowOff>85725</xdr:rowOff>
    </xdr:to>
    <xdr:graphicFrame macro="">
      <xdr:nvGraphicFramePr>
        <xdr:cNvPr id="6" name="Bagan 5">
          <a:extLst>
            <a:ext uri="{FF2B5EF4-FFF2-40B4-BE49-F238E27FC236}">
              <a16:creationId xmlns:a16="http://schemas.microsoft.com/office/drawing/2014/main" id="{19439B51-F118-15B3-8A47-263BF945E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216693</xdr:colOff>
      <xdr:row>0</xdr:row>
      <xdr:rowOff>180975</xdr:rowOff>
    </xdr:from>
    <xdr:to>
      <xdr:col>47</xdr:col>
      <xdr:colOff>254793</xdr:colOff>
      <xdr:row>15</xdr:row>
      <xdr:rowOff>57150</xdr:rowOff>
    </xdr:to>
    <xdr:graphicFrame macro="">
      <xdr:nvGraphicFramePr>
        <xdr:cNvPr id="7" name="Bagan 6">
          <a:extLst>
            <a:ext uri="{FF2B5EF4-FFF2-40B4-BE49-F238E27FC236}">
              <a16:creationId xmlns:a16="http://schemas.microsoft.com/office/drawing/2014/main" id="{B9EC15B8-E5AA-CE72-0733-92AC3BF55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264318</xdr:colOff>
      <xdr:row>0</xdr:row>
      <xdr:rowOff>180974</xdr:rowOff>
    </xdr:from>
    <xdr:to>
      <xdr:col>61</xdr:col>
      <xdr:colOff>302418</xdr:colOff>
      <xdr:row>15</xdr:row>
      <xdr:rowOff>57149</xdr:rowOff>
    </xdr:to>
    <xdr:graphicFrame macro="">
      <xdr:nvGraphicFramePr>
        <xdr:cNvPr id="9" name="Bagan 8">
          <a:extLst>
            <a:ext uri="{FF2B5EF4-FFF2-40B4-BE49-F238E27FC236}">
              <a16:creationId xmlns:a16="http://schemas.microsoft.com/office/drawing/2014/main" id="{B3509EDB-EB70-301C-1CCC-F1712D759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69</xdr:col>
      <xdr:colOff>154780</xdr:colOff>
      <xdr:row>0</xdr:row>
      <xdr:rowOff>195261</xdr:rowOff>
    </xdr:from>
    <xdr:to>
      <xdr:col>76</xdr:col>
      <xdr:colOff>192880</xdr:colOff>
      <xdr:row>14</xdr:row>
      <xdr:rowOff>90486</xdr:rowOff>
    </xdr:to>
    <xdr:graphicFrame macro="">
      <xdr:nvGraphicFramePr>
        <xdr:cNvPr id="10" name="Bagan 9">
          <a:extLst>
            <a:ext uri="{FF2B5EF4-FFF2-40B4-BE49-F238E27FC236}">
              <a16:creationId xmlns:a16="http://schemas.microsoft.com/office/drawing/2014/main" id="{42AAE9B3-9BD4-7C5A-D77E-E14A733DD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597693</xdr:colOff>
      <xdr:row>21</xdr:row>
      <xdr:rowOff>61912</xdr:rowOff>
    </xdr:from>
    <xdr:to>
      <xdr:col>16</xdr:col>
      <xdr:colOff>709614</xdr:colOff>
      <xdr:row>40</xdr:row>
      <xdr:rowOff>142875</xdr:rowOff>
    </xdr:to>
    <xdr:graphicFrame macro="">
      <xdr:nvGraphicFramePr>
        <xdr:cNvPr id="11" name="Bagan 10">
          <a:extLst>
            <a:ext uri="{FF2B5EF4-FFF2-40B4-BE49-F238E27FC236}">
              <a16:creationId xmlns:a16="http://schemas.microsoft.com/office/drawing/2014/main" id="{F6899CA2-7056-2689-6414-20F2325D9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515215</xdr:colOff>
      <xdr:row>71</xdr:row>
      <xdr:rowOff>148070</xdr:rowOff>
    </xdr:from>
    <xdr:to>
      <xdr:col>22</xdr:col>
      <xdr:colOff>56282</xdr:colOff>
      <xdr:row>86</xdr:row>
      <xdr:rowOff>163657</xdr:rowOff>
    </xdr:to>
    <xdr:graphicFrame macro="">
      <xdr:nvGraphicFramePr>
        <xdr:cNvPr id="7" name="Bagan 6">
          <a:extLst>
            <a:ext uri="{FF2B5EF4-FFF2-40B4-BE49-F238E27FC236}">
              <a16:creationId xmlns:a16="http://schemas.microsoft.com/office/drawing/2014/main" id="{9DA58509-821F-C31F-245E-0D64CD360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507176</xdr:colOff>
      <xdr:row>0</xdr:row>
      <xdr:rowOff>43296</xdr:rowOff>
    </xdr:from>
    <xdr:to>
      <xdr:col>14</xdr:col>
      <xdr:colOff>488784</xdr:colOff>
      <xdr:row>24</xdr:row>
      <xdr:rowOff>81464</xdr:rowOff>
    </xdr:to>
    <xdr:graphicFrame macro="">
      <xdr:nvGraphicFramePr>
        <xdr:cNvPr id="8" name="Bagan 7">
          <a:extLst>
            <a:ext uri="{FF2B5EF4-FFF2-40B4-BE49-F238E27FC236}">
              <a16:creationId xmlns:a16="http://schemas.microsoft.com/office/drawing/2014/main" id="{D4FB78DC-4145-AD29-571F-32758B8D4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39221</xdr:colOff>
      <xdr:row>51</xdr:row>
      <xdr:rowOff>57150</xdr:rowOff>
    </xdr:from>
    <xdr:to>
      <xdr:col>11</xdr:col>
      <xdr:colOff>100854</xdr:colOff>
      <xdr:row>66</xdr:row>
      <xdr:rowOff>68916</xdr:rowOff>
    </xdr:to>
    <xdr:graphicFrame macro="">
      <xdr:nvGraphicFramePr>
        <xdr:cNvPr id="14" name="Bagan 13">
          <a:extLst>
            <a:ext uri="{FF2B5EF4-FFF2-40B4-BE49-F238E27FC236}">
              <a16:creationId xmlns:a16="http://schemas.microsoft.com/office/drawing/2014/main" id="{07A80288-1134-9DEF-0157-09E295208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378236</xdr:colOff>
      <xdr:row>126</xdr:row>
      <xdr:rowOff>98562</xdr:rowOff>
    </xdr:from>
    <xdr:to>
      <xdr:col>44</xdr:col>
      <xdr:colOff>512668</xdr:colOff>
      <xdr:row>146</xdr:row>
      <xdr:rowOff>103654</xdr:rowOff>
    </xdr:to>
    <xdr:graphicFrame macro="">
      <xdr:nvGraphicFramePr>
        <xdr:cNvPr id="15" name="Bagan 14">
          <a:extLst>
            <a:ext uri="{FF2B5EF4-FFF2-40B4-BE49-F238E27FC236}">
              <a16:creationId xmlns:a16="http://schemas.microsoft.com/office/drawing/2014/main" id="{C96CC0DC-756B-CC74-FA4F-E695B7D8F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126067</xdr:colOff>
      <xdr:row>63</xdr:row>
      <xdr:rowOff>15615</xdr:rowOff>
    </xdr:from>
    <xdr:to>
      <xdr:col>47</xdr:col>
      <xdr:colOff>488780</xdr:colOff>
      <xdr:row>82</xdr:row>
      <xdr:rowOff>84044</xdr:rowOff>
    </xdr:to>
    <xdr:graphicFrame macro="">
      <xdr:nvGraphicFramePr>
        <xdr:cNvPr id="17" name="Bagan 16">
          <a:extLst>
            <a:ext uri="{FF2B5EF4-FFF2-40B4-BE49-F238E27FC236}">
              <a16:creationId xmlns:a16="http://schemas.microsoft.com/office/drawing/2014/main" id="{AD833486-991A-5D34-61DE-5DA5A0258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118480</xdr:colOff>
      <xdr:row>10</xdr:row>
      <xdr:rowOff>13591</xdr:rowOff>
    </xdr:from>
    <xdr:to>
      <xdr:col>16</xdr:col>
      <xdr:colOff>137066</xdr:colOff>
      <xdr:row>25</xdr:row>
      <xdr:rowOff>56104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1C7CB4CE-2BF5-4751-C2AB-6C2343688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66210</xdr:colOff>
      <xdr:row>50</xdr:row>
      <xdr:rowOff>158787</xdr:rowOff>
    </xdr:from>
    <xdr:to>
      <xdr:col>18</xdr:col>
      <xdr:colOff>84795</xdr:colOff>
      <xdr:row>66</xdr:row>
      <xdr:rowOff>21256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6AE2B877-364C-E44A-611A-76C326EF4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502443</xdr:colOff>
      <xdr:row>97</xdr:row>
      <xdr:rowOff>138112</xdr:rowOff>
    </xdr:from>
    <xdr:to>
      <xdr:col>11</xdr:col>
      <xdr:colOff>540543</xdr:colOff>
      <xdr:row>112</xdr:row>
      <xdr:rowOff>166687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C1DE9204-AD8B-442D-E9A0-6ED75DA91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502443</xdr:colOff>
      <xdr:row>88</xdr:row>
      <xdr:rowOff>138112</xdr:rowOff>
    </xdr:from>
    <xdr:to>
      <xdr:col>11</xdr:col>
      <xdr:colOff>540543</xdr:colOff>
      <xdr:row>103</xdr:row>
      <xdr:rowOff>166687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AB11A261-9C77-A705-EC5A-AF3228CF6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8f7c1c5f87ad976/Dokumen/DATA%20TUGAS%20AKHIR/UJI%20KS%20ARIMA%20X1.xlsx" TargetMode="External"/><Relationship Id="rId1" Type="http://schemas.openxmlformats.org/officeDocument/2006/relationships/externalLinkPath" Target="UJI%20KS%20ARIMA%20X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8f7c1c5f87ad976/Dokumen/DATA%20TUGAS%20AKHIR/UJI%20KS%20ARIMA%20X2.xlsx" TargetMode="External"/><Relationship Id="rId1" Type="http://schemas.openxmlformats.org/officeDocument/2006/relationships/externalLinkPath" Target="UJI%20KS%20ARIMA%20X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8f7c1c5f87ad976/Dokumen/DATA%20TUGAS%20AKHIR/UJI%20KS%20FTMI.xlsx" TargetMode="External"/><Relationship Id="rId1" Type="http://schemas.openxmlformats.org/officeDocument/2006/relationships/externalLinkPath" Target="UJI%20KS%20FT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Residual"/>
      <sheetName val="Uji KS"/>
      <sheetName val="Petunjuk"/>
    </sheetNames>
    <sheetDataSet>
      <sheetData sheetId="0">
        <row r="3">
          <cell r="B3">
            <v>-41.771999999999998</v>
          </cell>
        </row>
        <row r="4">
          <cell r="B4">
            <v>3.677</v>
          </cell>
        </row>
        <row r="5">
          <cell r="B5">
            <v>-54.511000000000003</v>
          </cell>
        </row>
        <row r="6">
          <cell r="B6">
            <v>31.417999999999999</v>
          </cell>
        </row>
        <row r="7">
          <cell r="B7">
            <v>-44.293999999999997</v>
          </cell>
        </row>
        <row r="8">
          <cell r="B8">
            <v>-6.6449999999999996</v>
          </cell>
        </row>
        <row r="9">
          <cell r="B9">
            <v>-2.9870000000000001</v>
          </cell>
        </row>
        <row r="10">
          <cell r="B10">
            <v>-52.56</v>
          </cell>
        </row>
        <row r="11">
          <cell r="B11">
            <v>-3.383</v>
          </cell>
        </row>
        <row r="12">
          <cell r="B12">
            <v>-26.497</v>
          </cell>
        </row>
        <row r="13">
          <cell r="B13">
            <v>67.552999999999997</v>
          </cell>
        </row>
        <row r="14">
          <cell r="B14">
            <v>-65.623000000000005</v>
          </cell>
        </row>
        <row r="15">
          <cell r="B15">
            <v>5.306</v>
          </cell>
        </row>
        <row r="16">
          <cell r="B16">
            <v>-13.212999999999999</v>
          </cell>
        </row>
        <row r="17">
          <cell r="B17">
            <v>-35.820999999999998</v>
          </cell>
        </row>
        <row r="18">
          <cell r="B18">
            <v>83.100999999999999</v>
          </cell>
        </row>
        <row r="19">
          <cell r="B19">
            <v>-65.137</v>
          </cell>
        </row>
        <row r="20">
          <cell r="B20">
            <v>38.332000000000001</v>
          </cell>
        </row>
        <row r="21">
          <cell r="B21">
            <v>-23.664000000000001</v>
          </cell>
        </row>
        <row r="22">
          <cell r="B22">
            <v>-9.4309999999999992</v>
          </cell>
        </row>
        <row r="23">
          <cell r="B23">
            <v>73.811000000000007</v>
          </cell>
        </row>
        <row r="24">
          <cell r="B24">
            <v>-62.719000000000001</v>
          </cell>
        </row>
        <row r="25">
          <cell r="B25">
            <v>0.17</v>
          </cell>
        </row>
        <row r="26">
          <cell r="B26">
            <v>4.6210000000000004</v>
          </cell>
        </row>
        <row r="27">
          <cell r="B27">
            <v>-25.170999999999999</v>
          </cell>
        </row>
        <row r="28">
          <cell r="B28">
            <v>484.22899999999998</v>
          </cell>
        </row>
        <row r="29">
          <cell r="B29">
            <v>394.428</v>
          </cell>
        </row>
        <row r="30">
          <cell r="B30">
            <v>31.806999999999999</v>
          </cell>
        </row>
        <row r="31">
          <cell r="B31">
            <v>-251.71</v>
          </cell>
        </row>
        <row r="32">
          <cell r="B32">
            <v>99.962999999999994</v>
          </cell>
        </row>
        <row r="33">
          <cell r="B33">
            <v>-116.61799999999999</v>
          </cell>
        </row>
        <row r="34">
          <cell r="B34">
            <v>161.137</v>
          </cell>
        </row>
        <row r="35">
          <cell r="B35">
            <v>-61.715000000000003</v>
          </cell>
        </row>
        <row r="36">
          <cell r="B36">
            <v>116.792</v>
          </cell>
        </row>
        <row r="37">
          <cell r="B37">
            <v>-81.400999999999996</v>
          </cell>
        </row>
        <row r="38">
          <cell r="B38">
            <v>161.18899999999999</v>
          </cell>
        </row>
        <row r="39">
          <cell r="B39">
            <v>24.641999999999999</v>
          </cell>
        </row>
        <row r="40">
          <cell r="B40">
            <v>-14.648</v>
          </cell>
        </row>
        <row r="41">
          <cell r="B41">
            <v>196.124</v>
          </cell>
        </row>
        <row r="42">
          <cell r="B42">
            <v>-92.328000000000003</v>
          </cell>
        </row>
        <row r="43">
          <cell r="B43">
            <v>-84.436000000000007</v>
          </cell>
        </row>
        <row r="44">
          <cell r="B44">
            <v>137.70699999999999</v>
          </cell>
        </row>
        <row r="45">
          <cell r="B45">
            <v>-8.4649999999999999</v>
          </cell>
        </row>
        <row r="46">
          <cell r="B46">
            <v>-4.32</v>
          </cell>
        </row>
        <row r="47">
          <cell r="B47">
            <v>72.584000000000003</v>
          </cell>
        </row>
        <row r="48">
          <cell r="B48">
            <v>-23.370999999999999</v>
          </cell>
        </row>
        <row r="49">
          <cell r="B49">
            <v>53.055</v>
          </cell>
        </row>
        <row r="50">
          <cell r="B50">
            <v>-17.353999999999999</v>
          </cell>
        </row>
        <row r="51">
          <cell r="B51">
            <v>-38.801000000000002</v>
          </cell>
        </row>
        <row r="52">
          <cell r="B52">
            <v>7.9059999999999997</v>
          </cell>
        </row>
        <row r="53">
          <cell r="B53">
            <v>-106.86199999999999</v>
          </cell>
        </row>
        <row r="54">
          <cell r="B54">
            <v>-10.276999999999999</v>
          </cell>
        </row>
        <row r="55">
          <cell r="B55">
            <v>-79.876999999999995</v>
          </cell>
        </row>
        <row r="56">
          <cell r="B56">
            <v>41.722000000000001</v>
          </cell>
        </row>
        <row r="57">
          <cell r="B57">
            <v>-73.596999999999994</v>
          </cell>
        </row>
        <row r="58">
          <cell r="B58">
            <v>-99.721000000000004</v>
          </cell>
        </row>
        <row r="59">
          <cell r="B59">
            <v>15.726000000000001</v>
          </cell>
        </row>
        <row r="60">
          <cell r="B60">
            <v>-84.515000000000001</v>
          </cell>
        </row>
        <row r="61">
          <cell r="B61">
            <v>-60.823</v>
          </cell>
        </row>
        <row r="62">
          <cell r="B62">
            <v>43.411000000000001</v>
          </cell>
        </row>
        <row r="63">
          <cell r="B63">
            <v>-100.02500000000001</v>
          </cell>
        </row>
        <row r="64">
          <cell r="B64">
            <v>-251.60499999999999</v>
          </cell>
        </row>
        <row r="65">
          <cell r="B65">
            <v>90.903999999999996</v>
          </cell>
        </row>
        <row r="66">
          <cell r="B66">
            <v>59.813000000000002</v>
          </cell>
        </row>
        <row r="67">
          <cell r="B67">
            <v>-143.173</v>
          </cell>
        </row>
        <row r="68">
          <cell r="B68">
            <v>76.143000000000001</v>
          </cell>
        </row>
        <row r="69">
          <cell r="B69">
            <v>-114.625</v>
          </cell>
        </row>
        <row r="70">
          <cell r="B70">
            <v>11.414</v>
          </cell>
        </row>
        <row r="71">
          <cell r="B71">
            <v>-38.488</v>
          </cell>
        </row>
        <row r="72">
          <cell r="B72">
            <v>-13.635</v>
          </cell>
        </row>
        <row r="73">
          <cell r="B73">
            <v>13.064</v>
          </cell>
        </row>
        <row r="74">
          <cell r="B74">
            <v>-20.367000000000001</v>
          </cell>
        </row>
        <row r="75">
          <cell r="B75">
            <v>36.875</v>
          </cell>
        </row>
        <row r="76">
          <cell r="B76">
            <v>-75.141000000000005</v>
          </cell>
        </row>
        <row r="77">
          <cell r="B77">
            <v>-26.122</v>
          </cell>
        </row>
        <row r="78">
          <cell r="B78">
            <v>39.905999999999999</v>
          </cell>
        </row>
        <row r="79">
          <cell r="B79">
            <v>-55.558999999999997</v>
          </cell>
        </row>
        <row r="80">
          <cell r="B80">
            <v>0.36199999999999999</v>
          </cell>
        </row>
        <row r="81">
          <cell r="B81">
            <v>33.491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Residual"/>
      <sheetName val="Uji KS"/>
      <sheetName val="Petunjuk"/>
    </sheetNames>
    <sheetDataSet>
      <sheetData sheetId="0">
        <row r="3">
          <cell r="B3">
            <v>-147.511</v>
          </cell>
        </row>
        <row r="4">
          <cell r="B4">
            <v>-110.491</v>
          </cell>
        </row>
        <row r="5">
          <cell r="B5">
            <v>-30.350999999999999</v>
          </cell>
        </row>
        <row r="6">
          <cell r="B6">
            <v>19.689</v>
          </cell>
        </row>
        <row r="7">
          <cell r="B7">
            <v>-24.431000000000001</v>
          </cell>
        </row>
        <row r="8">
          <cell r="B8">
            <v>60.389000000000003</v>
          </cell>
        </row>
        <row r="9">
          <cell r="B9">
            <v>47.698999999999998</v>
          </cell>
        </row>
        <row r="10">
          <cell r="B10">
            <v>17.638000000000002</v>
          </cell>
        </row>
        <row r="11">
          <cell r="B11">
            <v>-207.78100000000001</v>
          </cell>
        </row>
        <row r="12">
          <cell r="B12">
            <v>19.687000000000001</v>
          </cell>
        </row>
        <row r="13">
          <cell r="B13">
            <v>-296.55099999999999</v>
          </cell>
        </row>
        <row r="14">
          <cell r="B14">
            <v>166.79300000000001</v>
          </cell>
        </row>
        <row r="15">
          <cell r="B15">
            <v>25.375</v>
          </cell>
        </row>
        <row r="16">
          <cell r="B16">
            <v>-1.431</v>
          </cell>
        </row>
        <row r="17">
          <cell r="B17">
            <v>68.325000000000003</v>
          </cell>
        </row>
        <row r="18">
          <cell r="B18">
            <v>-165.63800000000001</v>
          </cell>
        </row>
        <row r="19">
          <cell r="B19">
            <v>145.94800000000001</v>
          </cell>
        </row>
        <row r="20">
          <cell r="B20">
            <v>94.805000000000007</v>
          </cell>
        </row>
        <row r="21">
          <cell r="B21">
            <v>-144.161</v>
          </cell>
        </row>
        <row r="22">
          <cell r="B22">
            <v>4.7300000000000004</v>
          </cell>
        </row>
        <row r="23">
          <cell r="B23">
            <v>23.741</v>
          </cell>
        </row>
        <row r="24">
          <cell r="B24">
            <v>44.115000000000002</v>
          </cell>
        </row>
        <row r="25">
          <cell r="B25">
            <v>105.056</v>
          </cell>
        </row>
        <row r="26">
          <cell r="B26">
            <v>-89.302999999999997</v>
          </cell>
        </row>
        <row r="27">
          <cell r="B27">
            <v>-339.04399999999998</v>
          </cell>
        </row>
        <row r="28">
          <cell r="B28">
            <v>-361.21899999999999</v>
          </cell>
        </row>
        <row r="29">
          <cell r="B29">
            <v>288.80200000000002</v>
          </cell>
        </row>
        <row r="30">
          <cell r="B30">
            <v>86.783000000000001</v>
          </cell>
        </row>
        <row r="31">
          <cell r="B31">
            <v>4.3780000000000001</v>
          </cell>
        </row>
        <row r="32">
          <cell r="B32">
            <v>99.790999999999997</v>
          </cell>
        </row>
        <row r="33">
          <cell r="B33">
            <v>220.143</v>
          </cell>
        </row>
        <row r="34">
          <cell r="B34">
            <v>-66.7</v>
          </cell>
        </row>
        <row r="35">
          <cell r="B35">
            <v>-15.356999999999999</v>
          </cell>
        </row>
        <row r="36">
          <cell r="B36">
            <v>222.023</v>
          </cell>
        </row>
        <row r="37">
          <cell r="B37">
            <v>69.228999999999999</v>
          </cell>
        </row>
        <row r="38">
          <cell r="B38">
            <v>-80.757999999999996</v>
          </cell>
        </row>
        <row r="39">
          <cell r="B39">
            <v>27.547000000000001</v>
          </cell>
        </row>
        <row r="40">
          <cell r="B40">
            <v>53.985999999999997</v>
          </cell>
        </row>
        <row r="41">
          <cell r="B41">
            <v>192.02600000000001</v>
          </cell>
        </row>
        <row r="42">
          <cell r="B42">
            <v>-9.6920000000000002</v>
          </cell>
        </row>
        <row r="43">
          <cell r="B43">
            <v>-14.964</v>
          </cell>
        </row>
        <row r="44">
          <cell r="B44">
            <v>38.146000000000001</v>
          </cell>
        </row>
        <row r="45">
          <cell r="B45">
            <v>115.65</v>
          </cell>
        </row>
        <row r="46">
          <cell r="B46">
            <v>-261.45800000000003</v>
          </cell>
        </row>
        <row r="47">
          <cell r="B47">
            <v>243.08799999999999</v>
          </cell>
        </row>
        <row r="48">
          <cell r="B48">
            <v>-137.16499999999999</v>
          </cell>
        </row>
        <row r="49">
          <cell r="B49">
            <v>164.74100000000001</v>
          </cell>
        </row>
        <row r="50">
          <cell r="B50">
            <v>-283.38799999999998</v>
          </cell>
        </row>
        <row r="51">
          <cell r="B51">
            <v>-191.309</v>
          </cell>
        </row>
        <row r="52">
          <cell r="B52">
            <v>82.048000000000002</v>
          </cell>
        </row>
        <row r="53">
          <cell r="B53">
            <v>-352.60899999999998</v>
          </cell>
        </row>
        <row r="54">
          <cell r="B54">
            <v>-114.85299999999999</v>
          </cell>
        </row>
        <row r="55">
          <cell r="B55">
            <v>-340.54700000000003</v>
          </cell>
        </row>
        <row r="56">
          <cell r="B56">
            <v>254.82900000000001</v>
          </cell>
        </row>
        <row r="57">
          <cell r="B57">
            <v>-122.423</v>
          </cell>
        </row>
        <row r="58">
          <cell r="B58">
            <v>-345.88499999999999</v>
          </cell>
        </row>
        <row r="59">
          <cell r="B59">
            <v>222.65700000000001</v>
          </cell>
        </row>
        <row r="60">
          <cell r="B60">
            <v>283.077</v>
          </cell>
        </row>
        <row r="61">
          <cell r="B61">
            <v>-241.50399999999999</v>
          </cell>
        </row>
        <row r="62">
          <cell r="B62">
            <v>308.2</v>
          </cell>
        </row>
        <row r="63">
          <cell r="B63">
            <v>-225.268</v>
          </cell>
        </row>
        <row r="64">
          <cell r="B64">
            <v>140.68100000000001</v>
          </cell>
        </row>
        <row r="65">
          <cell r="B65">
            <v>132.97300000000001</v>
          </cell>
        </row>
        <row r="66">
          <cell r="B66">
            <v>-98.206000000000003</v>
          </cell>
        </row>
        <row r="67">
          <cell r="B67">
            <v>142.721</v>
          </cell>
        </row>
        <row r="68">
          <cell r="B68">
            <v>178.08600000000001</v>
          </cell>
        </row>
        <row r="69">
          <cell r="B69">
            <v>-217.143</v>
          </cell>
        </row>
        <row r="70">
          <cell r="B70">
            <v>-185.28299999999999</v>
          </cell>
        </row>
        <row r="71">
          <cell r="B71">
            <v>-176.65700000000001</v>
          </cell>
        </row>
        <row r="72">
          <cell r="B72">
            <v>294.05200000000002</v>
          </cell>
        </row>
        <row r="73">
          <cell r="B73">
            <v>195.82599999999999</v>
          </cell>
        </row>
        <row r="74">
          <cell r="B74">
            <v>-7.2370000000000001</v>
          </cell>
        </row>
        <row r="75">
          <cell r="B75">
            <v>156.28200000000001</v>
          </cell>
        </row>
        <row r="76">
          <cell r="B76">
            <v>189.815</v>
          </cell>
        </row>
        <row r="77">
          <cell r="B77">
            <v>-197.08799999999999</v>
          </cell>
        </row>
        <row r="78">
          <cell r="B78">
            <v>260.64100000000002</v>
          </cell>
        </row>
        <row r="79">
          <cell r="B79">
            <v>51.64</v>
          </cell>
        </row>
        <row r="80">
          <cell r="B80">
            <v>-38.177</v>
          </cell>
        </row>
        <row r="81">
          <cell r="B81">
            <v>90.878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Residual"/>
      <sheetName val="Uji KS"/>
      <sheetName val="Petunjuk"/>
    </sheetNames>
    <sheetDataSet>
      <sheetData sheetId="0">
        <row r="3">
          <cell r="B3">
            <v>33.737299999999998</v>
          </cell>
        </row>
        <row r="4">
          <cell r="B4">
            <v>4.3311000000000002</v>
          </cell>
        </row>
        <row r="5">
          <cell r="B5">
            <v>148.18520000000001</v>
          </cell>
        </row>
        <row r="6">
          <cell r="B6">
            <v>-29.552</v>
          </cell>
        </row>
        <row r="7">
          <cell r="B7">
            <v>-122.8664</v>
          </cell>
        </row>
        <row r="8">
          <cell r="B8">
            <v>-66.205500000000001</v>
          </cell>
        </row>
        <row r="9">
          <cell r="B9">
            <v>-150.85380000000001</v>
          </cell>
        </row>
        <row r="10">
          <cell r="B10">
            <v>24.800999999999998</v>
          </cell>
        </row>
        <row r="11">
          <cell r="B11">
            <v>-68.082800000000006</v>
          </cell>
        </row>
        <row r="12">
          <cell r="B12">
            <v>-79.753100000000003</v>
          </cell>
        </row>
        <row r="13">
          <cell r="B13">
            <v>23.095099999999999</v>
          </cell>
        </row>
        <row r="14">
          <cell r="B14">
            <v>42.010300000000001</v>
          </cell>
        </row>
        <row r="15">
          <cell r="B15">
            <v>75.075599999999994</v>
          </cell>
        </row>
        <row r="16">
          <cell r="B16">
            <v>-140.51570000000001</v>
          </cell>
        </row>
        <row r="17">
          <cell r="B17">
            <v>9.5344999999999995</v>
          </cell>
        </row>
        <row r="18">
          <cell r="B18">
            <v>-63.026800000000001</v>
          </cell>
        </row>
        <row r="19">
          <cell r="B19">
            <v>-74.332300000000004</v>
          </cell>
        </row>
        <row r="20">
          <cell r="B20">
            <v>-15.6546</v>
          </cell>
        </row>
        <row r="21">
          <cell r="B21">
            <v>-22.325399999999998</v>
          </cell>
        </row>
        <row r="22">
          <cell r="B22">
            <v>-0.90790000000000004</v>
          </cell>
        </row>
        <row r="23">
          <cell r="B23">
            <v>-28.090800000000002</v>
          </cell>
        </row>
        <row r="24">
          <cell r="B24">
            <v>110.08320000000001</v>
          </cell>
        </row>
        <row r="25">
          <cell r="B25">
            <v>-22.634899999999998</v>
          </cell>
        </row>
        <row r="26">
          <cell r="B26">
            <v>-10.1944</v>
          </cell>
        </row>
        <row r="27">
          <cell r="B27">
            <v>-19.238499999999998</v>
          </cell>
        </row>
        <row r="28">
          <cell r="B28">
            <v>-3.9655</v>
          </cell>
        </row>
        <row r="29">
          <cell r="B29">
            <v>-27.866</v>
          </cell>
        </row>
        <row r="30">
          <cell r="B30">
            <v>63.043799999999997</v>
          </cell>
        </row>
        <row r="31">
          <cell r="B31">
            <v>-19.7532</v>
          </cell>
        </row>
        <row r="32">
          <cell r="B32">
            <v>-52.995899999999999</v>
          </cell>
        </row>
        <row r="33">
          <cell r="B33">
            <v>106.62569999999999</v>
          </cell>
        </row>
        <row r="34">
          <cell r="B34">
            <v>48.555900000000001</v>
          </cell>
        </row>
        <row r="35">
          <cell r="B35">
            <v>83.253</v>
          </cell>
        </row>
        <row r="36">
          <cell r="B36">
            <v>-42.077199999999998</v>
          </cell>
        </row>
        <row r="37">
          <cell r="B37">
            <v>116.17740000000001</v>
          </cell>
        </row>
        <row r="38">
          <cell r="B38">
            <v>44.846400000000003</v>
          </cell>
        </row>
        <row r="39">
          <cell r="B39">
            <v>-21.774999999999999</v>
          </cell>
        </row>
        <row r="40">
          <cell r="B40">
            <v>-24.532299999999999</v>
          </cell>
        </row>
        <row r="41">
          <cell r="B41">
            <v>-13.624499999999999</v>
          </cell>
        </row>
        <row r="42">
          <cell r="B42">
            <v>1.1904999999999999</v>
          </cell>
        </row>
        <row r="43">
          <cell r="B43">
            <v>-88.799000000000007</v>
          </cell>
        </row>
        <row r="44">
          <cell r="B44">
            <v>78.680400000000006</v>
          </cell>
        </row>
        <row r="45">
          <cell r="B45">
            <v>39.710099999999997</v>
          </cell>
        </row>
        <row r="46">
          <cell r="B46">
            <v>49.460099999999997</v>
          </cell>
        </row>
        <row r="47">
          <cell r="B47">
            <v>-67.265100000000004</v>
          </cell>
        </row>
        <row r="48">
          <cell r="B48">
            <v>43.518500000000003</v>
          </cell>
        </row>
        <row r="49">
          <cell r="B49">
            <v>119.55549999999999</v>
          </cell>
        </row>
        <row r="50">
          <cell r="B50">
            <v>17.938099999999999</v>
          </cell>
        </row>
        <row r="51">
          <cell r="B51">
            <v>-17.966699999999999</v>
          </cell>
        </row>
        <row r="52">
          <cell r="B52">
            <v>-48.933500000000002</v>
          </cell>
        </row>
        <row r="53">
          <cell r="B53">
            <v>38.919600000000003</v>
          </cell>
        </row>
        <row r="54">
          <cell r="B54">
            <v>-16.804500000000001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98B3-E167-423A-B0FF-BDB7B69B33A2}">
  <dimension ref="A1:H99"/>
  <sheetViews>
    <sheetView tabSelected="1" topLeftCell="A98" workbookViewId="0">
      <selection activeCell="G113" sqref="G113"/>
    </sheetView>
  </sheetViews>
  <sheetFormatPr defaultRowHeight="14.25" x14ac:dyDescent="0.45"/>
  <cols>
    <col min="1" max="1" width="13.19921875" customWidth="1"/>
    <col min="2" max="2" width="9.1328125" bestFit="1" customWidth="1"/>
    <col min="3" max="3" width="14.265625" customWidth="1"/>
    <col min="4" max="4" width="15.33203125" customWidth="1"/>
  </cols>
  <sheetData>
    <row r="1" spans="1:8" ht="42.75" x14ac:dyDescent="0.45">
      <c r="A1" s="124" t="s">
        <v>154</v>
      </c>
      <c r="B1" s="125" t="s">
        <v>155</v>
      </c>
      <c r="C1" s="125" t="s">
        <v>156</v>
      </c>
      <c r="D1" s="125" t="s">
        <v>157</v>
      </c>
      <c r="E1" s="129" t="s">
        <v>158</v>
      </c>
    </row>
    <row r="2" spans="1:8" x14ac:dyDescent="0.45">
      <c r="A2" s="4">
        <v>43101</v>
      </c>
      <c r="B2" s="30">
        <v>13900.3</v>
      </c>
      <c r="C2" s="31">
        <v>2823.81</v>
      </c>
      <c r="D2" s="31">
        <v>1344.7</v>
      </c>
      <c r="E2" s="129"/>
      <c r="F2" s="11"/>
      <c r="G2" s="13"/>
      <c r="H2" s="13"/>
    </row>
    <row r="3" spans="1:8" x14ac:dyDescent="0.45">
      <c r="A3" s="4">
        <v>43132</v>
      </c>
      <c r="B3" s="30">
        <v>13949.3</v>
      </c>
      <c r="C3" s="31">
        <v>2713.83</v>
      </c>
      <c r="D3" s="31">
        <v>1317.66</v>
      </c>
      <c r="E3" s="129"/>
      <c r="F3" s="11"/>
      <c r="G3" s="13"/>
      <c r="H3" s="13"/>
    </row>
    <row r="4" spans="1:8" x14ac:dyDescent="0.45">
      <c r="A4" s="4">
        <v>43160</v>
      </c>
      <c r="B4" s="30">
        <v>14012.7</v>
      </c>
      <c r="C4" s="31">
        <v>2640.87</v>
      </c>
      <c r="D4" s="31">
        <v>1324</v>
      </c>
      <c r="E4" s="129"/>
      <c r="F4" s="11"/>
      <c r="G4" s="13"/>
      <c r="H4" s="13"/>
    </row>
    <row r="5" spans="1:8" x14ac:dyDescent="0.45">
      <c r="A5" s="4">
        <v>43191</v>
      </c>
      <c r="B5" s="30">
        <v>14035.9</v>
      </c>
      <c r="C5" s="31">
        <v>2648.05</v>
      </c>
      <c r="D5" s="31">
        <v>1314.95</v>
      </c>
      <c r="E5" s="129"/>
      <c r="F5" s="11"/>
      <c r="G5" s="13"/>
      <c r="H5" s="13"/>
    </row>
    <row r="6" spans="1:8" x14ac:dyDescent="0.45">
      <c r="A6" s="4">
        <v>43221</v>
      </c>
      <c r="B6" s="30">
        <v>14092.4</v>
      </c>
      <c r="C6" s="31">
        <v>2705.27</v>
      </c>
      <c r="D6" s="31">
        <v>1297.92</v>
      </c>
      <c r="E6" s="129"/>
      <c r="F6" s="11"/>
      <c r="G6" s="13"/>
      <c r="H6" s="13"/>
    </row>
    <row r="7" spans="1:8" x14ac:dyDescent="0.45">
      <c r="A7" s="4">
        <v>43252</v>
      </c>
      <c r="B7" s="30">
        <v>14137.2</v>
      </c>
      <c r="C7" s="31">
        <v>2718.37</v>
      </c>
      <c r="D7" s="31">
        <v>1252.25</v>
      </c>
      <c r="E7" s="129"/>
      <c r="F7" s="11"/>
      <c r="G7" s="13"/>
      <c r="H7" s="13"/>
    </row>
    <row r="8" spans="1:8" x14ac:dyDescent="0.45">
      <c r="A8" s="4">
        <v>43282</v>
      </c>
      <c r="B8" s="30">
        <v>14174.6</v>
      </c>
      <c r="C8" s="31">
        <v>2816.29</v>
      </c>
      <c r="D8" s="31">
        <v>1223.4100000000001</v>
      </c>
      <c r="E8" s="129"/>
      <c r="F8" s="11"/>
      <c r="G8" s="13"/>
      <c r="H8" s="13"/>
    </row>
    <row r="9" spans="1:8" x14ac:dyDescent="0.45">
      <c r="A9" s="4">
        <v>43313</v>
      </c>
      <c r="B9" s="30">
        <v>14223.2</v>
      </c>
      <c r="C9" s="31">
        <v>2901.52</v>
      </c>
      <c r="D9" s="31">
        <v>1200.71</v>
      </c>
      <c r="E9" s="129"/>
      <c r="F9" s="11"/>
      <c r="G9" s="13"/>
      <c r="H9" s="13"/>
    </row>
    <row r="10" spans="1:8" x14ac:dyDescent="0.45">
      <c r="A10" s="4">
        <v>43344</v>
      </c>
      <c r="B10" s="30">
        <v>14245.5</v>
      </c>
      <c r="C10" s="31">
        <v>2913.98</v>
      </c>
      <c r="D10" s="31">
        <v>1191.69</v>
      </c>
      <c r="E10" s="129"/>
      <c r="F10" s="11"/>
      <c r="G10" s="13"/>
      <c r="H10" s="13"/>
    </row>
    <row r="11" spans="1:8" x14ac:dyDescent="0.45">
      <c r="A11" s="4">
        <v>43374</v>
      </c>
      <c r="B11" s="30">
        <v>14256.6</v>
      </c>
      <c r="C11" s="31">
        <v>2711.74</v>
      </c>
      <c r="D11" s="31">
        <v>1214.1400000000001</v>
      </c>
      <c r="E11" s="129"/>
      <c r="F11" s="11"/>
      <c r="G11" s="13"/>
      <c r="H11" s="13"/>
    </row>
    <row r="12" spans="1:8" x14ac:dyDescent="0.45">
      <c r="A12" s="4">
        <v>43405</v>
      </c>
      <c r="B12" s="30">
        <v>14282.8</v>
      </c>
      <c r="C12" s="31">
        <v>2760.17</v>
      </c>
      <c r="D12" s="31">
        <v>1221.8800000000001</v>
      </c>
      <c r="E12" s="129"/>
      <c r="F12" s="11"/>
      <c r="G12" s="13"/>
      <c r="H12" s="13"/>
    </row>
    <row r="13" spans="1:8" x14ac:dyDescent="0.45">
      <c r="A13" s="4">
        <v>43435</v>
      </c>
      <c r="B13" s="30">
        <v>14386.8</v>
      </c>
      <c r="C13" s="31">
        <v>2506.85</v>
      </c>
      <c r="D13" s="31">
        <v>1282.73</v>
      </c>
      <c r="E13" s="129"/>
      <c r="F13" s="11"/>
      <c r="G13" s="13"/>
      <c r="H13" s="13"/>
    </row>
    <row r="14" spans="1:8" x14ac:dyDescent="0.45">
      <c r="A14" s="4">
        <v>43466</v>
      </c>
      <c r="B14" s="30">
        <v>14459.7</v>
      </c>
      <c r="C14" s="31">
        <v>2704.1</v>
      </c>
      <c r="D14" s="31">
        <v>1320.56</v>
      </c>
      <c r="E14" s="129"/>
      <c r="F14" s="11"/>
      <c r="G14" s="13"/>
      <c r="H14" s="13"/>
    </row>
    <row r="15" spans="1:8" x14ac:dyDescent="0.45">
      <c r="A15" s="4">
        <v>43497</v>
      </c>
      <c r="B15" s="30">
        <v>14506.3</v>
      </c>
      <c r="C15" s="31">
        <v>2784.49</v>
      </c>
      <c r="D15" s="31">
        <v>1312.66</v>
      </c>
      <c r="E15" s="129"/>
      <c r="F15" s="11"/>
      <c r="G15" s="13"/>
      <c r="H15" s="13"/>
    </row>
    <row r="16" spans="1:8" x14ac:dyDescent="0.45">
      <c r="A16" s="4">
        <v>43525</v>
      </c>
      <c r="B16" s="30">
        <v>14557.5</v>
      </c>
      <c r="C16" s="31">
        <v>2834.4</v>
      </c>
      <c r="D16" s="31">
        <v>1291.9000000000001</v>
      </c>
      <c r="E16" s="129"/>
      <c r="F16" s="11"/>
      <c r="G16" s="13"/>
      <c r="H16" s="13"/>
    </row>
    <row r="17" spans="1:8" x14ac:dyDescent="0.45">
      <c r="A17" s="4">
        <v>43556</v>
      </c>
      <c r="B17" s="30">
        <v>14594.7</v>
      </c>
      <c r="C17" s="31">
        <v>2945.83</v>
      </c>
      <c r="D17" s="31">
        <v>1283.3499999999999</v>
      </c>
      <c r="E17" s="129"/>
      <c r="F17" s="11"/>
      <c r="G17" s="13"/>
      <c r="H17" s="13"/>
    </row>
    <row r="18" spans="1:8" x14ac:dyDescent="0.45">
      <c r="A18" s="4">
        <v>43586</v>
      </c>
      <c r="B18" s="30">
        <v>14704.4</v>
      </c>
      <c r="C18" s="31">
        <v>2752.06</v>
      </c>
      <c r="D18" s="31">
        <v>1305.25</v>
      </c>
      <c r="E18" s="129"/>
      <c r="F18" s="11"/>
      <c r="G18" s="13"/>
      <c r="H18" s="13"/>
    </row>
    <row r="19" spans="1:8" x14ac:dyDescent="0.45">
      <c r="A19" s="4">
        <v>43617</v>
      </c>
      <c r="B19" s="30">
        <v>14802.8</v>
      </c>
      <c r="C19" s="31">
        <v>2941.76</v>
      </c>
      <c r="D19" s="31">
        <v>1409.1</v>
      </c>
      <c r="E19" s="129"/>
      <c r="F19" s="11"/>
      <c r="G19" s="13"/>
      <c r="H19" s="13"/>
    </row>
    <row r="20" spans="1:8" x14ac:dyDescent="0.45">
      <c r="A20" s="4">
        <v>43647</v>
      </c>
      <c r="B20" s="30">
        <v>14886.8</v>
      </c>
      <c r="C20" s="31">
        <v>2980.38</v>
      </c>
      <c r="D20" s="31">
        <v>1413.55</v>
      </c>
      <c r="E20" s="129"/>
      <c r="F20" s="11"/>
      <c r="G20" s="13"/>
      <c r="H20" s="13"/>
    </row>
    <row r="21" spans="1:8" x14ac:dyDescent="0.45">
      <c r="A21" s="4">
        <v>43678</v>
      </c>
      <c r="B21" s="30">
        <v>14974.4</v>
      </c>
      <c r="C21" s="31">
        <v>2926.46</v>
      </c>
      <c r="D21" s="31">
        <v>1519.85</v>
      </c>
      <c r="E21" s="129"/>
      <c r="F21" s="11"/>
      <c r="G21" s="13"/>
      <c r="H21" s="13"/>
    </row>
    <row r="22" spans="1:8" x14ac:dyDescent="0.45">
      <c r="A22" s="4">
        <v>43709</v>
      </c>
      <c r="B22" s="30">
        <v>15047</v>
      </c>
      <c r="C22" s="31">
        <v>2976.74</v>
      </c>
      <c r="D22" s="31">
        <v>1472</v>
      </c>
      <c r="E22" s="129"/>
      <c r="F22" s="11"/>
      <c r="G22" s="13"/>
      <c r="H22" s="13"/>
    </row>
    <row r="23" spans="1:8" x14ac:dyDescent="0.45">
      <c r="A23" s="4">
        <v>43739</v>
      </c>
      <c r="B23" s="30">
        <v>15184.1</v>
      </c>
      <c r="C23" s="31">
        <v>3037.56</v>
      </c>
      <c r="D23" s="31">
        <v>1513.16</v>
      </c>
      <c r="E23" s="129"/>
      <c r="F23" s="11"/>
      <c r="G23" s="13"/>
      <c r="H23" s="13"/>
    </row>
    <row r="24" spans="1:8" x14ac:dyDescent="0.45">
      <c r="A24" s="4">
        <v>43770</v>
      </c>
      <c r="B24" s="30">
        <v>15296</v>
      </c>
      <c r="C24" s="31">
        <v>3140.98</v>
      </c>
      <c r="D24" s="31">
        <v>1463.9</v>
      </c>
      <c r="E24" s="129"/>
      <c r="F24" s="11"/>
      <c r="G24" s="13"/>
      <c r="H24" s="13"/>
    </row>
    <row r="25" spans="1:8" x14ac:dyDescent="0.45">
      <c r="A25" s="4">
        <v>43800</v>
      </c>
      <c r="B25" s="30">
        <v>15347.5</v>
      </c>
      <c r="C25" s="31">
        <v>3230.78</v>
      </c>
      <c r="D25" s="31">
        <v>1517.01</v>
      </c>
      <c r="E25" s="129"/>
      <c r="F25" s="11"/>
      <c r="G25" s="13"/>
      <c r="H25" s="13"/>
    </row>
    <row r="26" spans="1:8" x14ac:dyDescent="0.45">
      <c r="A26" s="4">
        <v>43831</v>
      </c>
      <c r="B26" s="30">
        <v>15427.1</v>
      </c>
      <c r="C26" s="31">
        <v>3225.52</v>
      </c>
      <c r="D26" s="31">
        <v>1589.81</v>
      </c>
      <c r="E26" s="129"/>
      <c r="F26" s="11"/>
      <c r="G26" s="13"/>
      <c r="H26" s="13"/>
    </row>
    <row r="27" spans="1:8" x14ac:dyDescent="0.45">
      <c r="A27" s="4">
        <v>43862</v>
      </c>
      <c r="B27" s="30">
        <v>15493.4</v>
      </c>
      <c r="C27" s="31">
        <v>2954.22</v>
      </c>
      <c r="D27" s="31">
        <v>1584.74</v>
      </c>
      <c r="E27" s="129"/>
      <c r="F27" s="11"/>
      <c r="G27" s="13"/>
      <c r="H27" s="13"/>
    </row>
    <row r="28" spans="1:8" x14ac:dyDescent="0.45">
      <c r="A28" s="4">
        <v>43891</v>
      </c>
      <c r="B28" s="30">
        <v>16033</v>
      </c>
      <c r="C28" s="31">
        <v>2584.59</v>
      </c>
      <c r="D28" s="31">
        <v>1571.05</v>
      </c>
      <c r="E28" s="129"/>
      <c r="F28" s="11"/>
      <c r="G28" s="13"/>
      <c r="H28" s="13"/>
    </row>
    <row r="29" spans="1:8" x14ac:dyDescent="0.45">
      <c r="A29" s="4">
        <v>43922</v>
      </c>
      <c r="B29" s="30">
        <v>17065.3</v>
      </c>
      <c r="C29" s="31">
        <v>2912.43</v>
      </c>
      <c r="D29" s="31">
        <v>1680.09</v>
      </c>
      <c r="E29" s="129"/>
      <c r="F29" s="11"/>
      <c r="G29" s="13"/>
      <c r="H29" s="13"/>
    </row>
    <row r="30" spans="1:8" x14ac:dyDescent="0.45">
      <c r="A30" s="4">
        <v>43952</v>
      </c>
      <c r="B30" s="30">
        <v>17932.900000000001</v>
      </c>
      <c r="C30" s="31">
        <v>3044.31</v>
      </c>
      <c r="D30" s="31">
        <v>1726.3</v>
      </c>
      <c r="E30" s="129"/>
      <c r="F30" s="11"/>
      <c r="G30" s="13"/>
      <c r="H30" s="13"/>
    </row>
    <row r="31" spans="1:8" x14ac:dyDescent="0.45">
      <c r="A31" s="4">
        <v>43983</v>
      </c>
      <c r="B31" s="30">
        <v>18184.3</v>
      </c>
      <c r="C31" s="31">
        <v>3100.29</v>
      </c>
      <c r="D31" s="31">
        <v>1780.67</v>
      </c>
      <c r="E31" s="129"/>
      <c r="F31" s="11"/>
      <c r="G31" s="13"/>
      <c r="H31" s="13"/>
    </row>
    <row r="32" spans="1:8" x14ac:dyDescent="0.45">
      <c r="A32" s="4">
        <v>44013</v>
      </c>
      <c r="B32" s="30">
        <v>18335.400000000001</v>
      </c>
      <c r="C32" s="31">
        <v>3271.12</v>
      </c>
      <c r="D32" s="31">
        <v>1974.69</v>
      </c>
      <c r="E32" s="129"/>
      <c r="F32" s="11"/>
      <c r="G32" s="13"/>
      <c r="H32" s="13"/>
    </row>
    <row r="33" spans="1:8" x14ac:dyDescent="0.45">
      <c r="A33" s="4">
        <v>44044</v>
      </c>
      <c r="B33" s="30">
        <v>18411.2</v>
      </c>
      <c r="C33" s="31">
        <v>3500.31</v>
      </c>
      <c r="D33" s="31">
        <v>1969.75</v>
      </c>
      <c r="E33" s="129"/>
      <c r="F33" s="11"/>
      <c r="G33" s="13"/>
      <c r="H33" s="13"/>
    </row>
    <row r="34" spans="1:8" x14ac:dyDescent="0.45">
      <c r="A34" s="4">
        <v>44075</v>
      </c>
      <c r="B34" s="30">
        <v>18602.5</v>
      </c>
      <c r="C34" s="31">
        <v>3363</v>
      </c>
      <c r="D34" s="31">
        <v>1885.44</v>
      </c>
      <c r="E34" s="129"/>
      <c r="F34" s="11"/>
      <c r="G34" s="13"/>
      <c r="H34" s="13"/>
    </row>
    <row r="35" spans="1:8" x14ac:dyDescent="0.45">
      <c r="A35" s="4">
        <v>44105</v>
      </c>
      <c r="B35" s="30">
        <v>18757.599999999999</v>
      </c>
      <c r="C35" s="31">
        <v>3269.96</v>
      </c>
      <c r="D35" s="31">
        <v>1877.95</v>
      </c>
      <c r="E35" s="129"/>
      <c r="F35" s="11"/>
      <c r="G35" s="13"/>
      <c r="H35" s="13"/>
    </row>
    <row r="36" spans="1:8" x14ac:dyDescent="0.45">
      <c r="A36" s="4">
        <v>44136</v>
      </c>
      <c r="B36" s="30">
        <v>18997</v>
      </c>
      <c r="C36" s="31">
        <v>3621.63</v>
      </c>
      <c r="D36" s="31">
        <v>1777.02</v>
      </c>
      <c r="E36" s="129"/>
      <c r="F36" s="11"/>
      <c r="G36" s="13"/>
      <c r="H36" s="13"/>
    </row>
    <row r="37" spans="1:8" x14ac:dyDescent="0.45">
      <c r="A37" s="4">
        <v>44166</v>
      </c>
      <c r="B37" s="30">
        <v>19115.7</v>
      </c>
      <c r="C37" s="31">
        <v>3756.07</v>
      </c>
      <c r="D37" s="31">
        <v>1896.49</v>
      </c>
      <c r="E37" s="129"/>
      <c r="F37" s="11"/>
      <c r="G37" s="13"/>
      <c r="H37" s="13"/>
    </row>
    <row r="38" spans="1:8" x14ac:dyDescent="0.45">
      <c r="A38" s="4">
        <v>44197</v>
      </c>
      <c r="B38" s="30">
        <v>19379</v>
      </c>
      <c r="C38" s="31">
        <v>3714.24</v>
      </c>
      <c r="D38" s="31">
        <v>1846.09</v>
      </c>
      <c r="E38" s="129"/>
      <c r="F38" s="11"/>
      <c r="G38" s="13"/>
      <c r="H38" s="13"/>
    </row>
    <row r="39" spans="1:8" x14ac:dyDescent="0.45">
      <c r="A39" s="4">
        <v>44228</v>
      </c>
      <c r="B39" s="30">
        <v>19641.8</v>
      </c>
      <c r="C39" s="31">
        <v>3811.15</v>
      </c>
      <c r="D39" s="31">
        <v>1733.49</v>
      </c>
      <c r="E39" s="129"/>
      <c r="F39" s="11"/>
      <c r="G39" s="13"/>
      <c r="H39" s="13"/>
    </row>
    <row r="40" spans="1:8" x14ac:dyDescent="0.45">
      <c r="A40" s="4">
        <v>44256</v>
      </c>
      <c r="B40" s="30">
        <v>19873.2</v>
      </c>
      <c r="C40" s="31">
        <v>3972.89</v>
      </c>
      <c r="D40" s="31">
        <v>1707.01</v>
      </c>
      <c r="E40" s="129"/>
      <c r="F40" s="11"/>
      <c r="G40" s="13"/>
      <c r="H40" s="13"/>
    </row>
    <row r="41" spans="1:8" x14ac:dyDescent="0.45">
      <c r="A41" s="4">
        <v>44287</v>
      </c>
      <c r="B41" s="30">
        <v>20176.900000000001</v>
      </c>
      <c r="C41" s="31">
        <v>4181.17</v>
      </c>
      <c r="D41" s="31">
        <v>1768.59</v>
      </c>
      <c r="E41" s="129"/>
      <c r="F41" s="11"/>
      <c r="G41" s="13"/>
      <c r="H41" s="13"/>
    </row>
    <row r="42" spans="1:8" x14ac:dyDescent="0.45">
      <c r="A42" s="4">
        <v>44317</v>
      </c>
      <c r="B42" s="30">
        <v>20460.400000000001</v>
      </c>
      <c r="C42" s="31">
        <v>4204.1099999999997</v>
      </c>
      <c r="D42" s="31">
        <v>1906.36</v>
      </c>
      <c r="E42" s="129"/>
      <c r="F42" s="11"/>
      <c r="G42" s="13"/>
      <c r="H42" s="13"/>
    </row>
    <row r="43" spans="1:8" x14ac:dyDescent="0.45">
      <c r="A43" s="4">
        <v>44348</v>
      </c>
      <c r="B43" s="30">
        <v>20477.8</v>
      </c>
      <c r="C43" s="31">
        <v>4297.5</v>
      </c>
      <c r="D43" s="31">
        <v>1769.8</v>
      </c>
      <c r="E43" s="129"/>
      <c r="F43" s="11"/>
      <c r="G43" s="13"/>
      <c r="H43" s="13"/>
    </row>
    <row r="44" spans="1:8" x14ac:dyDescent="0.45">
      <c r="A44" s="4">
        <v>44378</v>
      </c>
      <c r="B44" s="30">
        <v>20633.3</v>
      </c>
      <c r="C44" s="31">
        <v>4395.26</v>
      </c>
      <c r="D44" s="31">
        <v>1813.58</v>
      </c>
      <c r="E44" s="129"/>
      <c r="F44" s="11"/>
      <c r="G44" s="13"/>
      <c r="H44" s="13"/>
    </row>
    <row r="45" spans="1:8" x14ac:dyDescent="0.45">
      <c r="A45" s="4">
        <v>44409</v>
      </c>
      <c r="B45" s="30">
        <v>20840.900000000001</v>
      </c>
      <c r="C45" s="31">
        <v>4522.68</v>
      </c>
      <c r="D45" s="31">
        <v>1813.43</v>
      </c>
      <c r="E45" s="129"/>
      <c r="F45" s="11"/>
      <c r="G45" s="13"/>
      <c r="H45" s="13"/>
    </row>
    <row r="46" spans="1:8" x14ac:dyDescent="0.45">
      <c r="A46" s="4">
        <v>44440</v>
      </c>
      <c r="B46" s="30">
        <v>20981</v>
      </c>
      <c r="C46" s="31">
        <v>4307.54</v>
      </c>
      <c r="D46" s="31">
        <v>1756.66</v>
      </c>
      <c r="E46" s="129"/>
      <c r="F46" s="11"/>
      <c r="G46" s="13"/>
      <c r="H46" s="13"/>
    </row>
    <row r="47" spans="1:8" x14ac:dyDescent="0.45">
      <c r="A47" s="4">
        <v>44470</v>
      </c>
      <c r="B47" s="30">
        <v>21160.6</v>
      </c>
      <c r="C47" s="31">
        <v>4605.38</v>
      </c>
      <c r="D47" s="31">
        <v>1782.81</v>
      </c>
      <c r="E47" s="129"/>
      <c r="F47" s="11"/>
      <c r="G47" s="13"/>
      <c r="H47" s="13"/>
    </row>
    <row r="48" spans="1:8" x14ac:dyDescent="0.45">
      <c r="A48" s="4">
        <v>44501</v>
      </c>
      <c r="B48" s="30">
        <v>21335.5</v>
      </c>
      <c r="C48" s="31">
        <v>4567</v>
      </c>
      <c r="D48" s="31">
        <v>1773.78</v>
      </c>
      <c r="E48" s="129"/>
      <c r="F48" s="11"/>
      <c r="G48" s="13"/>
      <c r="H48" s="13"/>
    </row>
    <row r="49" spans="1:8" x14ac:dyDescent="0.45">
      <c r="A49" s="4">
        <v>44531</v>
      </c>
      <c r="B49" s="30">
        <v>21498.5</v>
      </c>
      <c r="C49" s="31">
        <v>4766.18</v>
      </c>
      <c r="D49" s="31">
        <v>1828.39</v>
      </c>
      <c r="E49" s="129"/>
      <c r="F49" s="11"/>
      <c r="G49" s="13"/>
      <c r="H49" s="13"/>
    </row>
    <row r="50" spans="1:8" x14ac:dyDescent="0.45">
      <c r="A50" s="4">
        <v>44562</v>
      </c>
      <c r="B50" s="30">
        <v>21650.1</v>
      </c>
      <c r="C50" s="31">
        <v>4515.55</v>
      </c>
      <c r="D50" s="31">
        <v>1796.47</v>
      </c>
      <c r="E50" s="129"/>
      <c r="F50" s="11"/>
      <c r="G50" s="13"/>
      <c r="H50" s="13"/>
    </row>
    <row r="51" spans="1:8" x14ac:dyDescent="0.45">
      <c r="A51" s="4">
        <v>44593</v>
      </c>
      <c r="B51" s="30">
        <v>21725.200000000001</v>
      </c>
      <c r="C51" s="31">
        <v>4373.9399999999996</v>
      </c>
      <c r="D51" s="31">
        <v>1907.9</v>
      </c>
      <c r="E51" s="129"/>
      <c r="F51" s="11"/>
      <c r="G51" s="13"/>
      <c r="H51" s="13"/>
    </row>
    <row r="52" spans="1:8" x14ac:dyDescent="0.45">
      <c r="A52" s="4">
        <v>44621</v>
      </c>
      <c r="B52" s="30">
        <v>21787.200000000001</v>
      </c>
      <c r="C52" s="31">
        <v>4530.41</v>
      </c>
      <c r="D52" s="31">
        <v>1937.23</v>
      </c>
      <c r="E52" s="129"/>
      <c r="F52" s="11"/>
      <c r="G52" s="13"/>
      <c r="H52" s="13"/>
    </row>
    <row r="53" spans="1:8" x14ac:dyDescent="0.45">
      <c r="A53" s="4">
        <v>44652</v>
      </c>
      <c r="B53" s="30">
        <v>21769.4</v>
      </c>
      <c r="C53" s="31">
        <v>4131.93</v>
      </c>
      <c r="D53" s="31">
        <v>1896.4</v>
      </c>
      <c r="E53" s="129"/>
      <c r="F53" s="11"/>
      <c r="G53" s="13"/>
      <c r="H53" s="13"/>
    </row>
    <row r="54" spans="1:8" x14ac:dyDescent="0.45">
      <c r="A54" s="4">
        <v>44682</v>
      </c>
      <c r="B54" s="30">
        <v>21719.9</v>
      </c>
      <c r="C54" s="31">
        <v>4132.1499999999996</v>
      </c>
      <c r="D54" s="31">
        <v>1837.09</v>
      </c>
      <c r="E54" s="129"/>
      <c r="F54" s="11"/>
      <c r="G54" s="13"/>
      <c r="H54" s="13"/>
    </row>
    <row r="55" spans="1:8" x14ac:dyDescent="0.45">
      <c r="A55" s="4">
        <v>44713</v>
      </c>
      <c r="B55" s="30">
        <v>21651.5</v>
      </c>
      <c r="C55" s="31">
        <v>3785.38</v>
      </c>
      <c r="D55" s="31">
        <v>1806.89</v>
      </c>
      <c r="E55" s="129"/>
      <c r="F55" s="11"/>
      <c r="G55" s="13"/>
      <c r="H55" s="13"/>
    </row>
    <row r="56" spans="1:8" x14ac:dyDescent="0.45">
      <c r="A56" s="4">
        <v>44743</v>
      </c>
      <c r="B56" s="30">
        <v>21652.9</v>
      </c>
      <c r="C56" s="31">
        <v>4130.29</v>
      </c>
      <c r="D56" s="31">
        <v>1765.22</v>
      </c>
      <c r="E56" s="129"/>
      <c r="F56" s="11"/>
      <c r="G56" s="13"/>
      <c r="H56" s="13"/>
    </row>
    <row r="57" spans="1:8" x14ac:dyDescent="0.45">
      <c r="A57" s="4">
        <v>44774</v>
      </c>
      <c r="B57" s="30">
        <v>21638.400000000001</v>
      </c>
      <c r="C57" s="31">
        <v>3955</v>
      </c>
      <c r="D57" s="31">
        <v>1710.7</v>
      </c>
      <c r="E57" s="129"/>
      <c r="F57" s="11"/>
      <c r="G57" s="13"/>
      <c r="H57" s="13"/>
    </row>
    <row r="58" spans="1:8" x14ac:dyDescent="0.45">
      <c r="A58" s="4">
        <v>44805</v>
      </c>
      <c r="B58" s="30">
        <v>21536.7</v>
      </c>
      <c r="C58" s="31">
        <v>3585.62</v>
      </c>
      <c r="D58" s="31">
        <v>1659.67</v>
      </c>
      <c r="E58" s="129"/>
      <c r="F58" s="11"/>
      <c r="G58" s="13"/>
      <c r="H58" s="13"/>
    </row>
    <row r="59" spans="1:8" x14ac:dyDescent="0.45">
      <c r="A59" s="4">
        <v>44835</v>
      </c>
      <c r="B59" s="30">
        <v>21461.7</v>
      </c>
      <c r="C59" s="31">
        <v>3871.98</v>
      </c>
      <c r="D59" s="31">
        <v>1633.12</v>
      </c>
      <c r="E59" s="129"/>
      <c r="F59" s="11"/>
      <c r="G59" s="13"/>
      <c r="H59" s="13"/>
    </row>
    <row r="60" spans="1:8" x14ac:dyDescent="0.45">
      <c r="A60" s="4">
        <v>44866</v>
      </c>
      <c r="B60" s="30">
        <v>21406.7</v>
      </c>
      <c r="C60" s="31">
        <v>4080.11</v>
      </c>
      <c r="D60" s="31">
        <v>1768.45</v>
      </c>
      <c r="E60" s="129"/>
      <c r="F60" s="11"/>
      <c r="G60" s="13"/>
      <c r="H60" s="13"/>
    </row>
    <row r="61" spans="1:8" x14ac:dyDescent="0.45">
      <c r="A61" s="4">
        <v>44896</v>
      </c>
      <c r="B61" s="30">
        <v>21290.9</v>
      </c>
      <c r="C61" s="31">
        <v>3839.5</v>
      </c>
      <c r="D61" s="31">
        <v>1824.4</v>
      </c>
      <c r="E61" s="129"/>
      <c r="F61" s="11"/>
      <c r="G61" s="13"/>
      <c r="H61" s="13"/>
    </row>
    <row r="62" spans="1:8" x14ac:dyDescent="0.45">
      <c r="A62" s="4">
        <v>44927</v>
      </c>
      <c r="B62" s="30">
        <v>21279.9</v>
      </c>
      <c r="C62" s="31">
        <v>4076.6</v>
      </c>
      <c r="D62" s="31">
        <v>1927.88</v>
      </c>
      <c r="E62" s="129"/>
      <c r="F62" s="11"/>
      <c r="G62" s="13"/>
      <c r="H62" s="13"/>
    </row>
    <row r="63" spans="1:8" x14ac:dyDescent="0.45">
      <c r="A63" s="4">
        <v>44958</v>
      </c>
      <c r="B63" s="30">
        <v>21243.7</v>
      </c>
      <c r="C63" s="31">
        <v>3970.15</v>
      </c>
      <c r="D63" s="31">
        <v>1827.15</v>
      </c>
      <c r="E63" s="129"/>
      <c r="F63" s="11"/>
      <c r="G63" s="13"/>
      <c r="H63" s="13"/>
    </row>
    <row r="64" spans="1:8" x14ac:dyDescent="0.45">
      <c r="A64" s="4">
        <v>44986</v>
      </c>
      <c r="B64" s="30">
        <v>20947.400000000001</v>
      </c>
      <c r="C64" s="31">
        <v>4109.3100000000004</v>
      </c>
      <c r="D64" s="31">
        <v>1967.9</v>
      </c>
      <c r="E64" s="129"/>
      <c r="F64" s="11"/>
      <c r="G64" s="13"/>
      <c r="H64" s="13"/>
    </row>
    <row r="65" spans="1:8" x14ac:dyDescent="0.45">
      <c r="A65" s="4">
        <v>45017</v>
      </c>
      <c r="B65" s="30">
        <v>20761.400000000001</v>
      </c>
      <c r="C65" s="31">
        <v>4169.4799999999996</v>
      </c>
      <c r="D65" s="31">
        <v>1989.65</v>
      </c>
      <c r="E65" s="129"/>
      <c r="F65" s="11"/>
      <c r="G65" s="13"/>
      <c r="H65" s="13"/>
    </row>
    <row r="66" spans="1:8" x14ac:dyDescent="0.45">
      <c r="A66" s="4">
        <v>45047</v>
      </c>
      <c r="B66" s="30">
        <v>20829.599999999999</v>
      </c>
      <c r="C66" s="31">
        <v>4179.83</v>
      </c>
      <c r="D66" s="31">
        <v>1962.3</v>
      </c>
      <c r="E66" s="129"/>
      <c r="F66" s="11"/>
      <c r="G66" s="13"/>
      <c r="H66" s="13"/>
    </row>
    <row r="67" spans="1:8" x14ac:dyDescent="0.45">
      <c r="A67" s="4">
        <v>45078</v>
      </c>
      <c r="B67" s="30">
        <v>20799.400000000001</v>
      </c>
      <c r="C67" s="31">
        <v>4450.38</v>
      </c>
      <c r="D67" s="31">
        <v>1919.57</v>
      </c>
      <c r="E67" s="129"/>
      <c r="F67" s="11"/>
      <c r="G67" s="13"/>
      <c r="H67" s="13"/>
    </row>
    <row r="68" spans="1:8" x14ac:dyDescent="0.45">
      <c r="A68" s="4">
        <v>45108</v>
      </c>
      <c r="B68" s="30">
        <v>20791.400000000001</v>
      </c>
      <c r="C68" s="31">
        <v>4588.96</v>
      </c>
      <c r="D68" s="31">
        <v>1964.19</v>
      </c>
      <c r="E68" s="129"/>
      <c r="F68" s="11"/>
      <c r="G68" s="13"/>
      <c r="H68" s="13"/>
    </row>
    <row r="69" spans="1:8" x14ac:dyDescent="0.45">
      <c r="A69" s="4">
        <v>45139</v>
      </c>
      <c r="B69" s="30">
        <v>20777.5</v>
      </c>
      <c r="C69" s="31">
        <v>4507.66</v>
      </c>
      <c r="D69" s="31">
        <v>1939.74</v>
      </c>
      <c r="E69" s="129"/>
      <c r="F69" s="11"/>
      <c r="G69" s="13"/>
      <c r="H69" s="13"/>
    </row>
    <row r="70" spans="1:8" x14ac:dyDescent="0.45">
      <c r="A70" s="4">
        <v>45170</v>
      </c>
      <c r="B70" s="30">
        <v>20747.8</v>
      </c>
      <c r="C70" s="31">
        <v>4288.05</v>
      </c>
      <c r="D70" s="31">
        <v>1848.31</v>
      </c>
      <c r="E70" s="129"/>
      <c r="F70" s="11"/>
      <c r="G70" s="13"/>
      <c r="H70" s="13"/>
    </row>
    <row r="71" spans="1:8" x14ac:dyDescent="0.45">
      <c r="A71" s="4">
        <v>45200</v>
      </c>
      <c r="B71" s="30">
        <v>20732.900000000001</v>
      </c>
      <c r="C71" s="31">
        <v>4193.8</v>
      </c>
      <c r="D71" s="31">
        <v>1982.7</v>
      </c>
      <c r="E71" s="129"/>
      <c r="F71" s="11"/>
      <c r="G71" s="13"/>
      <c r="H71" s="13"/>
    </row>
    <row r="72" spans="1:8" x14ac:dyDescent="0.45">
      <c r="A72" s="4">
        <v>45231</v>
      </c>
      <c r="B72" s="30">
        <v>20746.400000000001</v>
      </c>
      <c r="C72" s="31">
        <v>4567.8</v>
      </c>
      <c r="D72" s="31">
        <v>2035.75</v>
      </c>
      <c r="E72" s="129"/>
      <c r="F72" s="11"/>
      <c r="G72" s="13"/>
      <c r="H72" s="13"/>
    </row>
    <row r="73" spans="1:8" x14ac:dyDescent="0.45">
      <c r="A73" s="4">
        <v>45261</v>
      </c>
      <c r="B73" s="30">
        <v>20777.8</v>
      </c>
      <c r="C73" s="31">
        <v>4769.83</v>
      </c>
      <c r="D73" s="31">
        <v>2062.59</v>
      </c>
      <c r="E73" s="129"/>
      <c r="F73" s="11"/>
      <c r="G73" s="13"/>
      <c r="H73" s="13"/>
    </row>
    <row r="74" spans="1:8" x14ac:dyDescent="0.45">
      <c r="A74" s="4">
        <v>45292</v>
      </c>
      <c r="B74" s="30">
        <v>20843.7</v>
      </c>
      <c r="C74" s="31">
        <v>4845.6499999999996</v>
      </c>
      <c r="D74" s="31">
        <v>2037.19</v>
      </c>
      <c r="E74" s="129"/>
      <c r="F74" s="11"/>
      <c r="G74" s="13"/>
      <c r="H74" s="13"/>
    </row>
    <row r="75" spans="1:8" x14ac:dyDescent="0.45">
      <c r="A75" s="4">
        <v>45323</v>
      </c>
      <c r="B75" s="30">
        <v>20926.900000000001</v>
      </c>
      <c r="C75" s="31">
        <v>5096.2700000000004</v>
      </c>
      <c r="D75" s="31">
        <v>2043.24</v>
      </c>
      <c r="E75" s="129"/>
      <c r="F75" s="11"/>
      <c r="G75" s="13"/>
      <c r="H75" s="13"/>
    </row>
    <row r="76" spans="1:8" x14ac:dyDescent="0.45">
      <c r="A76" s="4">
        <v>45352</v>
      </c>
      <c r="B76" s="30">
        <v>20973.200000000001</v>
      </c>
      <c r="C76" s="31">
        <v>5254.35</v>
      </c>
      <c r="D76" s="31">
        <v>2232.38</v>
      </c>
      <c r="E76" s="129"/>
      <c r="F76" s="11"/>
      <c r="G76" s="13"/>
      <c r="H76" s="13"/>
    </row>
    <row r="77" spans="1:8" x14ac:dyDescent="0.45">
      <c r="A77" s="4">
        <v>45383</v>
      </c>
      <c r="B77" s="30">
        <v>20958.8</v>
      </c>
      <c r="C77" s="31">
        <v>5035.6899999999996</v>
      </c>
      <c r="D77" s="31">
        <v>2285.5700000000002</v>
      </c>
      <c r="E77" s="129"/>
      <c r="F77" s="11"/>
      <c r="G77" s="13"/>
      <c r="H77" s="13"/>
    </row>
    <row r="78" spans="1:8" x14ac:dyDescent="0.45">
      <c r="A78" s="4">
        <v>45413</v>
      </c>
      <c r="B78" s="30">
        <v>21019.9</v>
      </c>
      <c r="C78" s="31">
        <v>5277.51</v>
      </c>
      <c r="D78" s="31">
        <v>2326.9699999999998</v>
      </c>
      <c r="E78" s="129"/>
      <c r="F78" s="11"/>
      <c r="G78" s="13"/>
      <c r="H78" s="13"/>
    </row>
    <row r="79" spans="1:8" x14ac:dyDescent="0.45">
      <c r="A79" s="4">
        <v>45444</v>
      </c>
      <c r="B79" s="30">
        <v>21067.7</v>
      </c>
      <c r="C79" s="31">
        <v>5460.48</v>
      </c>
      <c r="D79" s="31">
        <v>2325.71</v>
      </c>
      <c r="E79" s="129"/>
      <c r="F79" s="11"/>
      <c r="G79" s="13"/>
      <c r="H79" s="13"/>
    </row>
    <row r="80" spans="1:8" x14ac:dyDescent="0.45">
      <c r="A80" s="4">
        <v>45474</v>
      </c>
      <c r="B80" s="30">
        <v>21094.400000000001</v>
      </c>
      <c r="C80" s="31">
        <v>5522.3</v>
      </c>
      <c r="D80" s="31">
        <v>2448.1</v>
      </c>
      <c r="E80" s="129"/>
      <c r="F80" s="11"/>
      <c r="G80" s="13"/>
      <c r="H80" s="13"/>
    </row>
    <row r="81" spans="1:6" x14ac:dyDescent="0.45">
      <c r="A81" s="4">
        <v>45505</v>
      </c>
      <c r="B81" s="30">
        <v>21185.8</v>
      </c>
      <c r="C81" s="31">
        <v>5648.4</v>
      </c>
      <c r="D81" s="31">
        <v>2503.0300000000002</v>
      </c>
      <c r="E81" s="129"/>
      <c r="F81" s="11"/>
    </row>
    <row r="82" spans="1:6" x14ac:dyDescent="0.45">
      <c r="A82" s="4">
        <v>45536</v>
      </c>
      <c r="B82" s="30">
        <v>21268.6</v>
      </c>
      <c r="C82" s="31">
        <v>5762.48</v>
      </c>
      <c r="D82" s="31">
        <v>2634.49</v>
      </c>
      <c r="E82" s="130" t="s">
        <v>159</v>
      </c>
      <c r="F82" s="11"/>
    </row>
    <row r="83" spans="1:6" x14ac:dyDescent="0.45">
      <c r="A83" s="4">
        <v>45566</v>
      </c>
      <c r="B83" s="30">
        <v>21331</v>
      </c>
      <c r="C83" s="31">
        <v>5705.45</v>
      </c>
      <c r="D83" s="31">
        <v>2743.8</v>
      </c>
      <c r="E83" s="130"/>
      <c r="F83" s="11"/>
    </row>
    <row r="84" spans="1:6" x14ac:dyDescent="0.45">
      <c r="A84" s="4">
        <v>45597</v>
      </c>
      <c r="B84" s="30">
        <v>21451.599999999999</v>
      </c>
      <c r="C84" s="31">
        <v>6032.38</v>
      </c>
      <c r="D84" s="31">
        <v>2653.55</v>
      </c>
      <c r="E84" s="130"/>
      <c r="F84" s="11"/>
    </row>
    <row r="85" spans="1:6" x14ac:dyDescent="0.45">
      <c r="A85" s="4">
        <v>45627</v>
      </c>
      <c r="B85" s="30">
        <v>21485.3</v>
      </c>
      <c r="C85" s="31">
        <v>5881.63</v>
      </c>
      <c r="D85" s="31">
        <v>2623.81</v>
      </c>
      <c r="E85" s="130"/>
      <c r="F85" s="11"/>
    </row>
    <row r="86" spans="1:6" x14ac:dyDescent="0.45">
      <c r="A86" s="4">
        <v>45658</v>
      </c>
      <c r="B86" s="30">
        <v>21547.599999999999</v>
      </c>
      <c r="C86" s="31">
        <v>6040.53</v>
      </c>
      <c r="D86" s="31">
        <v>2801.18</v>
      </c>
      <c r="E86" s="130"/>
      <c r="F86" s="11"/>
    </row>
    <row r="87" spans="1:6" x14ac:dyDescent="0.45">
      <c r="A87" s="4">
        <v>45689</v>
      </c>
      <c r="B87" s="30">
        <v>21613.200000000001</v>
      </c>
      <c r="C87" s="31">
        <v>5954.5</v>
      </c>
      <c r="D87" s="31">
        <v>2858.77</v>
      </c>
      <c r="E87" s="130"/>
      <c r="F87" s="11"/>
    </row>
    <row r="88" spans="1:6" x14ac:dyDescent="0.45">
      <c r="A88" s="4">
        <v>45717</v>
      </c>
      <c r="B88" s="30">
        <v>21693.5</v>
      </c>
      <c r="C88" s="31">
        <v>5611.85</v>
      </c>
      <c r="D88" s="31">
        <v>3123.35</v>
      </c>
      <c r="E88" s="130"/>
      <c r="F88" s="11"/>
    </row>
    <row r="89" spans="1:6" x14ac:dyDescent="0.45">
      <c r="A89" s="4">
        <v>45748</v>
      </c>
      <c r="B89" s="30">
        <v>21775.5</v>
      </c>
      <c r="C89" s="31">
        <v>5569.06</v>
      </c>
      <c r="D89" s="31">
        <v>3288.59</v>
      </c>
      <c r="E89" s="130"/>
      <c r="F89" s="11"/>
    </row>
    <row r="90" spans="1:6" x14ac:dyDescent="0.45">
      <c r="A90" s="4">
        <v>45778</v>
      </c>
      <c r="B90" s="30">
        <v>21833.8</v>
      </c>
      <c r="C90" s="31">
        <v>5911.69</v>
      </c>
      <c r="D90" s="31">
        <v>3289.4</v>
      </c>
      <c r="E90" s="130"/>
      <c r="F90" s="11"/>
    </row>
    <row r="91" spans="1:6" x14ac:dyDescent="0.45">
      <c r="A91" s="4">
        <v>45809</v>
      </c>
      <c r="B91" s="30">
        <v>21938.7</v>
      </c>
      <c r="C91" s="31">
        <v>6204.95</v>
      </c>
      <c r="D91" s="31">
        <v>3303.69</v>
      </c>
      <c r="E91" s="130"/>
      <c r="F91" s="11"/>
    </row>
    <row r="92" spans="1:6" x14ac:dyDescent="0.45">
      <c r="A92" s="4">
        <v>45839</v>
      </c>
      <c r="B92" s="30">
        <v>22019.9</v>
      </c>
      <c r="C92" s="31">
        <v>6339.39</v>
      </c>
      <c r="D92" s="31">
        <v>3290.32</v>
      </c>
      <c r="E92" s="130"/>
      <c r="F92" s="11"/>
    </row>
    <row r="93" spans="1:6" x14ac:dyDescent="0.45">
      <c r="A93" s="4">
        <v>45870</v>
      </c>
      <c r="B93" s="30">
        <v>22086.799999999999</v>
      </c>
      <c r="C93" s="31">
        <v>6460.26</v>
      </c>
      <c r="D93" s="31">
        <v>3448</v>
      </c>
      <c r="E93" s="130"/>
      <c r="F93" s="11"/>
    </row>
    <row r="94" spans="1:6" x14ac:dyDescent="0.45">
      <c r="A94" s="4">
        <v>45901</v>
      </c>
      <c r="B94" s="30">
        <v>22169.8</v>
      </c>
      <c r="C94" s="31">
        <v>6688.46</v>
      </c>
      <c r="D94" s="31">
        <v>3858.51</v>
      </c>
      <c r="E94" s="130"/>
      <c r="F94" s="11"/>
    </row>
    <row r="95" spans="1:6" x14ac:dyDescent="0.45">
      <c r="A95" s="4">
        <v>45931</v>
      </c>
      <c r="B95" s="30">
        <v>22250.400000000001</v>
      </c>
      <c r="C95" s="31">
        <v>6840.2</v>
      </c>
      <c r="D95" s="31">
        <v>4002.28</v>
      </c>
      <c r="E95" s="130"/>
      <c r="F95" s="11"/>
    </row>
    <row r="96" spans="1:6" x14ac:dyDescent="0.45">
      <c r="A96" s="4">
        <v>45962</v>
      </c>
      <c r="B96" s="30">
        <v>22296.5</v>
      </c>
      <c r="C96" s="31">
        <v>6849.09</v>
      </c>
      <c r="D96" s="31">
        <v>4230.63</v>
      </c>
      <c r="E96" s="130"/>
      <c r="F96" s="11"/>
    </row>
    <row r="97" spans="1:6" x14ac:dyDescent="0.45">
      <c r="A97" s="4">
        <v>45992</v>
      </c>
      <c r="B97" s="30">
        <v>22386.9</v>
      </c>
      <c r="C97" s="31">
        <v>6845.5</v>
      </c>
      <c r="D97" s="31">
        <v>4315.09</v>
      </c>
      <c r="E97" s="130"/>
      <c r="F97" s="11"/>
    </row>
    <row r="98" spans="1:6" x14ac:dyDescent="0.45">
      <c r="A98" s="4">
        <v>46023</v>
      </c>
      <c r="B98" s="30">
        <v>22469.1</v>
      </c>
      <c r="C98" s="31">
        <v>6939.03</v>
      </c>
      <c r="D98" s="31">
        <v>4865.3500000000004</v>
      </c>
      <c r="E98" s="130"/>
      <c r="F98" s="11"/>
    </row>
    <row r="99" spans="1:6" x14ac:dyDescent="0.45">
      <c r="A99" s="4">
        <v>46024</v>
      </c>
      <c r="B99" s="30">
        <v>22667.3</v>
      </c>
      <c r="C99" s="31">
        <v>6878.88</v>
      </c>
      <c r="D99" s="31">
        <v>5277.9</v>
      </c>
      <c r="E99" s="130"/>
      <c r="F99" s="11"/>
    </row>
  </sheetData>
  <mergeCells count="2">
    <mergeCell ref="E1:E81"/>
    <mergeCell ref="E82:E9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F60C-1862-4A8F-9AF0-5102DAE8E9BD}">
  <dimension ref="A1:U81"/>
  <sheetViews>
    <sheetView zoomScale="82" workbookViewId="0">
      <selection activeCell="G1" sqref="G1:G1048576"/>
    </sheetView>
  </sheetViews>
  <sheetFormatPr defaultRowHeight="14.25" x14ac:dyDescent="0.45"/>
  <cols>
    <col min="4" max="4" width="14.73046875" customWidth="1"/>
    <col min="5" max="5" width="16.19921875" customWidth="1"/>
    <col min="6" max="6" width="19.796875" customWidth="1"/>
    <col min="7" max="7" width="21.3984375" customWidth="1"/>
    <col min="9" max="9" width="17.46484375" style="128" customWidth="1"/>
    <col min="11" max="11" width="13.73046875" customWidth="1"/>
    <col min="12" max="12" width="15.265625" customWidth="1"/>
    <col min="13" max="13" width="11.33203125" bestFit="1" customWidth="1"/>
  </cols>
  <sheetData>
    <row r="1" spans="1:21" x14ac:dyDescent="0.45">
      <c r="A1" s="23" t="s">
        <v>0</v>
      </c>
      <c r="B1" s="23" t="s">
        <v>1</v>
      </c>
      <c r="C1" s="23" t="s">
        <v>2</v>
      </c>
      <c r="D1" s="23" t="s">
        <v>24</v>
      </c>
      <c r="E1" s="23" t="s">
        <v>25</v>
      </c>
      <c r="F1" s="23" t="s">
        <v>27</v>
      </c>
      <c r="G1" s="23" t="s">
        <v>26</v>
      </c>
      <c r="I1" s="127"/>
      <c r="J1" s="126"/>
      <c r="K1" s="126"/>
      <c r="L1" s="126"/>
      <c r="N1" s="1"/>
    </row>
    <row r="2" spans="1:21" x14ac:dyDescent="0.45">
      <c r="A2" s="19">
        <v>49</v>
      </c>
      <c r="B2" s="19">
        <v>-109.98000000000002</v>
      </c>
      <c r="C2" s="19">
        <v>-27.039999999999964</v>
      </c>
      <c r="D2" s="20">
        <v>0</v>
      </c>
      <c r="E2" s="20">
        <v>0</v>
      </c>
      <c r="F2" s="20">
        <v>0</v>
      </c>
      <c r="G2" s="20">
        <v>0</v>
      </c>
      <c r="I2" s="1"/>
      <c r="J2" s="12"/>
      <c r="K2" s="13"/>
      <c r="L2" s="13"/>
      <c r="N2" s="1"/>
    </row>
    <row r="3" spans="1:21" x14ac:dyDescent="0.45">
      <c r="A3" s="19">
        <v>63.400000000001455</v>
      </c>
      <c r="B3" s="19">
        <v>-72.960000000000036</v>
      </c>
      <c r="C3" s="19">
        <v>6.3399999999999181</v>
      </c>
      <c r="D3" s="20">
        <v>0</v>
      </c>
      <c r="E3" s="20">
        <v>0</v>
      </c>
      <c r="F3" s="20">
        <v>0</v>
      </c>
      <c r="G3" s="20">
        <v>0</v>
      </c>
      <c r="I3" s="127"/>
      <c r="J3" s="12"/>
      <c r="K3" s="13"/>
      <c r="L3" s="13"/>
      <c r="M3" s="11"/>
      <c r="N3" s="1"/>
      <c r="O3" s="13"/>
      <c r="P3" s="13"/>
    </row>
    <row r="4" spans="1:21" x14ac:dyDescent="0.45">
      <c r="A4" s="19">
        <v>23.199999999998909</v>
      </c>
      <c r="B4" s="19">
        <v>7.180000000000291</v>
      </c>
      <c r="C4" s="19">
        <v>-9.0499999999999545</v>
      </c>
      <c r="D4" s="20">
        <v>0</v>
      </c>
      <c r="E4" s="20">
        <v>0</v>
      </c>
      <c r="F4" s="20">
        <v>0</v>
      </c>
      <c r="G4" s="20">
        <v>0</v>
      </c>
      <c r="I4" s="127"/>
      <c r="J4" s="12"/>
      <c r="K4" s="13"/>
      <c r="L4" s="13"/>
      <c r="M4" s="11"/>
      <c r="N4" s="1"/>
      <c r="O4" s="13"/>
      <c r="P4" s="13"/>
    </row>
    <row r="5" spans="1:21" x14ac:dyDescent="0.45">
      <c r="A5" s="19">
        <v>56.5</v>
      </c>
      <c r="B5" s="19">
        <v>57.2199999999998</v>
      </c>
      <c r="C5" s="19">
        <v>-17.029999999999973</v>
      </c>
      <c r="D5" s="20">
        <v>0</v>
      </c>
      <c r="E5" s="20">
        <v>0</v>
      </c>
      <c r="F5" s="20">
        <v>0</v>
      </c>
      <c r="G5" s="20">
        <v>0</v>
      </c>
      <c r="I5" s="127"/>
      <c r="J5" s="12"/>
      <c r="K5" s="13"/>
      <c r="L5" s="13"/>
      <c r="M5" s="11"/>
      <c r="N5" s="1"/>
      <c r="O5" s="13"/>
      <c r="P5" s="13"/>
    </row>
    <row r="6" spans="1:21" x14ac:dyDescent="0.45">
      <c r="A6" s="19">
        <v>44.800000000001091</v>
      </c>
      <c r="B6" s="19">
        <v>13.099999999999909</v>
      </c>
      <c r="C6" s="19">
        <v>-45.670000000000073</v>
      </c>
      <c r="D6" s="20">
        <v>0</v>
      </c>
      <c r="E6" s="20">
        <v>0</v>
      </c>
      <c r="F6" s="20">
        <v>0</v>
      </c>
      <c r="G6" s="20">
        <f>C6-0.20011*A3+0.19098*A2-0.08492*B6</f>
        <v>-50.111406000000358</v>
      </c>
      <c r="I6" s="127"/>
      <c r="J6" s="12"/>
      <c r="K6" s="13"/>
      <c r="L6" s="13"/>
      <c r="M6" s="11"/>
      <c r="N6" s="1"/>
      <c r="O6" s="13"/>
      <c r="P6" s="13"/>
    </row>
    <row r="7" spans="1:21" x14ac:dyDescent="0.45">
      <c r="A7" s="19">
        <v>37.399999999999636</v>
      </c>
      <c r="B7" s="19">
        <v>97.920000000000073</v>
      </c>
      <c r="C7" s="19">
        <v>-28.839999999999918</v>
      </c>
      <c r="D7" s="20">
        <v>0</v>
      </c>
      <c r="E7" s="20">
        <v>0</v>
      </c>
      <c r="F7" s="20">
        <v>0</v>
      </c>
      <c r="G7" s="20">
        <f t="shared" ref="G7:G70" si="0">C7-0.20011*A4+0.19098*A3-0.08492*B7</f>
        <v>-29.689786399999427</v>
      </c>
      <c r="I7" s="127"/>
      <c r="J7" s="12"/>
      <c r="K7" s="13"/>
      <c r="L7" s="13"/>
      <c r="M7" s="11"/>
      <c r="N7" s="1"/>
      <c r="O7" s="13"/>
      <c r="P7" s="13"/>
    </row>
    <row r="8" spans="1:21" x14ac:dyDescent="0.45">
      <c r="A8" s="19">
        <v>48.600000000000364</v>
      </c>
      <c r="B8" s="19">
        <v>85.230000000000018</v>
      </c>
      <c r="C8" s="19">
        <v>-22.700000000000045</v>
      </c>
      <c r="D8" s="20">
        <v>0</v>
      </c>
      <c r="E8" s="20">
        <v>0</v>
      </c>
      <c r="F8" s="20">
        <v>0</v>
      </c>
      <c r="G8" s="20">
        <f t="shared" si="0"/>
        <v>-36.813210600000261</v>
      </c>
      <c r="I8" s="127"/>
      <c r="J8" s="12"/>
      <c r="K8" s="13"/>
      <c r="L8" s="13"/>
      <c r="M8" s="11"/>
      <c r="N8" s="1"/>
      <c r="O8" s="13"/>
      <c r="P8" s="13"/>
    </row>
    <row r="9" spans="1:21" x14ac:dyDescent="0.45">
      <c r="A9" s="19">
        <v>22.299999999999272</v>
      </c>
      <c r="B9" s="19">
        <v>12.460000000000036</v>
      </c>
      <c r="C9" s="19">
        <v>-9.0199999999999818</v>
      </c>
      <c r="D9" s="20">
        <v>0</v>
      </c>
      <c r="E9" s="20">
        <v>0</v>
      </c>
      <c r="F9" s="20">
        <v>0</v>
      </c>
      <c r="G9" s="20">
        <f t="shared" si="0"/>
        <v>-8.2526612000002046</v>
      </c>
      <c r="I9" s="127"/>
      <c r="J9" s="12"/>
      <c r="K9" s="13"/>
      <c r="L9" s="13"/>
      <c r="M9" s="11"/>
      <c r="N9" s="1"/>
      <c r="O9" s="13"/>
      <c r="P9" s="13"/>
      <c r="U9" s="29"/>
    </row>
    <row r="10" spans="1:21" x14ac:dyDescent="0.45">
      <c r="A10" s="19">
        <v>11.100000000000364</v>
      </c>
      <c r="B10" s="19">
        <v>-202.24000000000024</v>
      </c>
      <c r="C10" s="19">
        <v>22.450000000000045</v>
      </c>
      <c r="D10" s="20">
        <v>0</v>
      </c>
      <c r="E10" s="20">
        <v>0</v>
      </c>
      <c r="F10" s="20">
        <v>0</v>
      </c>
      <c r="G10" s="20">
        <f t="shared" si="0"/>
        <v>40.696010800000352</v>
      </c>
      <c r="I10" s="127"/>
      <c r="J10" s="12"/>
      <c r="K10" s="13"/>
      <c r="L10" s="13"/>
      <c r="M10" s="11"/>
      <c r="N10" s="1"/>
      <c r="O10" s="13"/>
      <c r="P10" s="13"/>
    </row>
    <row r="11" spans="1:21" x14ac:dyDescent="0.45">
      <c r="A11" s="19">
        <v>26.199999999998909</v>
      </c>
      <c r="B11" s="19">
        <v>48.430000000000291</v>
      </c>
      <c r="C11" s="19">
        <v>7.7400000000000091</v>
      </c>
      <c r="D11" s="20">
        <v>0</v>
      </c>
      <c r="E11" s="20">
        <v>0</v>
      </c>
      <c r="F11" s="20">
        <v>0</v>
      </c>
      <c r="G11" s="20">
        <f t="shared" si="0"/>
        <v>1.0446303999998428</v>
      </c>
      <c r="I11" s="127"/>
      <c r="J11" s="12"/>
      <c r="K11" s="13"/>
      <c r="L11" s="13"/>
      <c r="M11" s="11"/>
      <c r="N11" s="1"/>
      <c r="O11" s="13"/>
      <c r="P11" s="13"/>
    </row>
    <row r="12" spans="1:21" x14ac:dyDescent="0.45">
      <c r="A12" s="19">
        <v>104</v>
      </c>
      <c r="B12" s="19">
        <v>-253.32000000000016</v>
      </c>
      <c r="C12" s="19">
        <v>60.849999999999909</v>
      </c>
      <c r="D12" s="20">
        <v>0</v>
      </c>
      <c r="E12" s="20">
        <v>0</v>
      </c>
      <c r="F12" s="20">
        <v>0</v>
      </c>
      <c r="G12" s="20">
        <f t="shared" si="0"/>
        <v>87.181109400000139</v>
      </c>
      <c r="I12" s="127"/>
      <c r="J12" s="12"/>
      <c r="K12" s="13"/>
      <c r="L12" s="13"/>
      <c r="M12" s="11"/>
      <c r="N12" s="1"/>
      <c r="O12" s="13"/>
      <c r="P12" s="13"/>
    </row>
    <row r="13" spans="1:21" x14ac:dyDescent="0.45">
      <c r="A13" s="19">
        <v>72.900000000001455</v>
      </c>
      <c r="B13" s="19">
        <v>197.25</v>
      </c>
      <c r="C13" s="19">
        <v>37.829999999999927</v>
      </c>
      <c r="D13" s="20">
        <v>0</v>
      </c>
      <c r="E13" s="20">
        <v>0</v>
      </c>
      <c r="F13" s="20">
        <v>0</v>
      </c>
      <c r="G13" s="20">
        <f t="shared" si="0"/>
        <v>23.117162999999714</v>
      </c>
      <c r="I13" s="127"/>
      <c r="J13" s="12"/>
      <c r="K13" s="13"/>
      <c r="L13" s="13"/>
      <c r="M13" s="11"/>
      <c r="N13" s="1"/>
      <c r="O13" s="13"/>
      <c r="P13" s="13"/>
    </row>
    <row r="14" spans="1:21" x14ac:dyDescent="0.45">
      <c r="A14" s="19">
        <v>46.599999999998545</v>
      </c>
      <c r="B14" s="19">
        <v>80.389999999999873</v>
      </c>
      <c r="C14" s="19">
        <v>-7.8999999999998636</v>
      </c>
      <c r="D14" s="20">
        <v>0</v>
      </c>
      <c r="E14" s="20">
        <f>C14-0.20011*A11+0.19098*A10-0.10445*B2</f>
        <v>0.4644070000004259</v>
      </c>
      <c r="F14" s="20">
        <v>0</v>
      </c>
      <c r="G14" s="20">
        <f t="shared" si="0"/>
        <v>-17.849722799999565</v>
      </c>
      <c r="I14" s="127"/>
      <c r="J14" s="12"/>
      <c r="K14" s="13"/>
      <c r="L14" s="13"/>
      <c r="M14" s="11"/>
      <c r="N14" s="1"/>
      <c r="O14" s="13"/>
      <c r="P14" s="13"/>
    </row>
    <row r="15" spans="1:21" x14ac:dyDescent="0.45">
      <c r="A15" s="19">
        <v>51.200000000000728</v>
      </c>
      <c r="B15" s="19">
        <v>49.910000000000309</v>
      </c>
      <c r="C15" s="19">
        <v>-20.759999999999991</v>
      </c>
      <c r="D15" s="20">
        <v>0</v>
      </c>
      <c r="E15" s="20">
        <f t="shared" ref="E15:E78" si="1">C15-0.20011*A12+0.19098*A11-0.10445*B3</f>
        <v>-28.9470920000002</v>
      </c>
      <c r="F15" s="20">
        <v>0</v>
      </c>
      <c r="G15" s="20">
        <f t="shared" si="0"/>
        <v>-40.806121200000227</v>
      </c>
      <c r="I15" s="127"/>
      <c r="J15" s="12"/>
      <c r="K15" s="13"/>
      <c r="L15" s="13"/>
      <c r="M15" s="11"/>
      <c r="N15" s="1"/>
      <c r="O15" s="13"/>
      <c r="P15" s="13"/>
    </row>
    <row r="16" spans="1:21" x14ac:dyDescent="0.45">
      <c r="A16" s="19">
        <v>37.200000000000728</v>
      </c>
      <c r="B16" s="19">
        <v>111.42999999999984</v>
      </c>
      <c r="C16" s="19">
        <v>-8.5500000000001819</v>
      </c>
      <c r="D16" s="20">
        <v>0</v>
      </c>
      <c r="E16" s="20">
        <f t="shared" si="1"/>
        <v>-4.0260500000005051</v>
      </c>
      <c r="F16" s="20">
        <v>0</v>
      </c>
      <c r="G16" s="20">
        <f t="shared" si="0"/>
        <v>-12.738734600000461</v>
      </c>
      <c r="I16" s="127"/>
      <c r="J16" s="12"/>
      <c r="K16" s="13"/>
      <c r="L16" s="13"/>
      <c r="M16" s="11"/>
      <c r="N16" s="1"/>
      <c r="O16" s="13"/>
      <c r="P16" s="13"/>
    </row>
    <row r="17" spans="1:16" x14ac:dyDescent="0.45">
      <c r="A17" s="19">
        <v>109.69999999999891</v>
      </c>
      <c r="B17" s="19">
        <v>-193.76999999999998</v>
      </c>
      <c r="C17" s="19">
        <v>21.900000000000091</v>
      </c>
      <c r="D17" s="20">
        <v>0</v>
      </c>
      <c r="E17" s="20">
        <f t="shared" si="1"/>
        <v>20.520687000000677</v>
      </c>
      <c r="F17" s="20">
        <v>0</v>
      </c>
      <c r="G17" s="20">
        <f t="shared" si="0"/>
        <v>42.952264400000658</v>
      </c>
      <c r="I17" s="127"/>
      <c r="J17" s="12"/>
      <c r="K17" s="13"/>
      <c r="L17" s="13"/>
      <c r="M17" s="11"/>
      <c r="N17" s="1"/>
      <c r="O17" s="13"/>
      <c r="P17" s="13"/>
    </row>
    <row r="18" spans="1:16" x14ac:dyDescent="0.45">
      <c r="A18" s="19">
        <v>98.399999999999636</v>
      </c>
      <c r="B18" s="19">
        <v>189.70000000000027</v>
      </c>
      <c r="C18" s="19">
        <v>103.84999999999991</v>
      </c>
      <c r="D18" s="20">
        <v>0</v>
      </c>
      <c r="E18" s="20">
        <f t="shared" si="1"/>
        <v>101.1357409999995</v>
      </c>
      <c r="F18" s="20">
        <v>0</v>
      </c>
      <c r="G18" s="20">
        <f t="shared" si="0"/>
        <v>86.394711999999458</v>
      </c>
      <c r="I18" s="127"/>
      <c r="J18" s="12"/>
      <c r="K18" s="13"/>
      <c r="L18" s="13"/>
      <c r="M18" s="11"/>
      <c r="N18" s="1"/>
      <c r="O18" s="13"/>
      <c r="P18" s="13"/>
    </row>
    <row r="19" spans="1:16" x14ac:dyDescent="0.45">
      <c r="A19" s="19">
        <v>84</v>
      </c>
      <c r="B19" s="19">
        <v>38.619999999999891</v>
      </c>
      <c r="C19" s="19">
        <v>4.4500000000000455</v>
      </c>
      <c r="D19" s="20">
        <v>0</v>
      </c>
      <c r="E19" s="20">
        <f t="shared" si="1"/>
        <v>-3.4436599999999702</v>
      </c>
      <c r="F19" s="20">
        <v>0</v>
      </c>
      <c r="G19" s="20">
        <f t="shared" si="0"/>
        <v>3.5044736000000478</v>
      </c>
      <c r="I19" s="127"/>
      <c r="J19" s="12"/>
      <c r="K19" s="13"/>
      <c r="L19" s="13"/>
      <c r="M19" s="11"/>
      <c r="N19" s="1"/>
      <c r="O19" s="13"/>
      <c r="P19" s="13"/>
    </row>
    <row r="20" spans="1:16" x14ac:dyDescent="0.45">
      <c r="A20" s="19">
        <v>87.600000000000364</v>
      </c>
      <c r="B20" s="19">
        <v>-53.920000000000073</v>
      </c>
      <c r="C20" s="19">
        <v>106.29999999999995</v>
      </c>
      <c r="D20" s="20">
        <v>0</v>
      </c>
      <c r="E20" s="20">
        <f t="shared" si="1"/>
        <v>82.550115500000302</v>
      </c>
      <c r="F20" s="20">
        <v>0</v>
      </c>
      <c r="G20" s="20">
        <f t="shared" si="0"/>
        <v>96.031275400000311</v>
      </c>
      <c r="I20" s="127"/>
      <c r="J20" s="12"/>
      <c r="K20" s="13"/>
      <c r="L20" s="13"/>
      <c r="M20" s="11"/>
      <c r="N20" s="1"/>
      <c r="O20" s="13"/>
      <c r="P20" s="13"/>
    </row>
    <row r="21" spans="1:16" x14ac:dyDescent="0.45">
      <c r="A21" s="19">
        <v>72.600000000000364</v>
      </c>
      <c r="B21" s="19">
        <v>50.279999999999745</v>
      </c>
      <c r="C21" s="19">
        <v>-47.849999999999909</v>
      </c>
      <c r="D21" s="20">
        <v>0</v>
      </c>
      <c r="E21" s="20">
        <f t="shared" si="1"/>
        <v>-47.891765000000056</v>
      </c>
      <c r="F21" s="20">
        <v>0</v>
      </c>
      <c r="G21" s="20">
        <f t="shared" si="0"/>
        <v>-50.860095600000029</v>
      </c>
      <c r="I21" s="127"/>
      <c r="J21" s="12"/>
      <c r="K21" s="13"/>
      <c r="L21" s="13"/>
      <c r="M21" s="11"/>
      <c r="N21" s="1"/>
      <c r="O21" s="13"/>
      <c r="P21" s="13"/>
    </row>
    <row r="22" spans="1:16" x14ac:dyDescent="0.45">
      <c r="A22" s="19">
        <v>137.10000000000036</v>
      </c>
      <c r="B22" s="19">
        <v>60.820000000000164</v>
      </c>
      <c r="C22" s="19">
        <v>41.160000000000082</v>
      </c>
      <c r="D22" s="20">
        <v>0</v>
      </c>
      <c r="E22" s="20">
        <f t="shared" si="1"/>
        <v>64.267160000000047</v>
      </c>
      <c r="F22" s="20">
        <v>0</v>
      </c>
      <c r="G22" s="20">
        <f t="shared" si="0"/>
        <v>37.978357600000002</v>
      </c>
      <c r="I22" s="127"/>
      <c r="J22" s="12"/>
      <c r="K22" s="13"/>
      <c r="L22" s="13"/>
      <c r="M22" s="11"/>
      <c r="N22" s="1"/>
      <c r="O22" s="13"/>
      <c r="P22" s="13"/>
    </row>
    <row r="23" spans="1:16" x14ac:dyDescent="0.45">
      <c r="A23" s="19">
        <v>111.89999999999964</v>
      </c>
      <c r="B23" s="19">
        <v>103.42000000000007</v>
      </c>
      <c r="C23" s="19">
        <v>-49.259999999999991</v>
      </c>
      <c r="D23" s="20">
        <v>0</v>
      </c>
      <c r="E23" s="20">
        <f t="shared" si="1"/>
        <v>-55.805829500000087</v>
      </c>
      <c r="F23" s="20">
        <v>0</v>
      </c>
      <c r="G23" s="20">
        <f t="shared" si="0"/>
        <v>-59.52974240000006</v>
      </c>
      <c r="I23" s="127"/>
      <c r="J23" s="12"/>
      <c r="K23" s="13"/>
      <c r="L23" s="13"/>
      <c r="M23" s="11"/>
      <c r="N23" s="1"/>
      <c r="O23" s="13"/>
      <c r="P23" s="13"/>
    </row>
    <row r="24" spans="1:16" x14ac:dyDescent="0.45">
      <c r="A24" s="19">
        <v>51.5</v>
      </c>
      <c r="B24" s="19">
        <v>89.800000000000182</v>
      </c>
      <c r="C24" s="19">
        <v>53.1099999999999</v>
      </c>
      <c r="D24" s="20">
        <v>0</v>
      </c>
      <c r="E24" s="20">
        <f t="shared" si="1"/>
        <v>81.771135999999927</v>
      </c>
      <c r="F24" s="20">
        <v>0</v>
      </c>
      <c r="G24" s="20">
        <f t="shared" si="0"/>
        <v>47.686045999999891</v>
      </c>
      <c r="I24" s="127"/>
      <c r="J24" s="12"/>
      <c r="K24" s="13"/>
      <c r="L24" s="13"/>
      <c r="M24" s="11"/>
      <c r="N24" s="1"/>
      <c r="O24" s="13"/>
      <c r="P24" s="13"/>
    </row>
    <row r="25" spans="1:16" x14ac:dyDescent="0.45">
      <c r="A25" s="19">
        <v>79.600000000000364</v>
      </c>
      <c r="B25" s="19">
        <v>-5.2600000000002183</v>
      </c>
      <c r="C25" s="19">
        <v>72.799999999999955</v>
      </c>
      <c r="D25" s="20">
        <v>0</v>
      </c>
      <c r="E25" s="20">
        <f t="shared" si="1"/>
        <v>38.627304499999951</v>
      </c>
      <c r="F25" s="20">
        <v>0</v>
      </c>
      <c r="G25" s="20">
        <f t="shared" si="0"/>
        <v>59.676746199999968</v>
      </c>
      <c r="I25" s="127"/>
      <c r="J25" s="12"/>
      <c r="K25" s="13"/>
      <c r="L25" s="13"/>
      <c r="M25" s="11"/>
      <c r="N25" s="1"/>
      <c r="O25" s="13"/>
      <c r="P25" s="13"/>
    </row>
    <row r="26" spans="1:16" x14ac:dyDescent="0.45">
      <c r="A26" s="19">
        <v>66.299999999999272</v>
      </c>
      <c r="B26" s="19">
        <v>-271.30000000000018</v>
      </c>
      <c r="C26" s="19">
        <v>-5.0699999999999363</v>
      </c>
      <c r="D26" s="20">
        <v>0</v>
      </c>
      <c r="E26" s="20">
        <f t="shared" si="1"/>
        <v>-9.6756864999997827</v>
      </c>
      <c r="F26" s="20">
        <v>0</v>
      </c>
      <c r="G26" s="20">
        <f t="shared" si="0"/>
        <v>21.759845000000219</v>
      </c>
      <c r="I26" s="127"/>
      <c r="J26" s="12"/>
      <c r="K26" s="13"/>
      <c r="L26" s="13"/>
      <c r="M26" s="11"/>
      <c r="N26" s="1"/>
      <c r="O26" s="13"/>
      <c r="P26" s="13"/>
    </row>
    <row r="27" spans="1:16" x14ac:dyDescent="0.45">
      <c r="A27" s="19">
        <v>539.60000000000036</v>
      </c>
      <c r="B27" s="19">
        <v>-369.62999999999965</v>
      </c>
      <c r="C27" s="19">
        <v>-13.690000000000055</v>
      </c>
      <c r="D27" s="20">
        <v>0</v>
      </c>
      <c r="E27" s="20">
        <f t="shared" si="1"/>
        <v>-7.8381025000001561</v>
      </c>
      <c r="F27" s="20">
        <v>0</v>
      </c>
      <c r="G27" s="20">
        <f t="shared" si="0"/>
        <v>28.763976599999847</v>
      </c>
      <c r="I27" s="127"/>
      <c r="J27" s="12"/>
      <c r="K27" s="13"/>
      <c r="L27" s="13"/>
      <c r="M27" s="11"/>
      <c r="N27" s="1"/>
      <c r="O27" s="13"/>
      <c r="P27" s="13"/>
    </row>
    <row r="28" spans="1:16" x14ac:dyDescent="0.45">
      <c r="A28" s="19">
        <v>1032.2999999999993</v>
      </c>
      <c r="B28" s="19">
        <v>327.83999999999969</v>
      </c>
      <c r="C28" s="19">
        <v>109.03999999999996</v>
      </c>
      <c r="D28" s="20">
        <v>0</v>
      </c>
      <c r="E28" s="20">
        <f t="shared" si="1"/>
        <v>91.307850499999901</v>
      </c>
      <c r="F28" s="20">
        <v>0</v>
      </c>
      <c r="G28" s="20">
        <f t="shared" si="0"/>
        <v>75.10654119999991</v>
      </c>
      <c r="I28" s="127"/>
      <c r="J28" s="12"/>
      <c r="K28" s="13"/>
      <c r="L28" s="13"/>
      <c r="M28" s="11"/>
      <c r="N28" s="1"/>
      <c r="O28" s="13"/>
      <c r="P28" s="13"/>
    </row>
    <row r="29" spans="1:16" x14ac:dyDescent="0.45">
      <c r="A29" s="19">
        <v>867.60000000000218</v>
      </c>
      <c r="B29" s="19">
        <v>131.88000000000011</v>
      </c>
      <c r="C29" s="19">
        <v>46.210000000000036</v>
      </c>
      <c r="D29" s="20">
        <f>C29+0.20174*(A4)-0.21001*A3+0.17069*A2-0.10445*B17</f>
        <v>66.178820499999517</v>
      </c>
      <c r="E29" s="20">
        <f t="shared" si="1"/>
        <v>68.383991500000249</v>
      </c>
      <c r="F29" s="20">
        <f>C29+0.20174*(A4)-0.21001*A3+0.17069*A2-0.08492*(B29)</f>
        <v>34.740294399999506</v>
      </c>
      <c r="G29" s="20">
        <f t="shared" si="0"/>
        <v>36.945465400000245</v>
      </c>
      <c r="I29" s="127"/>
      <c r="J29" s="12"/>
      <c r="K29" s="13"/>
      <c r="L29" s="13"/>
      <c r="M29" s="11"/>
      <c r="N29" s="1"/>
      <c r="O29" s="13"/>
      <c r="P29" s="13"/>
    </row>
    <row r="30" spans="1:16" x14ac:dyDescent="0.45">
      <c r="A30" s="19">
        <v>251.39999999999782</v>
      </c>
      <c r="B30" s="19">
        <v>55.980000000000018</v>
      </c>
      <c r="C30" s="19">
        <v>54.370000000000118</v>
      </c>
      <c r="D30" s="20">
        <f t="shared" ref="D30:D80" si="2">C30+0.20174*(A5)-0.21001*A4+0.17069*A3-0.10445*B18</f>
        <v>51.903659000000559</v>
      </c>
      <c r="E30" s="20">
        <f t="shared" si="1"/>
        <v>-60.761547000000135</v>
      </c>
      <c r="F30" s="20">
        <f t="shared" ref="F30:F80" si="3">C30+0.20174*(A5)-0.21001*A4+0.17069*A3-0.08492*(B30)</f>
        <v>66.964002400000595</v>
      </c>
      <c r="G30" s="20">
        <f t="shared" si="0"/>
        <v>-45.701203600000106</v>
      </c>
      <c r="I30" s="127"/>
      <c r="J30" s="12"/>
      <c r="K30" s="13"/>
      <c r="L30" s="13"/>
      <c r="M30" s="11"/>
      <c r="N30" s="1"/>
      <c r="O30" s="13"/>
      <c r="P30" s="13"/>
    </row>
    <row r="31" spans="1:16" x14ac:dyDescent="0.45">
      <c r="A31" s="19">
        <v>151.10000000000218</v>
      </c>
      <c r="B31" s="19">
        <v>170.82999999999993</v>
      </c>
      <c r="C31" s="19">
        <v>194.01999999999998</v>
      </c>
      <c r="D31" s="20">
        <f t="shared" si="2"/>
        <v>191.11853600000003</v>
      </c>
      <c r="E31" s="20">
        <f t="shared" si="1"/>
        <v>86.465396000000197</v>
      </c>
      <c r="F31" s="20">
        <f t="shared" si="3"/>
        <v>180.64551140000003</v>
      </c>
      <c r="G31" s="20">
        <f t="shared" si="0"/>
        <v>75.992371400000195</v>
      </c>
      <c r="I31" s="127"/>
      <c r="J31" s="12"/>
      <c r="K31" s="13"/>
      <c r="L31" s="13"/>
      <c r="M31" s="11"/>
      <c r="N31" s="1"/>
      <c r="O31" s="13"/>
      <c r="P31" s="13"/>
    </row>
    <row r="32" spans="1:16" x14ac:dyDescent="0.45">
      <c r="A32" s="19">
        <v>75.799999999999272</v>
      </c>
      <c r="B32" s="19">
        <v>229.19000000000005</v>
      </c>
      <c r="C32" s="19">
        <v>-4.9400000000000546</v>
      </c>
      <c r="D32" s="20">
        <f t="shared" si="2"/>
        <v>8.4725569999996519</v>
      </c>
      <c r="E32" s="20">
        <f t="shared" si="1"/>
        <v>24.22516199999939</v>
      </c>
      <c r="F32" s="20">
        <f t="shared" si="3"/>
        <v>-16.622201800000362</v>
      </c>
      <c r="G32" s="20">
        <f t="shared" si="0"/>
        <v>-0.86959680000062178</v>
      </c>
      <c r="I32" s="127"/>
      <c r="J32" s="12"/>
      <c r="K32" s="13"/>
      <c r="L32" s="13"/>
      <c r="M32" s="11"/>
      <c r="N32" s="1"/>
      <c r="O32" s="13"/>
      <c r="P32" s="13"/>
    </row>
    <row r="33" spans="1:16" x14ac:dyDescent="0.45">
      <c r="A33" s="19">
        <v>191.29999999999927</v>
      </c>
      <c r="B33" s="19">
        <v>-137.30999999999995</v>
      </c>
      <c r="C33" s="19">
        <v>-84.309999999999945</v>
      </c>
      <c r="D33" s="20">
        <f t="shared" si="2"/>
        <v>-79.964643999999581</v>
      </c>
      <c r="E33" s="20">
        <f t="shared" si="1"/>
        <v>25.824848000000937</v>
      </c>
      <c r="F33" s="20">
        <f t="shared" si="3"/>
        <v>-63.052532799999618</v>
      </c>
      <c r="G33" s="20">
        <f t="shared" si="0"/>
        <v>42.736959200000904</v>
      </c>
      <c r="I33" s="127"/>
      <c r="J33" s="12"/>
      <c r="K33" s="13"/>
      <c r="L33" s="13"/>
      <c r="M33" s="11"/>
      <c r="N33" s="1"/>
      <c r="O33" s="13"/>
      <c r="P33" s="13"/>
    </row>
    <row r="34" spans="1:16" x14ac:dyDescent="0.45">
      <c r="A34" s="19">
        <v>155.09999999999854</v>
      </c>
      <c r="B34" s="19">
        <v>-93.039999999999964</v>
      </c>
      <c r="C34" s="19">
        <v>-7.4900000000000091</v>
      </c>
      <c r="D34" s="20">
        <f t="shared" si="2"/>
        <v>-13.166527000000311</v>
      </c>
      <c r="E34" s="20">
        <f t="shared" si="1"/>
        <v>3.9331019999991206</v>
      </c>
      <c r="F34" s="20">
        <f t="shared" si="3"/>
        <v>1.087078799999702</v>
      </c>
      <c r="G34" s="20">
        <f t="shared" si="0"/>
        <v>18.186707799999134</v>
      </c>
      <c r="I34" s="127"/>
      <c r="J34" s="12"/>
      <c r="K34" s="13"/>
      <c r="L34" s="13"/>
      <c r="M34" s="11"/>
      <c r="N34" s="1"/>
      <c r="O34" s="13"/>
      <c r="P34" s="13"/>
    </row>
    <row r="35" spans="1:16" x14ac:dyDescent="0.45">
      <c r="A35" s="19">
        <v>239.40000000000146</v>
      </c>
      <c r="B35" s="19">
        <v>351.67000000000007</v>
      </c>
      <c r="C35" s="19">
        <v>-100.93000000000006</v>
      </c>
      <c r="D35" s="20">
        <f t="shared" si="2"/>
        <v>-105.88059399999977</v>
      </c>
      <c r="E35" s="20">
        <f t="shared" si="1"/>
        <v>-98.043478999999508</v>
      </c>
      <c r="F35" s="20">
        <f t="shared" si="3"/>
        <v>-124.94219139999977</v>
      </c>
      <c r="G35" s="20">
        <f t="shared" si="0"/>
        <v>-117.1050763999995</v>
      </c>
      <c r="I35" s="127"/>
      <c r="J35" s="12"/>
      <c r="K35" s="13"/>
      <c r="L35" s="13"/>
      <c r="M35" s="11"/>
      <c r="N35" s="1"/>
      <c r="O35" s="13"/>
      <c r="P35" s="13"/>
    </row>
    <row r="36" spans="1:16" x14ac:dyDescent="0.45">
      <c r="A36" s="19">
        <v>118.70000000000073</v>
      </c>
      <c r="B36" s="19">
        <v>134.44000000000005</v>
      </c>
      <c r="C36" s="19">
        <v>119.47000000000003</v>
      </c>
      <c r="D36" s="20">
        <f t="shared" si="2"/>
        <v>116.85125399999959</v>
      </c>
      <c r="E36" s="20">
        <f t="shared" si="1"/>
        <v>86.285631000000024</v>
      </c>
      <c r="F36" s="20">
        <f t="shared" si="3"/>
        <v>114.8142191999996</v>
      </c>
      <c r="G36" s="20">
        <f t="shared" si="0"/>
        <v>84.248596200000037</v>
      </c>
      <c r="I36" s="127"/>
      <c r="J36" s="12"/>
      <c r="K36" s="13"/>
      <c r="L36" s="13"/>
      <c r="M36" s="11"/>
      <c r="N36" s="1"/>
      <c r="O36" s="13"/>
      <c r="P36" s="13"/>
    </row>
    <row r="37" spans="1:16" x14ac:dyDescent="0.45">
      <c r="A37" s="19">
        <v>263.29999999999927</v>
      </c>
      <c r="B37" s="19">
        <v>-41.830000000000382</v>
      </c>
      <c r="C37" s="19">
        <v>-50.400000000000091</v>
      </c>
      <c r="D37" s="20">
        <f t="shared" si="2"/>
        <v>-32.477235999999778</v>
      </c>
      <c r="E37" s="20">
        <f t="shared" si="1"/>
        <v>-44.353179999999917</v>
      </c>
      <c r="F37" s="20">
        <f t="shared" si="3"/>
        <v>-29.474439399999767</v>
      </c>
      <c r="G37" s="20">
        <f t="shared" si="0"/>
        <v>-41.350383399999906</v>
      </c>
      <c r="I37" s="127"/>
      <c r="J37" s="12"/>
      <c r="K37" s="13"/>
      <c r="L37" s="13"/>
      <c r="M37" s="11"/>
      <c r="N37" s="1"/>
      <c r="O37" s="13"/>
      <c r="P37" s="13"/>
    </row>
    <row r="38" spans="1:16" x14ac:dyDescent="0.45">
      <c r="A38" s="19">
        <v>262.79999999999927</v>
      </c>
      <c r="B38" s="19">
        <v>96.910000000000309</v>
      </c>
      <c r="C38" s="19">
        <v>-112.59999999999991</v>
      </c>
      <c r="D38" s="20">
        <f t="shared" si="2"/>
        <v>-86.92483099999977</v>
      </c>
      <c r="E38" s="20">
        <f t="shared" si="1"/>
        <v>-102.54805100000046</v>
      </c>
      <c r="F38" s="20">
        <f t="shared" si="3"/>
        <v>-123.49171319999982</v>
      </c>
      <c r="G38" s="20">
        <f t="shared" si="0"/>
        <v>-139.11493320000051</v>
      </c>
      <c r="I38" s="127"/>
      <c r="J38" s="12"/>
      <c r="K38" s="13"/>
      <c r="L38" s="13"/>
      <c r="M38" s="11"/>
      <c r="N38" s="1"/>
      <c r="O38" s="13"/>
      <c r="P38" s="13"/>
    </row>
    <row r="39" spans="1:16" x14ac:dyDescent="0.45">
      <c r="A39" s="19">
        <v>231.40000000000146</v>
      </c>
      <c r="B39" s="19">
        <v>161.73999999999978</v>
      </c>
      <c r="C39" s="19">
        <v>-26.480000000000018</v>
      </c>
      <c r="D39" s="20">
        <f t="shared" si="2"/>
        <v>23.970968499999341</v>
      </c>
      <c r="E39" s="20">
        <f t="shared" si="1"/>
        <v>34.095408500000076</v>
      </c>
      <c r="F39" s="20">
        <f t="shared" si="3"/>
        <v>-28.3718458000006</v>
      </c>
      <c r="G39" s="20">
        <f t="shared" si="0"/>
        <v>-18.247405799999868</v>
      </c>
      <c r="I39" s="127"/>
      <c r="J39" s="12"/>
      <c r="K39" s="13"/>
      <c r="L39" s="13"/>
      <c r="M39" s="11"/>
      <c r="N39" s="1"/>
      <c r="O39" s="13"/>
      <c r="P39" s="13"/>
    </row>
    <row r="40" spans="1:16" x14ac:dyDescent="0.45">
      <c r="A40" s="19">
        <v>303.70000000000073</v>
      </c>
      <c r="B40" s="19">
        <v>208.2800000000002</v>
      </c>
      <c r="C40" s="19">
        <v>61.579999999999927</v>
      </c>
      <c r="D40" s="20">
        <f t="shared" si="2"/>
        <v>40.323035000000658</v>
      </c>
      <c r="E40" s="20">
        <f t="shared" si="1"/>
        <v>-2.6825249999997567</v>
      </c>
      <c r="F40" s="20">
        <f t="shared" si="3"/>
        <v>56.878785400000609</v>
      </c>
      <c r="G40" s="20">
        <f t="shared" si="0"/>
        <v>13.873225400000191</v>
      </c>
      <c r="I40" s="127"/>
      <c r="J40" s="12"/>
      <c r="K40" s="13"/>
      <c r="L40" s="13"/>
      <c r="M40" s="11"/>
      <c r="N40" s="1"/>
      <c r="O40" s="13"/>
      <c r="P40" s="13"/>
    </row>
    <row r="41" spans="1:16" x14ac:dyDescent="0.45">
      <c r="A41" s="19">
        <v>283.5</v>
      </c>
      <c r="B41" s="19">
        <v>22.9399999999996</v>
      </c>
      <c r="C41" s="19">
        <v>137.76999999999998</v>
      </c>
      <c r="D41" s="20">
        <f t="shared" si="2"/>
        <v>128.70150399999972</v>
      </c>
      <c r="E41" s="20">
        <f t="shared" si="1"/>
        <v>121.69125999999996</v>
      </c>
      <c r="F41" s="20">
        <f t="shared" si="3"/>
        <v>140.52830519999975</v>
      </c>
      <c r="G41" s="20">
        <f t="shared" si="0"/>
        <v>133.51806120000001</v>
      </c>
      <c r="I41" s="127"/>
      <c r="J41" s="12"/>
      <c r="K41" s="13"/>
      <c r="L41" s="13"/>
      <c r="M41" s="11"/>
      <c r="N41" s="1"/>
      <c r="O41" s="13"/>
      <c r="P41" s="13"/>
    </row>
    <row r="42" spans="1:16" x14ac:dyDescent="0.45">
      <c r="A42" s="19">
        <v>17.399999999997817</v>
      </c>
      <c r="B42" s="19">
        <v>93.390000000000327</v>
      </c>
      <c r="C42" s="19">
        <v>-136.55999999999995</v>
      </c>
      <c r="D42" s="20">
        <f t="shared" si="2"/>
        <v>-119.34927700000019</v>
      </c>
      <c r="E42" s="20">
        <f t="shared" si="1"/>
        <v>-138.52302100000037</v>
      </c>
      <c r="F42" s="20">
        <f t="shared" si="3"/>
        <v>-121.43284480000021</v>
      </c>
      <c r="G42" s="20">
        <f t="shared" si="0"/>
        <v>-140.6065888000004</v>
      </c>
      <c r="I42" s="127"/>
      <c r="J42" s="12"/>
      <c r="K42" s="13"/>
      <c r="L42" s="13"/>
      <c r="M42" s="11"/>
      <c r="N42" s="1"/>
      <c r="O42" s="13"/>
      <c r="P42" s="13"/>
    </row>
    <row r="43" spans="1:16" x14ac:dyDescent="0.45">
      <c r="A43" s="19">
        <v>155.5</v>
      </c>
      <c r="B43" s="19">
        <v>97.760000000000218</v>
      </c>
      <c r="C43" s="19">
        <v>43.779999999999973</v>
      </c>
      <c r="D43" s="20">
        <f t="shared" si="2"/>
        <v>29.09959350000026</v>
      </c>
      <c r="E43" s="20">
        <f t="shared" si="1"/>
        <v>9.3561715000001158</v>
      </c>
      <c r="F43" s="20">
        <f t="shared" si="3"/>
        <v>38.641007800000231</v>
      </c>
      <c r="G43" s="20">
        <f t="shared" si="0"/>
        <v>18.897585800000087</v>
      </c>
      <c r="I43" s="127"/>
      <c r="J43" s="12"/>
      <c r="K43" s="13"/>
      <c r="L43" s="13"/>
      <c r="M43" s="11"/>
      <c r="N43" s="1"/>
      <c r="O43" s="13"/>
      <c r="P43" s="13"/>
    </row>
    <row r="44" spans="1:16" x14ac:dyDescent="0.45">
      <c r="A44" s="19">
        <v>207.60000000000218</v>
      </c>
      <c r="B44" s="19">
        <v>127.42000000000007</v>
      </c>
      <c r="C44" s="19">
        <v>-0.14999999999986358</v>
      </c>
      <c r="D44" s="20">
        <f t="shared" si="2"/>
        <v>-9.0830264999999777</v>
      </c>
      <c r="E44" s="20">
        <f t="shared" si="1"/>
        <v>-22.819454499999733</v>
      </c>
      <c r="F44" s="20">
        <f t="shared" si="3"/>
        <v>4.0353626000000204</v>
      </c>
      <c r="G44" s="20">
        <f t="shared" si="0"/>
        <v>-9.7010653999997345</v>
      </c>
      <c r="I44" s="127"/>
      <c r="J44" s="12"/>
      <c r="K44" s="13"/>
      <c r="L44" s="13"/>
      <c r="M44" s="11"/>
      <c r="N44" s="1"/>
      <c r="O44" s="13"/>
      <c r="P44" s="13"/>
    </row>
    <row r="45" spans="1:16" x14ac:dyDescent="0.45">
      <c r="A45" s="19">
        <v>140.09999999999854</v>
      </c>
      <c r="B45" s="19">
        <v>-215.14000000000033</v>
      </c>
      <c r="C45" s="19">
        <v>-56.769999999999982</v>
      </c>
      <c r="D45" s="20">
        <f t="shared" si="2"/>
        <v>-25.600490499999964</v>
      </c>
      <c r="E45" s="20">
        <f t="shared" si="1"/>
        <v>8.2329455000004543</v>
      </c>
      <c r="F45" s="20">
        <f t="shared" si="3"/>
        <v>-21.672831199999933</v>
      </c>
      <c r="G45" s="20">
        <f t="shared" si="0"/>
        <v>12.160604800000485</v>
      </c>
      <c r="I45" s="127"/>
      <c r="J45" s="12"/>
      <c r="K45" s="13"/>
      <c r="L45" s="13"/>
      <c r="M45" s="11"/>
      <c r="N45" s="1"/>
      <c r="O45" s="13"/>
      <c r="P45" s="13"/>
    </row>
    <row r="46" spans="1:16" x14ac:dyDescent="0.45">
      <c r="A46" s="19">
        <v>179.59999999999854</v>
      </c>
      <c r="B46" s="19">
        <v>297.84000000000015</v>
      </c>
      <c r="C46" s="19">
        <v>26.149999999999864</v>
      </c>
      <c r="D46" s="20">
        <f t="shared" si="2"/>
        <v>46.455435999999857</v>
      </c>
      <c r="E46" s="20">
        <f t="shared" si="1"/>
        <v>8.0739749999994412</v>
      </c>
      <c r="F46" s="20">
        <f t="shared" si="3"/>
        <v>11.444835199999847</v>
      </c>
      <c r="G46" s="20">
        <f t="shared" si="0"/>
        <v>-26.93662580000057</v>
      </c>
      <c r="I46" s="127"/>
      <c r="J46" s="12"/>
      <c r="K46" s="13"/>
      <c r="L46" s="13"/>
      <c r="M46" s="11"/>
      <c r="N46" s="1"/>
      <c r="O46" s="13"/>
      <c r="P46" s="13"/>
    </row>
    <row r="47" spans="1:16" x14ac:dyDescent="0.45">
      <c r="A47" s="19">
        <v>174.90000000000146</v>
      </c>
      <c r="B47" s="19">
        <v>-38.380000000000109</v>
      </c>
      <c r="C47" s="19">
        <v>-9.0299999999999727</v>
      </c>
      <c r="D47" s="20">
        <f t="shared" si="2"/>
        <v>-18.397659499999925</v>
      </c>
      <c r="E47" s="20">
        <f t="shared" si="1"/>
        <v>-57.607377500000425</v>
      </c>
      <c r="F47" s="20">
        <f t="shared" si="3"/>
        <v>21.593501600000092</v>
      </c>
      <c r="G47" s="20">
        <f t="shared" si="0"/>
        <v>-17.616216400000404</v>
      </c>
      <c r="I47" s="127"/>
      <c r="J47" s="12"/>
      <c r="K47" s="13"/>
      <c r="L47" s="13"/>
      <c r="M47" s="11"/>
      <c r="N47" s="1"/>
      <c r="O47" s="13"/>
      <c r="P47" s="13"/>
    </row>
    <row r="48" spans="1:16" x14ac:dyDescent="0.45">
      <c r="A48" s="19">
        <v>163</v>
      </c>
      <c r="B48" s="19">
        <v>199.18000000000029</v>
      </c>
      <c r="C48" s="19">
        <v>54.610000000000127</v>
      </c>
      <c r="D48" s="20">
        <f t="shared" si="2"/>
        <v>46.742171000000049</v>
      </c>
      <c r="E48" s="20">
        <f t="shared" si="1"/>
        <v>52.179779000000835</v>
      </c>
      <c r="F48" s="20">
        <f t="shared" si="3"/>
        <v>43.870063400000028</v>
      </c>
      <c r="G48" s="20">
        <f t="shared" si="0"/>
        <v>49.307671400000814</v>
      </c>
      <c r="I48" s="127"/>
      <c r="J48" s="12"/>
      <c r="K48" s="13"/>
      <c r="L48" s="13"/>
      <c r="M48" s="11"/>
      <c r="N48" s="1"/>
      <c r="O48" s="13"/>
      <c r="P48" s="13"/>
    </row>
    <row r="49" spans="1:16" x14ac:dyDescent="0.45">
      <c r="A49" s="19">
        <v>151.59999999999854</v>
      </c>
      <c r="B49" s="19">
        <v>-250.63000000000011</v>
      </c>
      <c r="C49" s="19">
        <v>-31.920000000000073</v>
      </c>
      <c r="D49" s="20">
        <f t="shared" si="2"/>
        <v>-17.259766499999891</v>
      </c>
      <c r="E49" s="20">
        <f t="shared" si="1"/>
        <v>-36.734314500000011</v>
      </c>
      <c r="F49" s="20">
        <f t="shared" si="3"/>
        <v>-0.34541039999992051</v>
      </c>
      <c r="G49" s="20">
        <f t="shared" si="0"/>
        <v>-19.819958400000043</v>
      </c>
      <c r="I49" s="127"/>
      <c r="J49" s="12"/>
      <c r="K49" s="13"/>
      <c r="L49" s="13"/>
      <c r="M49" s="11"/>
      <c r="N49" s="1"/>
      <c r="O49" s="13"/>
      <c r="P49" s="13"/>
    </row>
    <row r="50" spans="1:16" x14ac:dyDescent="0.45">
      <c r="A50" s="19">
        <v>75.100000000002183</v>
      </c>
      <c r="B50" s="19">
        <v>-141.61000000000058</v>
      </c>
      <c r="C50" s="19">
        <v>111.43000000000006</v>
      </c>
      <c r="D50" s="20">
        <f t="shared" si="2"/>
        <v>125.65095050000002</v>
      </c>
      <c r="E50" s="20">
        <f t="shared" si="1"/>
        <v>100.60851949999945</v>
      </c>
      <c r="F50" s="20">
        <f t="shared" si="3"/>
        <v>147.7987212000001</v>
      </c>
      <c r="G50" s="20">
        <f t="shared" si="0"/>
        <v>122.75629019999953</v>
      </c>
      <c r="I50" s="127"/>
      <c r="J50" s="12"/>
      <c r="K50" s="13"/>
      <c r="L50" s="13"/>
      <c r="M50" s="11"/>
      <c r="N50" s="1"/>
      <c r="O50" s="13"/>
      <c r="P50" s="13"/>
    </row>
    <row r="51" spans="1:16" x14ac:dyDescent="0.45">
      <c r="A51" s="19">
        <v>62</v>
      </c>
      <c r="B51" s="19">
        <v>156.47000000000025</v>
      </c>
      <c r="C51" s="19">
        <v>29.329999999999927</v>
      </c>
      <c r="D51" s="20">
        <f t="shared" si="2"/>
        <v>17.88535799999973</v>
      </c>
      <c r="E51" s="20">
        <f t="shared" si="1"/>
        <v>13.22072900000023</v>
      </c>
      <c r="F51" s="20">
        <f t="shared" si="3"/>
        <v>21.491668599999684</v>
      </c>
      <c r="G51" s="20">
        <f t="shared" si="0"/>
        <v>16.827039600000184</v>
      </c>
      <c r="I51" s="127"/>
      <c r="J51" s="12"/>
      <c r="K51" s="13"/>
      <c r="L51" s="13"/>
      <c r="M51" s="11"/>
      <c r="N51" s="1"/>
      <c r="O51" s="13"/>
      <c r="P51" s="13"/>
    </row>
    <row r="52" spans="1:16" x14ac:dyDescent="0.45">
      <c r="A52" s="19">
        <v>-17.799999999999272</v>
      </c>
      <c r="B52" s="19">
        <v>-398.47999999999956</v>
      </c>
      <c r="C52" s="19">
        <v>-40.829999999999927</v>
      </c>
      <c r="D52" s="20">
        <f t="shared" si="2"/>
        <v>45.93731900000035</v>
      </c>
      <c r="E52" s="20">
        <f t="shared" si="1"/>
        <v>-61.791781999999664</v>
      </c>
      <c r="F52" s="20">
        <f t="shared" si="3"/>
        <v>101.53108660000034</v>
      </c>
      <c r="G52" s="20">
        <f t="shared" si="0"/>
        <v>-6.1980143999996784</v>
      </c>
      <c r="I52" s="127"/>
      <c r="J52" s="12"/>
      <c r="K52" s="13"/>
      <c r="L52" s="13"/>
      <c r="M52" s="11"/>
      <c r="N52" s="1"/>
      <c r="O52" s="13"/>
      <c r="P52" s="13"/>
    </row>
    <row r="53" spans="1:16" x14ac:dyDescent="0.45">
      <c r="A53" s="19">
        <v>-49.5</v>
      </c>
      <c r="B53" s="19">
        <v>0.21999999999934516</v>
      </c>
      <c r="C53" s="19">
        <v>-59.310000000000173</v>
      </c>
      <c r="D53" s="20">
        <f t="shared" si="2"/>
        <v>44.545469999999526</v>
      </c>
      <c r="E53" s="20">
        <f t="shared" si="1"/>
        <v>-47.781776000000846</v>
      </c>
      <c r="F53" s="20">
        <f t="shared" si="3"/>
        <v>46.922870599999541</v>
      </c>
      <c r="G53" s="20">
        <f t="shared" si="0"/>
        <v>-45.404375400000838</v>
      </c>
      <c r="I53" s="127"/>
      <c r="J53" s="12"/>
      <c r="K53" s="13"/>
      <c r="L53" s="13"/>
      <c r="M53" s="11"/>
      <c r="N53" s="1"/>
      <c r="O53" s="13"/>
      <c r="P53" s="13"/>
    </row>
    <row r="54" spans="1:16" x14ac:dyDescent="0.45">
      <c r="A54" s="19">
        <v>-68.400000000001455</v>
      </c>
      <c r="B54" s="19">
        <v>-346.76999999999953</v>
      </c>
      <c r="C54" s="19">
        <v>-30.199999999999818</v>
      </c>
      <c r="D54" s="20">
        <f t="shared" si="2"/>
        <v>10.386039500000804</v>
      </c>
      <c r="E54" s="20">
        <f t="shared" si="1"/>
        <v>-38.018807499999433</v>
      </c>
      <c r="F54" s="20">
        <f t="shared" si="3"/>
        <v>49.588333400000792</v>
      </c>
      <c r="G54" s="20">
        <f t="shared" si="0"/>
        <v>1.1834864000005609</v>
      </c>
      <c r="I54" s="127"/>
      <c r="J54" s="12"/>
      <c r="K54" s="13"/>
      <c r="L54" s="13"/>
      <c r="M54" s="11"/>
      <c r="N54" s="1"/>
      <c r="O54" s="13"/>
      <c r="P54" s="13"/>
    </row>
    <row r="55" spans="1:16" x14ac:dyDescent="0.45">
      <c r="A55" s="19">
        <v>1.4000000000014552</v>
      </c>
      <c r="B55" s="19">
        <v>344.90999999999985</v>
      </c>
      <c r="C55" s="19">
        <v>-41.670000000000073</v>
      </c>
      <c r="D55" s="20">
        <f t="shared" si="2"/>
        <v>-7.1649850000011153</v>
      </c>
      <c r="E55" s="20">
        <f t="shared" si="1"/>
        <v>-36.478314000000239</v>
      </c>
      <c r="F55" s="20">
        <f t="shared" si="3"/>
        <v>-26.243710200001079</v>
      </c>
      <c r="G55" s="20">
        <f t="shared" si="0"/>
        <v>-55.557039200000204</v>
      </c>
      <c r="I55" s="127"/>
      <c r="J55" s="12"/>
      <c r="K55" s="13"/>
      <c r="L55" s="13"/>
      <c r="M55" s="11"/>
      <c r="N55" s="1"/>
      <c r="O55" s="13"/>
      <c r="P55" s="13"/>
    </row>
    <row r="56" spans="1:16" x14ac:dyDescent="0.45">
      <c r="A56" s="19">
        <v>-14.5</v>
      </c>
      <c r="B56" s="19">
        <v>-175.28999999999996</v>
      </c>
      <c r="C56" s="19">
        <v>-54.519999999999982</v>
      </c>
      <c r="D56" s="20">
        <f t="shared" si="2"/>
        <v>57.94802500000128</v>
      </c>
      <c r="E56" s="20">
        <f t="shared" si="1"/>
        <v>-61.323017999999848</v>
      </c>
      <c r="F56" s="20">
        <f t="shared" si="3"/>
        <v>86.142670800001284</v>
      </c>
      <c r="G56" s="20">
        <f t="shared" si="0"/>
        <v>-33.128372199999845</v>
      </c>
      <c r="I56" s="127"/>
      <c r="J56" s="12"/>
      <c r="K56" s="13"/>
      <c r="L56" s="13"/>
      <c r="M56" s="11"/>
      <c r="N56" s="1"/>
      <c r="O56" s="13"/>
      <c r="P56" s="13"/>
    </row>
    <row r="57" spans="1:16" x14ac:dyDescent="0.45">
      <c r="A57" s="19">
        <v>-101.70000000000073</v>
      </c>
      <c r="B57" s="19">
        <v>-369.38000000000011</v>
      </c>
      <c r="C57" s="19">
        <v>-51.029999999999973</v>
      </c>
      <c r="D57" s="20">
        <f t="shared" si="2"/>
        <v>-2.0877800000009046</v>
      </c>
      <c r="E57" s="20">
        <f t="shared" si="1"/>
        <v>-24.324612999999644</v>
      </c>
      <c r="F57" s="20">
        <f t="shared" si="3"/>
        <v>6.808596599999067</v>
      </c>
      <c r="G57" s="20">
        <f t="shared" si="0"/>
        <v>-15.428236399999673</v>
      </c>
      <c r="I57" s="127"/>
      <c r="J57" s="12"/>
      <c r="K57" s="13"/>
      <c r="L57" s="13"/>
      <c r="M57" s="11"/>
      <c r="N57" s="1"/>
      <c r="O57" s="13"/>
      <c r="P57" s="13"/>
    </row>
    <row r="58" spans="1:16" x14ac:dyDescent="0.45">
      <c r="A58" s="19">
        <v>-75</v>
      </c>
      <c r="B58" s="19">
        <v>286.36000000000013</v>
      </c>
      <c r="C58" s="19">
        <v>-26.550000000000182</v>
      </c>
      <c r="D58" s="20">
        <f t="shared" si="2"/>
        <v>-9.1940249999998187</v>
      </c>
      <c r="E58" s="20">
        <f t="shared" si="1"/>
        <v>-71.002574000000777</v>
      </c>
      <c r="F58" s="20">
        <f t="shared" si="3"/>
        <v>-2.4023281999998112</v>
      </c>
      <c r="G58" s="20">
        <f t="shared" si="0"/>
        <v>-64.210877200000766</v>
      </c>
      <c r="I58" s="127"/>
      <c r="J58" s="12"/>
      <c r="K58" s="13"/>
      <c r="L58" s="13"/>
      <c r="M58" s="11"/>
      <c r="N58" s="1"/>
      <c r="O58" s="13"/>
      <c r="P58" s="13"/>
    </row>
    <row r="59" spans="1:16" x14ac:dyDescent="0.45">
      <c r="A59" s="19">
        <v>-55</v>
      </c>
      <c r="B59" s="19">
        <v>208.13000000000011</v>
      </c>
      <c r="C59" s="19">
        <v>135.33000000000015</v>
      </c>
      <c r="D59" s="20">
        <f t="shared" si="2"/>
        <v>143.39205399999989</v>
      </c>
      <c r="E59" s="20">
        <f t="shared" si="1"/>
        <v>142.50775800000042</v>
      </c>
      <c r="F59" s="20">
        <f t="shared" si="3"/>
        <v>121.70886339999987</v>
      </c>
      <c r="G59" s="20">
        <f t="shared" si="0"/>
        <v>120.8245674000004</v>
      </c>
      <c r="I59" s="127"/>
      <c r="J59" s="12"/>
      <c r="K59" s="13"/>
      <c r="L59" s="13"/>
      <c r="M59" s="11"/>
      <c r="N59" s="1"/>
      <c r="O59" s="13"/>
      <c r="P59" s="13"/>
    </row>
    <row r="60" spans="1:16" x14ac:dyDescent="0.45">
      <c r="A60" s="19">
        <v>-115.79999999999927</v>
      </c>
      <c r="B60" s="19">
        <v>-240.61000000000013</v>
      </c>
      <c r="C60" s="19">
        <v>55.950000000000045</v>
      </c>
      <c r="D60" s="20">
        <f t="shared" si="2"/>
        <v>83.522651000000508</v>
      </c>
      <c r="E60" s="20">
        <f t="shared" si="1"/>
        <v>52.727626000000171</v>
      </c>
      <c r="F60" s="20">
        <f t="shared" si="3"/>
        <v>124.75960320000054</v>
      </c>
      <c r="G60" s="20">
        <f t="shared" si="0"/>
        <v>93.964578200000204</v>
      </c>
      <c r="I60" s="127"/>
      <c r="J60" s="12"/>
      <c r="K60" s="13"/>
      <c r="L60" s="13"/>
      <c r="M60" s="11"/>
      <c r="N60" s="1"/>
      <c r="O60" s="13"/>
      <c r="P60" s="13"/>
    </row>
    <row r="61" spans="1:16" x14ac:dyDescent="0.45">
      <c r="A61" s="19">
        <v>-11</v>
      </c>
      <c r="B61" s="19">
        <v>237.09999999999991</v>
      </c>
      <c r="C61" s="19">
        <v>103.48000000000002</v>
      </c>
      <c r="D61" s="20">
        <f t="shared" si="2"/>
        <v>129.80246649999964</v>
      </c>
      <c r="E61" s="20">
        <f t="shared" si="1"/>
        <v>125.2438874999999</v>
      </c>
      <c r="F61" s="20">
        <f t="shared" si="3"/>
        <v>83.489630999999619</v>
      </c>
      <c r="G61" s="20">
        <f t="shared" si="0"/>
        <v>78.931051999999895</v>
      </c>
      <c r="I61" s="127"/>
      <c r="J61" s="12"/>
      <c r="K61" s="13"/>
      <c r="L61" s="13"/>
      <c r="M61" s="11"/>
      <c r="N61" s="1"/>
      <c r="O61" s="13"/>
      <c r="P61" s="13"/>
    </row>
    <row r="62" spans="1:16" x14ac:dyDescent="0.45">
      <c r="A62" s="19">
        <v>-36.200000000000728</v>
      </c>
      <c r="B62" s="19">
        <v>-106.44999999999982</v>
      </c>
      <c r="C62" s="19">
        <v>-100.73000000000002</v>
      </c>
      <c r="D62" s="20">
        <f t="shared" si="2"/>
        <v>-16.88569450000001</v>
      </c>
      <c r="E62" s="20">
        <f t="shared" si="1"/>
        <v>-89.256285499999947</v>
      </c>
      <c r="F62" s="20">
        <f t="shared" si="3"/>
        <v>-22.63712500000009</v>
      </c>
      <c r="G62" s="20">
        <f t="shared" si="0"/>
        <v>-95.00771600000003</v>
      </c>
      <c r="I62" s="127"/>
      <c r="J62" s="12"/>
      <c r="K62" s="13"/>
      <c r="L62" s="13"/>
      <c r="M62" s="11"/>
      <c r="N62" s="1"/>
      <c r="O62" s="13"/>
      <c r="P62" s="13"/>
    </row>
    <row r="63" spans="1:16" x14ac:dyDescent="0.45">
      <c r="A63" s="19">
        <v>-296.29999999999927</v>
      </c>
      <c r="B63" s="19">
        <v>139.16000000000031</v>
      </c>
      <c r="C63" s="19">
        <v>140.75</v>
      </c>
      <c r="D63" s="20">
        <f t="shared" si="2"/>
        <v>142.38925050000012</v>
      </c>
      <c r="E63" s="20">
        <f t="shared" si="1"/>
        <v>137.07554649999986</v>
      </c>
      <c r="F63" s="20">
        <f t="shared" si="3"/>
        <v>146.9150748000001</v>
      </c>
      <c r="G63" s="20">
        <f t="shared" si="0"/>
        <v>141.60137079999984</v>
      </c>
      <c r="I63" s="127"/>
      <c r="J63" s="12"/>
      <c r="K63" s="13"/>
      <c r="L63" s="13"/>
      <c r="M63" s="11"/>
      <c r="N63" s="1"/>
      <c r="O63" s="13"/>
      <c r="P63" s="13"/>
    </row>
    <row r="64" spans="1:16" x14ac:dyDescent="0.45">
      <c r="A64" s="19">
        <v>-186</v>
      </c>
      <c r="B64" s="19">
        <v>60.169999999999163</v>
      </c>
      <c r="C64" s="19">
        <v>21.75</v>
      </c>
      <c r="D64" s="20">
        <f t="shared" si="2"/>
        <v>99.805921000000268</v>
      </c>
      <c r="E64" s="20">
        <f t="shared" si="1"/>
        <v>43.45696200000009</v>
      </c>
      <c r="F64" s="20">
        <f t="shared" si="3"/>
        <v>53.075048600000386</v>
      </c>
      <c r="G64" s="20">
        <f t="shared" si="0"/>
        <v>-3.2739103999997923</v>
      </c>
      <c r="I64" s="127"/>
      <c r="J64" s="12"/>
      <c r="K64" s="13"/>
      <c r="L64" s="13"/>
      <c r="M64" s="11"/>
      <c r="N64" s="1"/>
      <c r="O64" s="13"/>
      <c r="P64" s="13"/>
    </row>
    <row r="65" spans="1:16" x14ac:dyDescent="0.45">
      <c r="A65" s="19">
        <v>68.19999999999709</v>
      </c>
      <c r="B65" s="19">
        <v>10.350000000000364</v>
      </c>
      <c r="C65" s="19">
        <v>-27.350000000000136</v>
      </c>
      <c r="D65" s="20">
        <f t="shared" si="2"/>
        <v>30.156476999999651</v>
      </c>
      <c r="E65" s="20">
        <f t="shared" si="1"/>
        <v>-22.229776999999924</v>
      </c>
      <c r="F65" s="20">
        <f t="shared" si="3"/>
        <v>29.300533999999551</v>
      </c>
      <c r="G65" s="20">
        <f t="shared" si="0"/>
        <v>-23.085720000000023</v>
      </c>
      <c r="I65" s="127"/>
      <c r="J65" s="12"/>
      <c r="K65" s="13"/>
      <c r="L65" s="13"/>
      <c r="M65" s="11"/>
      <c r="N65" s="1"/>
      <c r="O65" s="13"/>
      <c r="P65" s="13"/>
    </row>
    <row r="66" spans="1:16" x14ac:dyDescent="0.45">
      <c r="A66" s="19">
        <v>-30.19999999999709</v>
      </c>
      <c r="B66" s="19">
        <v>270.55000000000018</v>
      </c>
      <c r="C66" s="19">
        <v>-42.730000000000018</v>
      </c>
      <c r="D66" s="20">
        <f t="shared" si="2"/>
        <v>26.401045500000023</v>
      </c>
      <c r="E66" s="20">
        <f t="shared" si="1"/>
        <v>45.869243499999648</v>
      </c>
      <c r="F66" s="20">
        <f t="shared" si="3"/>
        <v>-32.794186999999937</v>
      </c>
      <c r="G66" s="20">
        <f t="shared" si="0"/>
        <v>-13.325989000000318</v>
      </c>
      <c r="I66" s="127"/>
      <c r="J66" s="12"/>
      <c r="K66" s="13"/>
      <c r="L66" s="13"/>
      <c r="M66" s="11"/>
      <c r="N66" s="1"/>
      <c r="O66" s="13"/>
      <c r="P66" s="13"/>
    </row>
    <row r="67" spans="1:16" x14ac:dyDescent="0.45">
      <c r="A67" s="19">
        <v>-8</v>
      </c>
      <c r="B67" s="19">
        <v>138.57999999999993</v>
      </c>
      <c r="C67" s="19">
        <v>44.620000000000118</v>
      </c>
      <c r="D67" s="20">
        <f t="shared" si="2"/>
        <v>4.4051444999998139</v>
      </c>
      <c r="E67" s="20">
        <f t="shared" si="1"/>
        <v>-10.772763499999726</v>
      </c>
      <c r="F67" s="20">
        <f t="shared" si="3"/>
        <v>28.662780399999804</v>
      </c>
      <c r="G67" s="20">
        <f t="shared" si="0"/>
        <v>13.484872400000265</v>
      </c>
      <c r="I67" s="127"/>
      <c r="J67" s="12"/>
      <c r="K67" s="13"/>
      <c r="L67" s="13"/>
      <c r="M67" s="11"/>
      <c r="N67" s="1"/>
      <c r="O67" s="13"/>
      <c r="P67" s="13"/>
    </row>
    <row r="68" spans="1:16" x14ac:dyDescent="0.45">
      <c r="A68" s="19">
        <v>-13.900000000001455</v>
      </c>
      <c r="B68" s="19">
        <v>-81.300000000000182</v>
      </c>
      <c r="C68" s="19">
        <v>-24.450000000000045</v>
      </c>
      <c r="D68" s="20">
        <f t="shared" si="2"/>
        <v>69.966051500000418</v>
      </c>
      <c r="E68" s="20">
        <f t="shared" si="1"/>
        <v>-55.31074149999948</v>
      </c>
      <c r="F68" s="20">
        <f t="shared" si="3"/>
        <v>58.56100700000043</v>
      </c>
      <c r="G68" s="20">
        <f t="shared" si="0"/>
        <v>-66.715785999999454</v>
      </c>
      <c r="I68" s="127"/>
      <c r="J68" s="12"/>
      <c r="K68" s="13"/>
      <c r="L68" s="13"/>
      <c r="M68" s="11"/>
      <c r="N68" s="1"/>
      <c r="O68" s="13"/>
      <c r="P68" s="13"/>
    </row>
    <row r="69" spans="1:16" x14ac:dyDescent="0.45">
      <c r="A69" s="19">
        <v>-29.700000000000728</v>
      </c>
      <c r="B69" s="19">
        <v>-219.60999999999967</v>
      </c>
      <c r="C69" s="19">
        <v>-91.430000000000064</v>
      </c>
      <c r="D69" s="20">
        <f t="shared" si="2"/>
        <v>-40.653583999999974</v>
      </c>
      <c r="E69" s="20">
        <f t="shared" si="1"/>
        <v>-33.780101000001189</v>
      </c>
      <c r="F69" s="20">
        <f t="shared" si="3"/>
        <v>-60.586043800000013</v>
      </c>
      <c r="G69" s="20">
        <f t="shared" si="0"/>
        <v>-53.712560800001228</v>
      </c>
      <c r="I69" s="127"/>
      <c r="J69" s="12"/>
      <c r="K69" s="13"/>
      <c r="L69" s="13"/>
      <c r="M69" s="11"/>
      <c r="N69" s="1"/>
      <c r="O69" s="13"/>
      <c r="P69" s="13"/>
    </row>
    <row r="70" spans="1:16" x14ac:dyDescent="0.45">
      <c r="A70" s="19">
        <v>-14.899999999997817</v>
      </c>
      <c r="B70" s="19">
        <v>-94.25</v>
      </c>
      <c r="C70" s="19">
        <v>134.3900000000001</v>
      </c>
      <c r="D70" s="20">
        <f t="shared" si="2"/>
        <v>115.68769099999933</v>
      </c>
      <c r="E70" s="20">
        <f t="shared" si="1"/>
        <v>100.31298200000062</v>
      </c>
      <c r="F70" s="20">
        <f t="shared" si="3"/>
        <v>153.60170299999936</v>
      </c>
      <c r="G70" s="20">
        <f t="shared" si="0"/>
        <v>138.22699400000064</v>
      </c>
      <c r="I70" s="127"/>
      <c r="J70" s="12"/>
      <c r="K70" s="13"/>
      <c r="L70" s="13"/>
      <c r="M70" s="11"/>
      <c r="N70" s="1"/>
      <c r="O70" s="13"/>
      <c r="P70" s="13"/>
    </row>
    <row r="71" spans="1:16" x14ac:dyDescent="0.45">
      <c r="A71" s="19">
        <v>13.5</v>
      </c>
      <c r="B71" s="19">
        <v>374</v>
      </c>
      <c r="C71" s="19">
        <v>53.049999999999955</v>
      </c>
      <c r="D71" s="20">
        <f t="shared" si="2"/>
        <v>73.556168500000325</v>
      </c>
      <c r="E71" s="20">
        <f t="shared" si="1"/>
        <v>32.564510500000239</v>
      </c>
      <c r="F71" s="20">
        <f t="shared" si="3"/>
        <v>63.535267000000331</v>
      </c>
      <c r="G71" s="20">
        <f t="shared" ref="G71:G80" si="4">C71-0.20011*A68+0.19098*A67-0.08492*B71</f>
        <v>22.543609000000249</v>
      </c>
      <c r="I71" s="127"/>
      <c r="J71" s="12"/>
      <c r="K71" s="13"/>
      <c r="L71" s="13"/>
      <c r="M71" s="11"/>
      <c r="N71" s="1"/>
      <c r="O71" s="13"/>
      <c r="P71" s="13"/>
    </row>
    <row r="72" spans="1:16" x14ac:dyDescent="0.45">
      <c r="A72" s="19">
        <v>31.399999999997817</v>
      </c>
      <c r="B72" s="19">
        <v>202.02999999999975</v>
      </c>
      <c r="C72" s="19">
        <v>26.840000000000146</v>
      </c>
      <c r="D72" s="20">
        <f t="shared" si="2"/>
        <v>73.451913500000515</v>
      </c>
      <c r="E72" s="20">
        <f t="shared" si="1"/>
        <v>55.260359500000035</v>
      </c>
      <c r="F72" s="20">
        <f t="shared" si="3"/>
        <v>31.163811400000522</v>
      </c>
      <c r="G72" s="20">
        <f t="shared" si="4"/>
        <v>12.972257400000039</v>
      </c>
      <c r="I72" s="127"/>
      <c r="J72" s="12"/>
      <c r="K72" s="13"/>
      <c r="L72" s="13"/>
      <c r="M72" s="11"/>
      <c r="N72" s="1"/>
      <c r="O72" s="13"/>
      <c r="P72" s="13"/>
    </row>
    <row r="73" spans="1:16" x14ac:dyDescent="0.45">
      <c r="A73" s="19">
        <v>65.900000000001455</v>
      </c>
      <c r="B73" s="19">
        <v>75.819999999999709</v>
      </c>
      <c r="C73" s="19">
        <v>-25.400000000000091</v>
      </c>
      <c r="D73" s="20">
        <f t="shared" si="2"/>
        <v>-23.356300000000637</v>
      </c>
      <c r="E73" s="20">
        <f t="shared" si="1"/>
        <v>-52.85556200000066</v>
      </c>
      <c r="F73" s="20">
        <f t="shared" si="3"/>
        <v>-5.0298394000006201</v>
      </c>
      <c r="G73" s="20">
        <f t="shared" si="4"/>
        <v>-34.529101400000641</v>
      </c>
      <c r="I73" s="127"/>
      <c r="J73" s="12"/>
      <c r="K73" s="13"/>
      <c r="L73" s="13"/>
      <c r="M73" s="11"/>
      <c r="N73" s="1"/>
      <c r="O73" s="13"/>
      <c r="P73" s="13"/>
    </row>
    <row r="74" spans="1:16" x14ac:dyDescent="0.45">
      <c r="A74" s="19">
        <v>83.200000000000728</v>
      </c>
      <c r="B74" s="19">
        <v>250.6200000000008</v>
      </c>
      <c r="C74" s="19">
        <v>6.0499999999999545</v>
      </c>
      <c r="D74" s="20">
        <f t="shared" si="2"/>
        <v>43.374537499999896</v>
      </c>
      <c r="E74" s="20">
        <f t="shared" si="1"/>
        <v>11.621615500000352</v>
      </c>
      <c r="F74" s="20">
        <f t="shared" si="3"/>
        <v>10.973184599999847</v>
      </c>
      <c r="G74" s="20">
        <f t="shared" si="4"/>
        <v>-20.779737399999693</v>
      </c>
      <c r="I74" s="127"/>
      <c r="J74" s="12"/>
      <c r="K74" s="13"/>
      <c r="L74" s="13"/>
      <c r="M74" s="11"/>
      <c r="N74" s="1"/>
      <c r="O74" s="13"/>
      <c r="P74" s="13"/>
    </row>
    <row r="75" spans="1:16" x14ac:dyDescent="0.45">
      <c r="A75" s="19">
        <v>46.299999999999272</v>
      </c>
      <c r="B75" s="19">
        <v>158.07999999999993</v>
      </c>
      <c r="C75" s="19">
        <v>189.1400000000001</v>
      </c>
      <c r="D75" s="20">
        <f t="shared" si="2"/>
        <v>185.74036600000079</v>
      </c>
      <c r="E75" s="20">
        <f t="shared" si="1"/>
        <v>170.89951400000049</v>
      </c>
      <c r="F75" s="20">
        <f t="shared" si="3"/>
        <v>186.85147440000085</v>
      </c>
      <c r="G75" s="20">
        <f t="shared" si="4"/>
        <v>172.01062240000056</v>
      </c>
      <c r="I75" s="127"/>
      <c r="J75" s="12"/>
      <c r="K75" s="13"/>
      <c r="L75" s="13"/>
      <c r="M75" s="11"/>
      <c r="N75" s="1"/>
      <c r="O75" s="13"/>
      <c r="P75" s="13"/>
    </row>
    <row r="76" spans="1:16" x14ac:dyDescent="0.45">
      <c r="A76" s="19">
        <v>-14.400000000001455</v>
      </c>
      <c r="B76" s="19">
        <v>-218.66000000000076</v>
      </c>
      <c r="C76" s="19">
        <v>53.190000000000055</v>
      </c>
      <c r="D76" s="20">
        <f t="shared" si="2"/>
        <v>69.517976499999435</v>
      </c>
      <c r="E76" s="20">
        <f t="shared" si="1"/>
        <v>39.714766499999428</v>
      </c>
      <c r="F76" s="20">
        <f t="shared" si="3"/>
        <v>94.371340199999409</v>
      </c>
      <c r="G76" s="20">
        <f t="shared" si="4"/>
        <v>64.568130199999402</v>
      </c>
      <c r="I76" s="127"/>
      <c r="J76" s="12"/>
      <c r="K76" s="13"/>
      <c r="L76" s="13"/>
      <c r="M76" s="11"/>
      <c r="N76" s="1"/>
      <c r="O76" s="13"/>
      <c r="P76" s="13"/>
    </row>
    <row r="77" spans="1:16" x14ac:dyDescent="0.45">
      <c r="A77" s="19">
        <v>61.100000000002183</v>
      </c>
      <c r="B77" s="19">
        <v>241.82000000000062</v>
      </c>
      <c r="C77" s="19">
        <v>41.399999999999636</v>
      </c>
      <c r="D77" s="20">
        <f t="shared" si="2"/>
        <v>36.526169500000123</v>
      </c>
      <c r="E77" s="20">
        <f t="shared" si="1"/>
        <v>36.25537249999973</v>
      </c>
      <c r="F77" s="20">
        <f t="shared" si="3"/>
        <v>17.071872600000106</v>
      </c>
      <c r="G77" s="20">
        <f t="shared" si="4"/>
        <v>16.801075599999713</v>
      </c>
      <c r="I77" s="127"/>
      <c r="J77" s="12"/>
      <c r="K77" s="13"/>
      <c r="L77" s="13"/>
      <c r="M77" s="11"/>
      <c r="N77" s="1"/>
      <c r="O77" s="13"/>
      <c r="P77" s="13"/>
    </row>
    <row r="78" spans="1:16" x14ac:dyDescent="0.45">
      <c r="A78" s="19">
        <v>47.799999999999272</v>
      </c>
      <c r="B78" s="19">
        <v>182.96999999999935</v>
      </c>
      <c r="C78" s="19">
        <v>-1.2599999999997635</v>
      </c>
      <c r="D78" s="20">
        <f t="shared" si="2"/>
        <v>-25.184119499999937</v>
      </c>
      <c r="E78" s="20">
        <f t="shared" si="1"/>
        <v>-22.894504499999499</v>
      </c>
      <c r="F78" s="20">
        <f t="shared" si="3"/>
        <v>-12.46298439999986</v>
      </c>
      <c r="G78" s="20">
        <f t="shared" si="4"/>
        <v>-10.173369399999421</v>
      </c>
      <c r="I78" s="127"/>
      <c r="J78" s="12"/>
      <c r="K78" s="13"/>
      <c r="L78" s="13"/>
      <c r="M78" s="11"/>
      <c r="N78" s="1"/>
      <c r="O78" s="13"/>
      <c r="P78" s="13"/>
    </row>
    <row r="79" spans="1:16" x14ac:dyDescent="0.45">
      <c r="A79" s="19">
        <v>26.700000000000728</v>
      </c>
      <c r="B79" s="19">
        <v>61.820000000000618</v>
      </c>
      <c r="C79" s="19">
        <v>122.38999999999987</v>
      </c>
      <c r="D79" s="20">
        <f t="shared" si="2"/>
        <v>101.47351599999971</v>
      </c>
      <c r="E79" s="20">
        <f t="shared" ref="E79:E80" si="5">C79-0.20011*A76+0.19098*A75-0.10445*B67</f>
        <v>119.63927700000004</v>
      </c>
      <c r="F79" s="20">
        <f t="shared" si="3"/>
        <v>110.69844259999964</v>
      </c>
      <c r="G79" s="20">
        <f t="shared" si="4"/>
        <v>128.86420359999997</v>
      </c>
      <c r="I79" s="127"/>
      <c r="J79" s="12"/>
      <c r="K79" s="13"/>
      <c r="L79" s="13"/>
      <c r="M79" s="11"/>
      <c r="N79" s="1"/>
      <c r="O79" s="13"/>
      <c r="P79" s="13"/>
    </row>
    <row r="80" spans="1:16" x14ac:dyDescent="0.45">
      <c r="A80" s="19">
        <v>91.399999999997817</v>
      </c>
      <c r="B80" s="19">
        <v>126.09999999999945</v>
      </c>
      <c r="C80" s="19">
        <v>54.930000000000291</v>
      </c>
      <c r="D80" s="20">
        <f t="shared" si="2"/>
        <v>69.619750000000906</v>
      </c>
      <c r="E80" s="20">
        <f t="shared" si="5"/>
        <v>48.444951999999596</v>
      </c>
      <c r="F80" s="20">
        <f t="shared" si="3"/>
        <v>50.419553000000931</v>
      </c>
      <c r="G80" s="20">
        <f t="shared" si="4"/>
        <v>29.244754999999621</v>
      </c>
      <c r="I80" s="127"/>
      <c r="J80" s="12"/>
      <c r="K80" s="13"/>
      <c r="L80" s="13"/>
      <c r="M80" s="11"/>
      <c r="N80" s="1"/>
      <c r="O80" s="13"/>
      <c r="P80" s="13"/>
    </row>
    <row r="81" spans="4:16" x14ac:dyDescent="0.45">
      <c r="D81" s="92">
        <f>AVERAGE(D2:D80)</f>
        <v>24.282649449367099</v>
      </c>
      <c r="E81" s="92">
        <f t="shared" ref="E81:G81" si="6">AVERAGE(E2:E80)</f>
        <v>11.839163778481012</v>
      </c>
      <c r="F81" s="92">
        <f t="shared" si="6"/>
        <v>23.406631362025323</v>
      </c>
      <c r="G81" s="92">
        <f t="shared" si="6"/>
        <v>11.244480562025315</v>
      </c>
      <c r="J81" s="12"/>
      <c r="K81" s="13"/>
      <c r="L81" s="13"/>
      <c r="M81" s="11"/>
      <c r="N81" s="1"/>
      <c r="O81" s="13"/>
      <c r="P8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6306-6323-4A1D-A220-71023507BB0F}">
  <dimension ref="A1:K81"/>
  <sheetViews>
    <sheetView topLeftCell="A5" zoomScale="75" workbookViewId="0">
      <selection activeCell="G1" sqref="G1:G1048576"/>
    </sheetView>
  </sheetViews>
  <sheetFormatPr defaultRowHeight="14.25" x14ac:dyDescent="0.45"/>
  <cols>
    <col min="4" max="4" width="14.73046875" customWidth="1"/>
    <col min="5" max="5" width="16.19921875" customWidth="1"/>
    <col min="6" max="6" width="19.796875" customWidth="1"/>
    <col min="7" max="7" width="21.3984375" customWidth="1"/>
  </cols>
  <sheetData>
    <row r="1" spans="1:11" x14ac:dyDescent="0.45">
      <c r="A1" s="97" t="s">
        <v>0</v>
      </c>
      <c r="B1" s="97" t="s">
        <v>1</v>
      </c>
      <c r="C1" s="97" t="s">
        <v>2</v>
      </c>
      <c r="D1" s="97" t="s">
        <v>24</v>
      </c>
      <c r="E1" s="97" t="s">
        <v>25</v>
      </c>
      <c r="F1" s="97" t="s">
        <v>27</v>
      </c>
      <c r="G1" s="97" t="s">
        <v>26</v>
      </c>
      <c r="I1" s="1"/>
      <c r="J1" s="1"/>
      <c r="K1" s="1"/>
    </row>
    <row r="2" spans="1:11" x14ac:dyDescent="0.45">
      <c r="A2" s="53">
        <v>49</v>
      </c>
      <c r="B2" s="53">
        <v>-109.98000000000002</v>
      </c>
      <c r="C2" s="53">
        <v>-27.039999999999964</v>
      </c>
      <c r="D2" s="16">
        <v>0</v>
      </c>
      <c r="E2" s="16">
        <v>0</v>
      </c>
      <c r="F2" s="16">
        <v>0</v>
      </c>
      <c r="G2" s="16">
        <v>0</v>
      </c>
      <c r="I2" s="1"/>
      <c r="J2" s="1"/>
      <c r="K2" s="1"/>
    </row>
    <row r="3" spans="1:11" x14ac:dyDescent="0.45">
      <c r="A3" s="53">
        <v>63.400000000001455</v>
      </c>
      <c r="B3" s="53">
        <v>-72.960000000000036</v>
      </c>
      <c r="C3" s="53">
        <v>6.3399999999999181</v>
      </c>
      <c r="D3" s="16">
        <v>0</v>
      </c>
      <c r="E3" s="16">
        <v>0</v>
      </c>
      <c r="F3" s="16">
        <v>0</v>
      </c>
      <c r="G3" s="16">
        <v>0</v>
      </c>
      <c r="I3" s="1"/>
      <c r="J3" s="1"/>
      <c r="K3" s="1"/>
    </row>
    <row r="4" spans="1:11" x14ac:dyDescent="0.45">
      <c r="A4" s="53">
        <v>23.199999999998909</v>
      </c>
      <c r="B4" s="53">
        <v>7.180000000000291</v>
      </c>
      <c r="C4" s="53">
        <v>-9.0499999999999545</v>
      </c>
      <c r="D4" s="16">
        <v>0</v>
      </c>
      <c r="E4" s="16">
        <v>0</v>
      </c>
      <c r="F4" s="16">
        <v>0</v>
      </c>
      <c r="G4" s="16">
        <v>0</v>
      </c>
      <c r="I4" s="1"/>
      <c r="J4" s="1"/>
      <c r="K4" s="1"/>
    </row>
    <row r="5" spans="1:11" x14ac:dyDescent="0.45">
      <c r="A5" s="53">
        <v>56.5</v>
      </c>
      <c r="B5" s="53">
        <v>57.2199999999998</v>
      </c>
      <c r="C5" s="53">
        <v>-17.029999999999973</v>
      </c>
      <c r="D5" s="16">
        <v>0</v>
      </c>
      <c r="E5" s="16">
        <v>0</v>
      </c>
      <c r="F5" s="16">
        <v>0</v>
      </c>
      <c r="G5" s="16">
        <v>0</v>
      </c>
      <c r="I5" s="1"/>
      <c r="J5" s="1"/>
      <c r="K5" s="1"/>
    </row>
    <row r="6" spans="1:11" x14ac:dyDescent="0.45">
      <c r="A6" s="53">
        <v>44.800000000001091</v>
      </c>
      <c r="B6" s="53">
        <v>13.099999999999909</v>
      </c>
      <c r="C6" s="53">
        <v>-45.670000000000073</v>
      </c>
      <c r="D6" s="16">
        <v>0</v>
      </c>
      <c r="E6" s="16">
        <v>0</v>
      </c>
      <c r="F6" s="16">
        <v>0</v>
      </c>
      <c r="G6" s="16">
        <f>C6-0.18566*A3+0.17862*A2-0.06404*B6</f>
        <v>-49.527388000000329</v>
      </c>
      <c r="I6" s="1"/>
      <c r="J6" s="1"/>
      <c r="K6" s="1"/>
    </row>
    <row r="7" spans="1:11" x14ac:dyDescent="0.45">
      <c r="A7" s="53">
        <v>37.399999999999636</v>
      </c>
      <c r="B7" s="53">
        <v>97.920000000000073</v>
      </c>
      <c r="C7" s="53">
        <v>-28.839999999999918</v>
      </c>
      <c r="D7" s="16">
        <v>0</v>
      </c>
      <c r="E7" s="16">
        <v>0</v>
      </c>
      <c r="F7" s="16">
        <v>0</v>
      </c>
      <c r="G7" s="16">
        <f t="shared" ref="G7:G70" si="0">C7-0.18566*A4+0.17862*A3-0.06404*B7</f>
        <v>-28.093600799999464</v>
      </c>
      <c r="I7" s="1"/>
      <c r="J7" s="1"/>
      <c r="K7" s="1"/>
    </row>
    <row r="8" spans="1:11" x14ac:dyDescent="0.45">
      <c r="A8" s="53">
        <v>48.600000000000364</v>
      </c>
      <c r="B8" s="53">
        <v>85.230000000000018</v>
      </c>
      <c r="C8" s="53">
        <v>-22.700000000000045</v>
      </c>
      <c r="D8" s="16">
        <v>0</v>
      </c>
      <c r="E8" s="16">
        <v>0</v>
      </c>
      <c r="F8" s="16">
        <v>0</v>
      </c>
      <c r="G8" s="16">
        <f t="shared" si="0"/>
        <v>-34.503935200000242</v>
      </c>
      <c r="I8" s="1"/>
      <c r="J8" s="1"/>
      <c r="K8" s="1"/>
    </row>
    <row r="9" spans="1:11" x14ac:dyDescent="0.45">
      <c r="A9" s="53">
        <v>22.299999999999272</v>
      </c>
      <c r="B9" s="53">
        <v>12.460000000000036</v>
      </c>
      <c r="C9" s="53">
        <v>-9.0199999999999818</v>
      </c>
      <c r="D9" s="16">
        <v>0</v>
      </c>
      <c r="E9" s="16">
        <v>0</v>
      </c>
      <c r="F9" s="16">
        <v>0</v>
      </c>
      <c r="G9" s="16">
        <f t="shared" si="0"/>
        <v>-8.0434764000001859</v>
      </c>
      <c r="I9" s="1"/>
      <c r="J9" s="1"/>
      <c r="K9" s="1"/>
    </row>
    <row r="10" spans="1:11" x14ac:dyDescent="0.45">
      <c r="A10" s="53">
        <v>11.100000000000364</v>
      </c>
      <c r="B10" s="53">
        <v>-202.24000000000024</v>
      </c>
      <c r="C10" s="53">
        <v>22.450000000000045</v>
      </c>
      <c r="D10" s="16">
        <v>0</v>
      </c>
      <c r="E10" s="16">
        <v>0</v>
      </c>
      <c r="F10" s="16">
        <v>0</v>
      </c>
      <c r="G10" s="16">
        <f t="shared" si="0"/>
        <v>36.45994160000032</v>
      </c>
      <c r="I10" s="1"/>
      <c r="J10" s="1"/>
      <c r="K10" s="1"/>
    </row>
    <row r="11" spans="1:11" x14ac:dyDescent="0.45">
      <c r="A11" s="53">
        <v>26.199999999998909</v>
      </c>
      <c r="B11" s="53">
        <v>48.430000000000291</v>
      </c>
      <c r="C11" s="53">
        <v>7.7400000000000091</v>
      </c>
      <c r="D11" s="16">
        <v>0</v>
      </c>
      <c r="E11" s="16">
        <v>0</v>
      </c>
      <c r="F11" s="16">
        <v>0</v>
      </c>
      <c r="G11" s="16">
        <f t="shared" si="0"/>
        <v>2.2958547999998582</v>
      </c>
      <c r="I11" s="1"/>
      <c r="J11" s="1"/>
      <c r="K11" s="1"/>
    </row>
    <row r="12" spans="1:11" x14ac:dyDescent="0.45">
      <c r="A12" s="53">
        <v>104</v>
      </c>
      <c r="B12" s="53">
        <v>-253.32000000000016</v>
      </c>
      <c r="C12" s="53">
        <v>60.849999999999909</v>
      </c>
      <c r="D12" s="16">
        <v>0</v>
      </c>
      <c r="E12" s="16">
        <v>0</v>
      </c>
      <c r="F12" s="16">
        <v>0</v>
      </c>
      <c r="G12" s="16">
        <f t="shared" si="0"/>
        <v>81.613326800000124</v>
      </c>
      <c r="I12" s="1"/>
      <c r="J12" s="1"/>
      <c r="K12" s="1"/>
    </row>
    <row r="13" spans="1:11" x14ac:dyDescent="0.45">
      <c r="A13" s="53">
        <v>72.900000000001455</v>
      </c>
      <c r="B13" s="53">
        <v>197.25</v>
      </c>
      <c r="C13" s="53">
        <v>37.829999999999927</v>
      </c>
      <c r="D13" s="16">
        <v>0</v>
      </c>
      <c r="E13" s="16">
        <v>0</v>
      </c>
      <c r="F13" s="16">
        <v>0</v>
      </c>
      <c r="G13" s="16">
        <f t="shared" si="0"/>
        <v>27.120509999999726</v>
      </c>
      <c r="I13" s="1"/>
      <c r="J13" s="1"/>
      <c r="K13" s="1"/>
    </row>
    <row r="14" spans="1:11" x14ac:dyDescent="0.45">
      <c r="A14" s="53">
        <v>46.599999999998545</v>
      </c>
      <c r="B14" s="53">
        <v>80.389999999999873</v>
      </c>
      <c r="C14" s="53">
        <v>-7.8999999999998636</v>
      </c>
      <c r="D14" s="16">
        <v>0</v>
      </c>
      <c r="E14" s="16">
        <f>C14-0.18138*A11+0.18164*A10-0.08446*B2</f>
        <v>-1.3470411999995999</v>
      </c>
      <c r="F14" s="16">
        <v>0</v>
      </c>
      <c r="G14" s="16">
        <f t="shared" si="0"/>
        <v>-15.929785599999587</v>
      </c>
      <c r="I14" s="1"/>
      <c r="J14" s="1"/>
      <c r="K14" s="1"/>
    </row>
    <row r="15" spans="1:11" x14ac:dyDescent="0.45">
      <c r="A15" s="53">
        <v>51.200000000000728</v>
      </c>
      <c r="B15" s="53">
        <v>49.910000000000309</v>
      </c>
      <c r="C15" s="53">
        <v>-20.759999999999991</v>
      </c>
      <c r="D15" s="16">
        <v>0</v>
      </c>
      <c r="E15" s="16">
        <f t="shared" ref="E15:E78" si="1">C15-0.18138*A12+0.18164*A11-0.08446*B3</f>
        <v>-28.702350400000185</v>
      </c>
      <c r="F15" s="16">
        <v>0</v>
      </c>
      <c r="G15" s="16">
        <f t="shared" si="0"/>
        <v>-38.585032400000202</v>
      </c>
      <c r="I15" s="1"/>
      <c r="J15" s="1"/>
      <c r="K15" s="1"/>
    </row>
    <row r="16" spans="1:11" x14ac:dyDescent="0.45">
      <c r="A16" s="53">
        <v>37.200000000000728</v>
      </c>
      <c r="B16" s="53">
        <v>111.42999999999984</v>
      </c>
      <c r="C16" s="53">
        <v>-8.5500000000001819</v>
      </c>
      <c r="D16" s="16">
        <v>0</v>
      </c>
      <c r="E16" s="16">
        <f t="shared" si="1"/>
        <v>-3.4884648000004708</v>
      </c>
      <c r="F16" s="16">
        <v>0</v>
      </c>
      <c r="G16" s="16">
        <f t="shared" si="0"/>
        <v>-10.644111200000438</v>
      </c>
      <c r="I16" s="1"/>
      <c r="J16" s="1"/>
      <c r="K16" s="1"/>
    </row>
    <row r="17" spans="1:11" x14ac:dyDescent="0.45">
      <c r="A17" s="53">
        <v>109.69999999999891</v>
      </c>
      <c r="B17" s="53">
        <v>-193.76999999999998</v>
      </c>
      <c r="C17" s="53">
        <v>21.900000000000091</v>
      </c>
      <c r="D17" s="16">
        <v>0</v>
      </c>
      <c r="E17" s="16">
        <f t="shared" si="1"/>
        <v>21.856446800000633</v>
      </c>
      <c r="F17" s="16">
        <v>0</v>
      </c>
      <c r="G17" s="16">
        <f t="shared" si="0"/>
        <v>38.678672800000619</v>
      </c>
      <c r="I17" s="1"/>
      <c r="J17" s="1"/>
      <c r="K17" s="1"/>
    </row>
    <row r="18" spans="1:11" x14ac:dyDescent="0.45">
      <c r="A18" s="53">
        <v>98.399999999999636</v>
      </c>
      <c r="B18" s="53">
        <v>189.70000000000027</v>
      </c>
      <c r="C18" s="53">
        <v>103.84999999999991</v>
      </c>
      <c r="D18" s="16">
        <v>0</v>
      </c>
      <c r="E18" s="16">
        <f t="shared" si="1"/>
        <v>101.92134199999951</v>
      </c>
      <c r="F18" s="16">
        <v>0</v>
      </c>
      <c r="G18" s="16">
        <f t="shared" si="0"/>
        <v>90.519511999999509</v>
      </c>
      <c r="I18" s="1"/>
      <c r="J18" s="1"/>
      <c r="K18" s="1"/>
    </row>
    <row r="19" spans="1:11" x14ac:dyDescent="0.45">
      <c r="A19" s="53">
        <v>84</v>
      </c>
      <c r="B19" s="53">
        <v>38.619999999999891</v>
      </c>
      <c r="C19" s="53">
        <v>4.4500000000000455</v>
      </c>
      <c r="D19" s="16">
        <v>0</v>
      </c>
      <c r="E19" s="16">
        <f t="shared" si="1"/>
        <v>-1.2676911999999607</v>
      </c>
      <c r="F19" s="16">
        <v>0</v>
      </c>
      <c r="G19" s="16">
        <f t="shared" si="0"/>
        <v>4.2155672000000468</v>
      </c>
      <c r="I19" s="1"/>
      <c r="J19" s="1"/>
      <c r="K19" s="1"/>
    </row>
    <row r="20" spans="1:11" x14ac:dyDescent="0.45">
      <c r="A20" s="53">
        <v>87.600000000000364</v>
      </c>
      <c r="B20" s="53">
        <v>-53.920000000000073</v>
      </c>
      <c r="C20" s="53">
        <v>106.29999999999995</v>
      </c>
      <c r="D20" s="16">
        <v>0</v>
      </c>
      <c r="E20" s="16">
        <f t="shared" si="1"/>
        <v>85.961096200000284</v>
      </c>
      <c r="F20" s="16">
        <v>0</v>
      </c>
      <c r="G20" s="16">
        <f t="shared" si="0"/>
        <v>96.030798800000298</v>
      </c>
      <c r="I20" s="1"/>
      <c r="J20" s="1"/>
      <c r="K20" s="1"/>
    </row>
    <row r="21" spans="1:11" x14ac:dyDescent="0.45">
      <c r="A21" s="53">
        <v>72.600000000000364</v>
      </c>
      <c r="B21" s="53">
        <v>50.279999999999745</v>
      </c>
      <c r="C21" s="53">
        <v>-47.849999999999909</v>
      </c>
      <c r="D21" s="16">
        <v>0</v>
      </c>
      <c r="E21" s="16">
        <f t="shared" si="1"/>
        <v>-46.82425560000005</v>
      </c>
      <c r="F21" s="16">
        <v>0</v>
      </c>
      <c r="G21" s="16">
        <f t="shared" si="0"/>
        <v>-49.744261200000018</v>
      </c>
      <c r="I21" s="1"/>
      <c r="J21" s="1"/>
      <c r="K21" s="1"/>
    </row>
    <row r="22" spans="1:11" x14ac:dyDescent="0.45">
      <c r="A22" s="53">
        <v>137.10000000000036</v>
      </c>
      <c r="B22" s="53">
        <v>60.820000000000164</v>
      </c>
      <c r="C22" s="53">
        <v>41.160000000000082</v>
      </c>
      <c r="D22" s="16">
        <v>0</v>
      </c>
      <c r="E22" s="16">
        <f t="shared" si="1"/>
        <v>60.878646400000029</v>
      </c>
      <c r="F22" s="16">
        <v>0</v>
      </c>
      <c r="G22" s="16">
        <f t="shared" si="0"/>
        <v>39.245855200000008</v>
      </c>
      <c r="I22" s="1"/>
      <c r="J22" s="1"/>
      <c r="K22" s="1"/>
    </row>
    <row r="23" spans="1:11" x14ac:dyDescent="0.45">
      <c r="A23" s="53">
        <v>111.89999999999964</v>
      </c>
      <c r="B23" s="53">
        <v>103.42000000000007</v>
      </c>
      <c r="C23" s="53">
        <v>-49.259999999999991</v>
      </c>
      <c r="D23" s="16">
        <v>0</v>
      </c>
      <c r="E23" s="16">
        <f t="shared" si="1"/>
        <v>-53.981525800000085</v>
      </c>
      <c r="F23" s="16">
        <v>0</v>
      </c>
      <c r="G23" s="16">
        <f t="shared" si="0"/>
        <v>-57.142752800000054</v>
      </c>
      <c r="I23" s="1"/>
      <c r="J23" s="1"/>
      <c r="K23" s="1"/>
    </row>
    <row r="24" spans="1:11" x14ac:dyDescent="0.45">
      <c r="A24" s="53">
        <v>51.5</v>
      </c>
      <c r="B24" s="53">
        <v>89.800000000000182</v>
      </c>
      <c r="C24" s="53">
        <v>53.1099999999999</v>
      </c>
      <c r="D24" s="16">
        <v>0</v>
      </c>
      <c r="E24" s="16">
        <f t="shared" si="1"/>
        <v>77.248883199999909</v>
      </c>
      <c r="F24" s="16">
        <v>0</v>
      </c>
      <c r="G24" s="16">
        <f t="shared" si="0"/>
        <v>49.527403999999883</v>
      </c>
      <c r="I24" s="1"/>
      <c r="J24" s="1"/>
      <c r="K24" s="1"/>
    </row>
    <row r="25" spans="1:11" x14ac:dyDescent="0.45">
      <c r="A25" s="53">
        <v>79.600000000000364</v>
      </c>
      <c r="B25" s="53">
        <v>-5.2600000000002183</v>
      </c>
      <c r="C25" s="53">
        <v>72.799999999999955</v>
      </c>
      <c r="D25" s="16">
        <v>0</v>
      </c>
      <c r="E25" s="16">
        <f t="shared" si="1"/>
        <v>44.460130999999947</v>
      </c>
      <c r="F25" s="16">
        <v>0</v>
      </c>
      <c r="G25" s="16">
        <f t="shared" si="0"/>
        <v>60.650676399999966</v>
      </c>
      <c r="I25" s="1"/>
      <c r="J25" s="1"/>
      <c r="K25" s="1"/>
    </row>
    <row r="26" spans="1:11" x14ac:dyDescent="0.45">
      <c r="A26" s="53">
        <v>66.299999999999272</v>
      </c>
      <c r="B26" s="53">
        <v>-271.30000000000018</v>
      </c>
      <c r="C26" s="53">
        <v>-5.0699999999999363</v>
      </c>
      <c r="D26" s="16">
        <v>0</v>
      </c>
      <c r="E26" s="16">
        <f t="shared" si="1"/>
        <v>-7.2533173999997951</v>
      </c>
      <c r="F26" s="16">
        <v>0</v>
      </c>
      <c r="G26" s="16">
        <f t="shared" si="0"/>
        <v>16.017500000000208</v>
      </c>
      <c r="I26" s="1"/>
      <c r="J26" s="1"/>
      <c r="K26" s="1"/>
    </row>
    <row r="27" spans="1:11" x14ac:dyDescent="0.45">
      <c r="A27" s="53">
        <v>539.60000000000036</v>
      </c>
      <c r="B27" s="53">
        <v>-369.62999999999965</v>
      </c>
      <c r="C27" s="53">
        <v>-13.690000000000055</v>
      </c>
      <c r="D27" s="16">
        <v>0</v>
      </c>
      <c r="E27" s="16">
        <f t="shared" si="1"/>
        <v>-6.9209526000001498</v>
      </c>
      <c r="F27" s="16">
        <v>0</v>
      </c>
      <c r="G27" s="16">
        <f t="shared" si="0"/>
        <v>20.40719319999986</v>
      </c>
      <c r="I27" s="1"/>
      <c r="J27" s="1"/>
      <c r="K27" s="1"/>
    </row>
    <row r="28" spans="1:11" x14ac:dyDescent="0.45">
      <c r="A28" s="53">
        <v>1032.2999999999993</v>
      </c>
      <c r="B28" s="53">
        <v>327.83999999999969</v>
      </c>
      <c r="C28" s="53">
        <v>109.03999999999996</v>
      </c>
      <c r="D28" s="16">
        <v>0</v>
      </c>
      <c r="E28" s="16">
        <f t="shared" si="1"/>
        <v>94.545234199999925</v>
      </c>
      <c r="F28" s="16">
        <v>0</v>
      </c>
      <c r="G28" s="16">
        <f t="shared" si="0"/>
        <v>82.465520399999932</v>
      </c>
      <c r="I28" s="1"/>
      <c r="J28" s="1"/>
      <c r="K28" s="1"/>
    </row>
    <row r="29" spans="1:11" x14ac:dyDescent="0.45">
      <c r="A29" s="53">
        <v>867.60000000000218</v>
      </c>
      <c r="B29" s="53">
        <v>131.88000000000011</v>
      </c>
      <c r="C29" s="53">
        <v>46.210000000000036</v>
      </c>
      <c r="D29" s="16">
        <f>C29+0.20634*(A4)-0.22733*A3+0.18633*A2-0.11761*B17</f>
        <v>68.503825699999481</v>
      </c>
      <c r="E29" s="16">
        <f t="shared" si="1"/>
        <v>65.008864200000232</v>
      </c>
      <c r="F29" s="16">
        <f>C29+0.17159*(A4)-0.18165*A3+0.15552*A2-0.0475*(B29)</f>
        <v>40.030457999999584</v>
      </c>
      <c r="G29" s="16">
        <f t="shared" si="0"/>
        <v>39.673298800000232</v>
      </c>
      <c r="I29" s="1"/>
      <c r="J29" s="1"/>
      <c r="K29" s="1"/>
    </row>
    <row r="30" spans="1:11" x14ac:dyDescent="0.45">
      <c r="A30" s="53">
        <v>251.39999999999782</v>
      </c>
      <c r="B30" s="53">
        <v>55.980000000000018</v>
      </c>
      <c r="C30" s="53">
        <v>54.370000000000118</v>
      </c>
      <c r="D30" s="16">
        <f t="shared" ref="D30:D80" si="2">C30+0.20634*(A5)-0.22733*A4+0.18633*A3-0.11761*B18</f>
        <v>50.256859000000603</v>
      </c>
      <c r="E30" s="16">
        <f t="shared" si="1"/>
        <v>-47.481978000000112</v>
      </c>
      <c r="F30" s="16">
        <f t="shared" ref="F30:F80" si="3">C30+0.17159*(A5)-0.18165*A4+0.15552*A3-0.0475*(B30)</f>
        <v>67.051473000000527</v>
      </c>
      <c r="G30" s="16">
        <f t="shared" si="0"/>
        <v>-37.554589200000066</v>
      </c>
      <c r="I30" s="1"/>
      <c r="J30" s="1"/>
      <c r="K30" s="1"/>
    </row>
    <row r="31" spans="1:11" x14ac:dyDescent="0.45">
      <c r="A31" s="53">
        <v>151.10000000000218</v>
      </c>
      <c r="B31" s="53">
        <v>170.82999999999993</v>
      </c>
      <c r="C31" s="53">
        <v>194.01999999999998</v>
      </c>
      <c r="D31" s="16">
        <f t="shared" si="2"/>
        <v>190.20064480000002</v>
      </c>
      <c r="E31" s="16">
        <f t="shared" si="1"/>
        <v>101.53252480000016</v>
      </c>
      <c r="F31" s="16">
        <f t="shared" si="3"/>
        <v>186.93764600000003</v>
      </c>
      <c r="G31" s="16">
        <f t="shared" si="0"/>
        <v>87.806580800000205</v>
      </c>
      <c r="I31" s="1"/>
      <c r="J31" s="1"/>
      <c r="K31" s="1"/>
    </row>
    <row r="32" spans="1:11" x14ac:dyDescent="0.45">
      <c r="A32" s="53">
        <v>75.799999999999272</v>
      </c>
      <c r="B32" s="53">
        <v>229.19000000000005</v>
      </c>
      <c r="C32" s="53">
        <v>-4.9400000000000546</v>
      </c>
      <c r="D32" s="16">
        <f t="shared" si="2"/>
        <v>9.4619081999996304</v>
      </c>
      <c r="E32" s="16">
        <f t="shared" si="1"/>
        <v>29.755767199999411</v>
      </c>
      <c r="F32" s="16">
        <f t="shared" si="3"/>
        <v>-8.7600990000003183</v>
      </c>
      <c r="G32" s="16">
        <f t="shared" si="0"/>
        <v>3.6934823999994055</v>
      </c>
      <c r="I32" s="1"/>
      <c r="J32" s="1"/>
      <c r="K32" s="1"/>
    </row>
    <row r="33" spans="1:11" x14ac:dyDescent="0.45">
      <c r="A33" s="53">
        <v>191.29999999999927</v>
      </c>
      <c r="B33" s="53">
        <v>-137.30999999999995</v>
      </c>
      <c r="C33" s="53">
        <v>-84.309999999999945</v>
      </c>
      <c r="D33" s="16">
        <f t="shared" si="2"/>
        <v>-80.349864799999565</v>
      </c>
      <c r="E33" s="16">
        <f t="shared" si="1"/>
        <v>23.435283200000864</v>
      </c>
      <c r="F33" s="16">
        <f t="shared" si="3"/>
        <v>-69.274914999999652</v>
      </c>
      <c r="G33" s="16">
        <f t="shared" si="0"/>
        <v>32.779120400000863</v>
      </c>
      <c r="I33" s="1"/>
      <c r="J33" s="1"/>
      <c r="K33" s="1"/>
    </row>
    <row r="34" spans="1:11" x14ac:dyDescent="0.45">
      <c r="A34" s="53">
        <v>155.09999999999854</v>
      </c>
      <c r="B34" s="53">
        <v>-93.039999999999964</v>
      </c>
      <c r="C34" s="53">
        <v>-7.4900000000000091</v>
      </c>
      <c r="D34" s="16">
        <f t="shared" si="2"/>
        <v>-14.12115420000033</v>
      </c>
      <c r="E34" s="16">
        <f t="shared" si="1"/>
        <v>5.6309207999991839</v>
      </c>
      <c r="F34" s="16">
        <f t="shared" si="3"/>
        <v>-2.2558850000002586</v>
      </c>
      <c r="G34" s="16">
        <f t="shared" si="0"/>
        <v>15.32012359999919</v>
      </c>
      <c r="I34" s="1"/>
      <c r="J34" s="1"/>
      <c r="K34" s="1"/>
    </row>
    <row r="35" spans="1:11" x14ac:dyDescent="0.45">
      <c r="A35" s="53">
        <v>239.40000000000146</v>
      </c>
      <c r="B35" s="53">
        <v>351.67000000000007</v>
      </c>
      <c r="C35" s="53">
        <v>-100.93000000000006</v>
      </c>
      <c r="D35" s="16">
        <f t="shared" si="2"/>
        <v>-106.81667319999977</v>
      </c>
      <c r="E35" s="16">
        <f t="shared" si="1"/>
        <v>-95.967653199999546</v>
      </c>
      <c r="F35" s="16">
        <f t="shared" si="3"/>
        <v>-112.22219899999982</v>
      </c>
      <c r="G35" s="16">
        <f t="shared" si="0"/>
        <v>-110.53449279999954</v>
      </c>
      <c r="I35" s="1"/>
      <c r="J35" s="1"/>
      <c r="K35" s="1"/>
    </row>
    <row r="36" spans="1:11" x14ac:dyDescent="0.45">
      <c r="A36" s="53">
        <v>118.70000000000073</v>
      </c>
      <c r="B36" s="53">
        <v>134.44000000000005</v>
      </c>
      <c r="C36" s="53">
        <v>119.47000000000003</v>
      </c>
      <c r="D36" s="16">
        <f t="shared" si="2"/>
        <v>115.94652599999957</v>
      </c>
      <c r="E36" s="16">
        <f t="shared" si="1"/>
        <v>90.95581</v>
      </c>
      <c r="F36" s="16">
        <f t="shared" si="3"/>
        <v>119.03153899999965</v>
      </c>
      <c r="G36" s="16">
        <f t="shared" si="0"/>
        <v>88.883100400000018</v>
      </c>
      <c r="I36" s="1"/>
      <c r="J36" s="1"/>
      <c r="K36" s="1"/>
    </row>
    <row r="37" spans="1:11" x14ac:dyDescent="0.45">
      <c r="A37" s="53">
        <v>263.29999999999927</v>
      </c>
      <c r="B37" s="53">
        <v>-41.830000000000382</v>
      </c>
      <c r="C37" s="53">
        <v>-50.400000000000091</v>
      </c>
      <c r="D37" s="16">
        <f t="shared" si="2"/>
        <v>-32.209794399999758</v>
      </c>
      <c r="E37" s="16">
        <f t="shared" si="1"/>
        <v>-43.340046399999949</v>
      </c>
      <c r="F37" s="16">
        <f t="shared" si="3"/>
        <v>-33.600672999999816</v>
      </c>
      <c r="G37" s="16">
        <f t="shared" si="0"/>
        <v>-42.347066799999929</v>
      </c>
      <c r="I37" s="1"/>
      <c r="J37" s="1"/>
      <c r="K37" s="1"/>
    </row>
    <row r="38" spans="1:11" x14ac:dyDescent="0.45">
      <c r="A38" s="53">
        <v>262.79999999999927</v>
      </c>
      <c r="B38" s="53">
        <v>96.910000000000309</v>
      </c>
      <c r="C38" s="53">
        <v>-112.59999999999991</v>
      </c>
      <c r="D38" s="16">
        <f t="shared" si="2"/>
        <v>-84.410694999999791</v>
      </c>
      <c r="E38" s="16">
        <f t="shared" si="1"/>
        <v>-104.93601000000044</v>
      </c>
      <c r="F38" s="16">
        <f t="shared" si="3"/>
        <v>-119.51128999999983</v>
      </c>
      <c r="G38" s="16">
        <f t="shared" si="0"/>
        <v>-135.54915840000047</v>
      </c>
      <c r="I38" s="1"/>
      <c r="J38" s="1"/>
      <c r="K38" s="1"/>
    </row>
    <row r="39" spans="1:11" x14ac:dyDescent="0.45">
      <c r="A39" s="53">
        <v>231.40000000000146</v>
      </c>
      <c r="B39" s="53">
        <v>161.73999999999978</v>
      </c>
      <c r="C39" s="53">
        <v>-26.480000000000018</v>
      </c>
      <c r="D39" s="16">
        <f t="shared" si="2"/>
        <v>29.413591299999307</v>
      </c>
      <c r="E39" s="16">
        <f t="shared" si="1"/>
        <v>26.69375980000008</v>
      </c>
      <c r="F39" s="16">
        <f t="shared" si="3"/>
        <v>-23.234761000000525</v>
      </c>
      <c r="G39" s="16">
        <f t="shared" si="0"/>
        <v>-16.114043599999881</v>
      </c>
      <c r="I39" s="1"/>
      <c r="J39" s="1"/>
      <c r="K39" s="1"/>
    </row>
    <row r="40" spans="1:11" x14ac:dyDescent="0.45">
      <c r="A40" s="53">
        <v>303.70000000000073</v>
      </c>
      <c r="B40" s="53">
        <v>208.2800000000002</v>
      </c>
      <c r="C40" s="53">
        <v>61.579999999999927</v>
      </c>
      <c r="D40" s="16">
        <f t="shared" si="2"/>
        <v>36.577224600000712</v>
      </c>
      <c r="E40" s="16">
        <f t="shared" si="1"/>
        <v>7.6939476000002109</v>
      </c>
      <c r="F40" s="16">
        <f t="shared" si="3"/>
        <v>63.344626000000545</v>
      </c>
      <c r="G40" s="16">
        <f t="shared" si="0"/>
        <v>20.559664800000181</v>
      </c>
      <c r="I40" s="1"/>
      <c r="J40" s="1"/>
      <c r="K40" s="1"/>
    </row>
    <row r="41" spans="1:11" x14ac:dyDescent="0.45">
      <c r="A41" s="53">
        <v>283.5</v>
      </c>
      <c r="B41" s="53">
        <v>22.9399999999996</v>
      </c>
      <c r="C41" s="53">
        <v>137.76999999999998</v>
      </c>
      <c r="D41" s="16">
        <f t="shared" si="2"/>
        <v>126.97912319999968</v>
      </c>
      <c r="E41" s="16">
        <f t="shared" si="1"/>
        <v>126.79056319999997</v>
      </c>
      <c r="F41" s="16">
        <f t="shared" si="3"/>
        <v>141.01024999999976</v>
      </c>
      <c r="G41" s="16">
        <f t="shared" si="0"/>
        <v>134.54012040000003</v>
      </c>
      <c r="I41" s="1"/>
      <c r="J41" s="1"/>
      <c r="K41" s="1"/>
    </row>
    <row r="42" spans="1:11" x14ac:dyDescent="0.45">
      <c r="A42" s="53">
        <v>17.399999999997817</v>
      </c>
      <c r="B42" s="53">
        <v>93.390000000000327</v>
      </c>
      <c r="C42" s="53">
        <v>-136.55999999999995</v>
      </c>
      <c r="D42" s="16">
        <f t="shared" si="2"/>
        <v>-119.42488980000022</v>
      </c>
      <c r="E42" s="16">
        <f t="shared" si="1"/>
        <v>-135.52441080000037</v>
      </c>
      <c r="F42" s="16">
        <f t="shared" si="3"/>
        <v>-120.96735800000015</v>
      </c>
      <c r="G42" s="16">
        <f t="shared" si="0"/>
        <v>-138.56108360000036</v>
      </c>
      <c r="I42" s="1"/>
      <c r="J42" s="1"/>
      <c r="K42" s="1"/>
    </row>
    <row r="43" spans="1:11" x14ac:dyDescent="0.45">
      <c r="A43" s="53">
        <v>155.5</v>
      </c>
      <c r="B43" s="53">
        <v>97.760000000000218</v>
      </c>
      <c r="C43" s="53">
        <v>43.779999999999973</v>
      </c>
      <c r="D43" s="16">
        <f t="shared" si="2"/>
        <v>25.98591470000029</v>
      </c>
      <c r="E43" s="16">
        <f t="shared" si="1"/>
        <v>16.298088200000102</v>
      </c>
      <c r="F43" s="16">
        <f t="shared" si="3"/>
        <v>41.879195000000209</v>
      </c>
      <c r="G43" s="16">
        <f t="shared" si="0"/>
        <v>22.46717560000009</v>
      </c>
      <c r="I43" s="1"/>
      <c r="J43" s="1"/>
      <c r="K43" s="1"/>
    </row>
    <row r="44" spans="1:11" x14ac:dyDescent="0.45">
      <c r="A44" s="53">
        <v>207.60000000000218</v>
      </c>
      <c r="B44" s="53">
        <v>127.42000000000007</v>
      </c>
      <c r="C44" s="53">
        <v>-0.14999999999986358</v>
      </c>
      <c r="D44" s="16">
        <f t="shared" si="2"/>
        <v>-11.701346899999994</v>
      </c>
      <c r="E44" s="16">
        <f t="shared" si="1"/>
        <v>-15.764549399999741</v>
      </c>
      <c r="F44" s="16">
        <f t="shared" si="3"/>
        <v>7.3972940000000253</v>
      </c>
      <c r="G44" s="16">
        <f t="shared" si="0"/>
        <v>-6.6976927999997304</v>
      </c>
      <c r="I44" s="1"/>
      <c r="J44" s="1"/>
      <c r="K44" s="1"/>
    </row>
    <row r="45" spans="1:11" x14ac:dyDescent="0.45">
      <c r="A45" s="53">
        <v>140.09999999999854</v>
      </c>
      <c r="B45" s="53">
        <v>-215.14000000000033</v>
      </c>
      <c r="C45" s="53">
        <v>-56.769999999999982</v>
      </c>
      <c r="D45" s="16">
        <f t="shared" si="2"/>
        <v>-23.306434899999985</v>
      </c>
      <c r="E45" s="16">
        <f t="shared" si="1"/>
        <v>3.1661306000004057</v>
      </c>
      <c r="F45" s="16">
        <f t="shared" si="3"/>
        <v>-31.474997999999964</v>
      </c>
      <c r="G45" s="16">
        <f t="shared" si="0"/>
        <v>4.4158516000004475</v>
      </c>
      <c r="I45" s="1"/>
      <c r="J45" s="1"/>
      <c r="K45" s="1"/>
    </row>
    <row r="46" spans="1:11" x14ac:dyDescent="0.45">
      <c r="A46" s="53">
        <v>179.59999999999854</v>
      </c>
      <c r="B46" s="53">
        <v>297.84000000000015</v>
      </c>
      <c r="C46" s="53">
        <v>26.149999999999864</v>
      </c>
      <c r="D46" s="16">
        <f t="shared" si="2"/>
        <v>47.810330399999849</v>
      </c>
      <c r="E46" s="16">
        <f t="shared" si="1"/>
        <v>8.9641043999994601</v>
      </c>
      <c r="F46" s="16">
        <f t="shared" si="3"/>
        <v>21.611173999999856</v>
      </c>
      <c r="G46" s="16">
        <f t="shared" si="0"/>
        <v>-18.685815600000534</v>
      </c>
      <c r="I46" s="1"/>
      <c r="J46" s="1"/>
      <c r="K46" s="1"/>
    </row>
    <row r="47" spans="1:11" x14ac:dyDescent="0.45">
      <c r="A47" s="53">
        <v>174.90000000000146</v>
      </c>
      <c r="B47" s="53">
        <v>-38.380000000000109</v>
      </c>
      <c r="C47" s="53">
        <v>-9.0299999999999727</v>
      </c>
      <c r="D47" s="16">
        <f t="shared" si="2"/>
        <v>-22.282344699999925</v>
      </c>
      <c r="E47" s="16">
        <f t="shared" si="1"/>
        <v>-48.141516200000375</v>
      </c>
      <c r="F47" s="16">
        <f t="shared" si="3"/>
        <v>16.753801000000081</v>
      </c>
      <c r="G47" s="16">
        <f t="shared" si="0"/>
        <v>-17.33975080000037</v>
      </c>
      <c r="I47" s="1"/>
      <c r="J47" s="1"/>
      <c r="K47" s="1"/>
    </row>
    <row r="48" spans="1:11" x14ac:dyDescent="0.45">
      <c r="A48" s="53">
        <v>163</v>
      </c>
      <c r="B48" s="53">
        <v>199.18000000000029</v>
      </c>
      <c r="C48" s="53">
        <v>54.610000000000127</v>
      </c>
      <c r="D48" s="16">
        <f t="shared" si="2"/>
        <v>44.248572600000024</v>
      </c>
      <c r="E48" s="16">
        <f t="shared" si="1"/>
        <v>55.552323600000783</v>
      </c>
      <c r="F48" s="16">
        <f t="shared" si="3"/>
        <v>50.73640800000004</v>
      </c>
      <c r="G48" s="16">
        <f t="shared" si="0"/>
        <v>52.92505880000077</v>
      </c>
      <c r="I48" s="1"/>
      <c r="J48" s="1"/>
      <c r="K48" s="1"/>
    </row>
    <row r="49" spans="1:11" x14ac:dyDescent="0.45">
      <c r="A49" s="53">
        <v>151.59999999999854</v>
      </c>
      <c r="B49" s="53">
        <v>-250.63000000000011</v>
      </c>
      <c r="C49" s="53">
        <v>-31.920000000000073</v>
      </c>
      <c r="D49" s="16">
        <f t="shared" si="2"/>
        <v>-16.266247699999873</v>
      </c>
      <c r="E49" s="16">
        <f t="shared" si="1"/>
        <v>-35.515122200000043</v>
      </c>
      <c r="F49" s="16">
        <f t="shared" si="3"/>
        <v>-10.183032999999948</v>
      </c>
      <c r="G49" s="16">
        <f t="shared" si="0"/>
        <v>-24.189528800000051</v>
      </c>
      <c r="I49" s="1"/>
      <c r="J49" s="1"/>
      <c r="K49" s="1"/>
    </row>
    <row r="50" spans="1:11" x14ac:dyDescent="0.45">
      <c r="A50" s="53">
        <v>75.100000000002183</v>
      </c>
      <c r="B50" s="53">
        <v>-141.61000000000058</v>
      </c>
      <c r="C50" s="53">
        <v>111.43000000000006</v>
      </c>
      <c r="D50" s="16">
        <f t="shared" si="2"/>
        <v>125.59991090000003</v>
      </c>
      <c r="E50" s="16">
        <f t="shared" si="1"/>
        <v>104.14416339999951</v>
      </c>
      <c r="F50" s="16">
        <f t="shared" si="3"/>
        <v>139.86275200000009</v>
      </c>
      <c r="G50" s="16">
        <f t="shared" si="0"/>
        <v>120.10692239999958</v>
      </c>
      <c r="I50" s="1"/>
      <c r="J50" s="1"/>
      <c r="K50" s="1"/>
    </row>
    <row r="51" spans="1:11" x14ac:dyDescent="0.45">
      <c r="A51" s="53">
        <v>62</v>
      </c>
      <c r="B51" s="53">
        <v>156.47000000000025</v>
      </c>
      <c r="C51" s="53">
        <v>29.329999999999927</v>
      </c>
      <c r="D51" s="16">
        <f t="shared" si="2"/>
        <v>15.488627599999727</v>
      </c>
      <c r="E51" s="16">
        <f t="shared" si="1"/>
        <v>17.873335600000207</v>
      </c>
      <c r="F51" s="16">
        <f t="shared" si="3"/>
        <v>26.824031999999725</v>
      </c>
      <c r="G51" s="16">
        <f t="shared" si="0"/>
        <v>20.287719200000168</v>
      </c>
      <c r="I51" s="1"/>
      <c r="J51" s="1"/>
      <c r="K51" s="1"/>
    </row>
    <row r="52" spans="1:11" x14ac:dyDescent="0.45">
      <c r="A52" s="53">
        <v>-17.799999999999272</v>
      </c>
      <c r="B52" s="53">
        <v>-398.47999999999956</v>
      </c>
      <c r="C52" s="53">
        <v>-40.829999999999927</v>
      </c>
      <c r="D52" s="16">
        <f t="shared" si="2"/>
        <v>45.775142200000346</v>
      </c>
      <c r="E52" s="16">
        <f t="shared" si="1"/>
        <v>-56.311216799999684</v>
      </c>
      <c r="F52" s="16">
        <f t="shared" si="3"/>
        <v>71.023761000000292</v>
      </c>
      <c r="G52" s="16">
        <f t="shared" si="0"/>
        <v>-14.342336799999686</v>
      </c>
      <c r="I52" s="1"/>
      <c r="J52" s="1"/>
      <c r="K52" s="1"/>
    </row>
    <row r="53" spans="1:11" x14ac:dyDescent="0.45">
      <c r="A53" s="53">
        <v>-49.5</v>
      </c>
      <c r="B53" s="53">
        <v>0.21999999999934516</v>
      </c>
      <c r="C53" s="53">
        <v>-59.310000000000173</v>
      </c>
      <c r="D53" s="16">
        <f t="shared" si="2"/>
        <v>40.683219599999497</v>
      </c>
      <c r="E53" s="16">
        <f t="shared" si="1"/>
        <v>-47.332526400000809</v>
      </c>
      <c r="F53" s="16">
        <f t="shared" si="3"/>
        <v>30.104542999999548</v>
      </c>
      <c r="G53" s="16">
        <f t="shared" si="0"/>
        <v>-46.188362800000796</v>
      </c>
      <c r="I53" s="1"/>
      <c r="J53" s="1"/>
      <c r="K53" s="1"/>
    </row>
    <row r="54" spans="1:11" x14ac:dyDescent="0.45">
      <c r="A54" s="53">
        <v>-68.400000000001455</v>
      </c>
      <c r="B54" s="53">
        <v>-346.76999999999953</v>
      </c>
      <c r="C54" s="53">
        <v>-30.199999999999818</v>
      </c>
      <c r="D54" s="16">
        <f t="shared" si="2"/>
        <v>3.7078951000008082</v>
      </c>
      <c r="E54" s="16">
        <f t="shared" si="1"/>
        <v>-35.692115399999452</v>
      </c>
      <c r="F54" s="16">
        <f t="shared" si="3"/>
        <v>31.544356000000707</v>
      </c>
      <c r="G54" s="16">
        <f t="shared" si="0"/>
        <v>-6.0894071999994601</v>
      </c>
      <c r="I54" s="1"/>
      <c r="J54" s="1"/>
      <c r="K54" s="1"/>
    </row>
    <row r="55" spans="1:11" x14ac:dyDescent="0.45">
      <c r="A55" s="53">
        <v>1.4000000000014552</v>
      </c>
      <c r="B55" s="53">
        <v>344.90999999999985</v>
      </c>
      <c r="C55" s="53">
        <v>-41.670000000000073</v>
      </c>
      <c r="D55" s="16">
        <f t="shared" si="2"/>
        <v>-6.1767266000012118</v>
      </c>
      <c r="E55" s="16">
        <f t="shared" si="1"/>
        <v>-35.436565600000222</v>
      </c>
      <c r="F55" s="16">
        <f t="shared" si="3"/>
        <v>-11.971743000000952</v>
      </c>
      <c r="G55" s="16">
        <f t="shared" si="0"/>
        <v>-49.378848400000201</v>
      </c>
      <c r="I55" s="1"/>
      <c r="J55" s="1"/>
      <c r="K55" s="1"/>
    </row>
    <row r="56" spans="1:11" x14ac:dyDescent="0.45">
      <c r="A56" s="53">
        <v>-14.5</v>
      </c>
      <c r="B56" s="53">
        <v>-175.28999999999996</v>
      </c>
      <c r="C56" s="53">
        <v>-54.519999999999982</v>
      </c>
      <c r="D56" s="16">
        <f t="shared" si="2"/>
        <v>66.181253800001357</v>
      </c>
      <c r="E56" s="16">
        <f t="shared" si="1"/>
        <v>-59.536775199999852</v>
      </c>
      <c r="F56" s="16">
        <f t="shared" si="3"/>
        <v>68.995866000001101</v>
      </c>
      <c r="G56" s="16">
        <f t="shared" si="0"/>
        <v>-37.283694399999852</v>
      </c>
      <c r="I56" s="1"/>
      <c r="J56" s="1"/>
      <c r="K56" s="1"/>
    </row>
    <row r="57" spans="1:11" x14ac:dyDescent="0.45">
      <c r="A57" s="53">
        <v>-101.70000000000073</v>
      </c>
      <c r="B57" s="53">
        <v>-369.38000000000011</v>
      </c>
      <c r="C57" s="53">
        <v>-51.029999999999973</v>
      </c>
      <c r="D57" s="16">
        <f t="shared" si="2"/>
        <v>2.4069863999990098</v>
      </c>
      <c r="E57" s="16">
        <f t="shared" si="1"/>
        <v>-29.44406359999968</v>
      </c>
      <c r="F57" s="16">
        <f t="shared" si="3"/>
        <v>-8.8275150000008367</v>
      </c>
      <c r="G57" s="16">
        <f t="shared" si="0"/>
        <v>-23.517450799999693</v>
      </c>
      <c r="I57" s="1"/>
      <c r="J57" s="1"/>
      <c r="K57" s="1"/>
    </row>
    <row r="58" spans="1:11" x14ac:dyDescent="0.45">
      <c r="A58" s="53">
        <v>-75</v>
      </c>
      <c r="B58" s="53">
        <v>286.36000000000013</v>
      </c>
      <c r="C58" s="53">
        <v>-26.550000000000182</v>
      </c>
      <c r="D58" s="16">
        <f t="shared" si="2"/>
        <v>-11.183271399999779</v>
      </c>
      <c r="E58" s="16">
        <f t="shared" si="1"/>
        <v>-64.383674400000729</v>
      </c>
      <c r="F58" s="16">
        <f t="shared" si="3"/>
        <v>2.4030690000001567</v>
      </c>
      <c r="G58" s="16">
        <f t="shared" si="0"/>
        <v>-57.36602640000072</v>
      </c>
      <c r="I58" s="1"/>
      <c r="J58" s="1"/>
      <c r="K58" s="1"/>
    </row>
    <row r="59" spans="1:11" x14ac:dyDescent="0.45">
      <c r="A59" s="53">
        <v>-55</v>
      </c>
      <c r="B59" s="53">
        <v>208.13000000000011</v>
      </c>
      <c r="C59" s="53">
        <v>135.33000000000015</v>
      </c>
      <c r="D59" s="16">
        <f t="shared" si="2"/>
        <v>142.48279079999989</v>
      </c>
      <c r="E59" s="16">
        <f t="shared" si="1"/>
        <v>141.45588080000041</v>
      </c>
      <c r="F59" s="16">
        <f t="shared" si="3"/>
        <v>129.09620499999991</v>
      </c>
      <c r="G59" s="16">
        <f t="shared" si="0"/>
        <v>124.9434928000004</v>
      </c>
      <c r="I59" s="1"/>
      <c r="J59" s="1"/>
      <c r="K59" s="1"/>
    </row>
    <row r="60" spans="1:11" x14ac:dyDescent="0.45">
      <c r="A60" s="53">
        <v>-115.79999999999927</v>
      </c>
      <c r="B60" s="53">
        <v>-240.61000000000013</v>
      </c>
      <c r="C60" s="53">
        <v>55.950000000000045</v>
      </c>
      <c r="D60" s="16">
        <f t="shared" si="2"/>
        <v>82.308282200000505</v>
      </c>
      <c r="E60" s="16">
        <f t="shared" si="1"/>
        <v>54.939823200000156</v>
      </c>
      <c r="F60" s="16">
        <f t="shared" si="3"/>
        <v>110.03468200000044</v>
      </c>
      <c r="G60" s="16">
        <f t="shared" si="0"/>
        <v>87.650296400000187</v>
      </c>
      <c r="I60" s="1"/>
      <c r="J60" s="1"/>
      <c r="K60" s="1"/>
    </row>
    <row r="61" spans="1:11" x14ac:dyDescent="0.45">
      <c r="A61" s="53">
        <v>-11</v>
      </c>
      <c r="B61" s="53">
        <v>237.09999999999991</v>
      </c>
      <c r="C61" s="53">
        <v>103.48000000000002</v>
      </c>
      <c r="D61" s="16">
        <f t="shared" si="2"/>
        <v>131.92613329999958</v>
      </c>
      <c r="E61" s="16">
        <f t="shared" si="1"/>
        <v>119.77892179999989</v>
      </c>
      <c r="F61" s="16">
        <f t="shared" si="3"/>
        <v>93.219624999999652</v>
      </c>
      <c r="G61" s="16">
        <f t="shared" si="0"/>
        <v>84.05496199999989</v>
      </c>
      <c r="I61" s="1"/>
      <c r="J61" s="1"/>
      <c r="K61" s="1"/>
    </row>
    <row r="62" spans="1:11" x14ac:dyDescent="0.45">
      <c r="A62" s="53">
        <v>-36.200000000000728</v>
      </c>
      <c r="B62" s="53">
        <v>-106.44999999999982</v>
      </c>
      <c r="C62" s="53">
        <v>-100.73000000000002</v>
      </c>
      <c r="D62" s="16">
        <f t="shared" si="2"/>
        <v>-12.122594899999999</v>
      </c>
      <c r="E62" s="16">
        <f t="shared" si="1"/>
        <v>-92.416719399999977</v>
      </c>
      <c r="F62" s="16">
        <f t="shared" si="3"/>
        <v>-34.824345000000065</v>
      </c>
      <c r="G62" s="16">
        <f t="shared" si="0"/>
        <v>-97.098142000000038</v>
      </c>
      <c r="I62" s="1"/>
      <c r="J62" s="1"/>
      <c r="K62" s="1"/>
    </row>
    <row r="63" spans="1:11" x14ac:dyDescent="0.45">
      <c r="A63" s="53">
        <v>-296.29999999999927</v>
      </c>
      <c r="B63" s="53">
        <v>139.16000000000031</v>
      </c>
      <c r="C63" s="53">
        <v>140.75</v>
      </c>
      <c r="D63" s="16">
        <f t="shared" si="2"/>
        <v>138.83509730000009</v>
      </c>
      <c r="E63" s="16">
        <f t="shared" si="1"/>
        <v>138.54814779999987</v>
      </c>
      <c r="F63" s="16">
        <f t="shared" si="3"/>
        <v>149.86553100000009</v>
      </c>
      <c r="G63" s="16">
        <f t="shared" si="0"/>
        <v>143.51352159999985</v>
      </c>
      <c r="I63" s="1"/>
      <c r="J63" s="1"/>
      <c r="K63" s="1"/>
    </row>
    <row r="64" spans="1:11" x14ac:dyDescent="0.45">
      <c r="A64" s="53">
        <v>-186</v>
      </c>
      <c r="B64" s="53">
        <v>60.169999999999163</v>
      </c>
      <c r="C64" s="53">
        <v>21.75</v>
      </c>
      <c r="D64" s="16">
        <f t="shared" si="2"/>
        <v>105.68067380000028</v>
      </c>
      <c r="E64" s="16">
        <f t="shared" si="1"/>
        <v>36.366888800000098</v>
      </c>
      <c r="F64" s="16">
        <f t="shared" si="3"/>
        <v>51.808647000000306</v>
      </c>
      <c r="G64" s="16">
        <f t="shared" si="0"/>
        <v>-0.74522279999981622</v>
      </c>
      <c r="I64" s="1"/>
      <c r="J64" s="1"/>
      <c r="K64" s="1"/>
    </row>
    <row r="65" spans="1:11" x14ac:dyDescent="0.45">
      <c r="A65" s="53">
        <v>68.19999999999709</v>
      </c>
      <c r="B65" s="53">
        <v>10.350000000000364</v>
      </c>
      <c r="C65" s="53">
        <v>-27.350000000000136</v>
      </c>
      <c r="D65" s="16">
        <f t="shared" si="2"/>
        <v>31.652945799999625</v>
      </c>
      <c r="E65" s="16">
        <f t="shared" si="1"/>
        <v>-22.800665199999948</v>
      </c>
      <c r="F65" s="16">
        <f t="shared" si="3"/>
        <v>23.107103999999584</v>
      </c>
      <c r="G65" s="16">
        <f t="shared" si="0"/>
        <v>-23.256742000000024</v>
      </c>
      <c r="I65" s="1"/>
      <c r="J65" s="1"/>
      <c r="K65" s="1"/>
    </row>
    <row r="66" spans="1:11" x14ac:dyDescent="0.45">
      <c r="A66" s="53">
        <v>-30.19999999999709</v>
      </c>
      <c r="B66" s="53">
        <v>270.55000000000018</v>
      </c>
      <c r="C66" s="53">
        <v>-42.730000000000018</v>
      </c>
      <c r="D66" s="16">
        <f t="shared" si="2"/>
        <v>30.627650700000025</v>
      </c>
      <c r="E66" s="16">
        <f t="shared" si="1"/>
        <v>33.725720199999678</v>
      </c>
      <c r="F66" s="16">
        <f t="shared" si="3"/>
        <v>-26.11513699999994</v>
      </c>
      <c r="G66" s="16">
        <f t="shared" si="0"/>
        <v>-11.511008000000297</v>
      </c>
      <c r="I66" s="1"/>
      <c r="J66" s="1"/>
      <c r="K66" s="1"/>
    </row>
    <row r="67" spans="1:11" x14ac:dyDescent="0.45">
      <c r="A67" s="53">
        <v>-8</v>
      </c>
      <c r="B67" s="53">
        <v>138.57999999999993</v>
      </c>
      <c r="C67" s="53">
        <v>44.620000000000118</v>
      </c>
      <c r="D67" s="16">
        <f t="shared" si="2"/>
        <v>-0.21418310000018437</v>
      </c>
      <c r="E67" s="16">
        <f t="shared" si="1"/>
        <v>-4.5943505999997285</v>
      </c>
      <c r="F67" s="16">
        <f t="shared" si="3"/>
        <v>36.756764999999852</v>
      </c>
      <c r="G67" s="16">
        <f t="shared" si="0"/>
        <v>17.352990800000249</v>
      </c>
      <c r="I67" s="1"/>
      <c r="J67" s="1"/>
      <c r="K67" s="1"/>
    </row>
    <row r="68" spans="1:11" x14ac:dyDescent="0.45">
      <c r="A68" s="53">
        <v>-13.900000000001455</v>
      </c>
      <c r="B68" s="53">
        <v>-81.300000000000182</v>
      </c>
      <c r="C68" s="53">
        <v>-24.450000000000045</v>
      </c>
      <c r="D68" s="16">
        <f t="shared" si="2"/>
        <v>77.120739900000444</v>
      </c>
      <c r="E68" s="16">
        <f t="shared" si="1"/>
        <v>-55.800162599999517</v>
      </c>
      <c r="F68" s="16">
        <f t="shared" si="3"/>
        <v>47.023205000000353</v>
      </c>
      <c r="G68" s="16">
        <f t="shared" si="0"/>
        <v>-65.128879999999498</v>
      </c>
      <c r="I68" s="1"/>
      <c r="J68" s="1"/>
      <c r="K68" s="1"/>
    </row>
    <row r="69" spans="1:11" x14ac:dyDescent="0.45">
      <c r="A69" s="53">
        <v>-29.700000000000728</v>
      </c>
      <c r="B69" s="53">
        <v>-219.60999999999967</v>
      </c>
      <c r="C69" s="53">
        <v>-91.430000000000064</v>
      </c>
      <c r="D69" s="16">
        <f t="shared" si="2"/>
        <v>-37.258707200000011</v>
      </c>
      <c r="E69" s="16">
        <f t="shared" si="1"/>
        <v>-42.366641200001112</v>
      </c>
      <c r="F69" s="16">
        <f t="shared" si="3"/>
        <v>-70.916968000000054</v>
      </c>
      <c r="G69" s="16">
        <f t="shared" si="0"/>
        <v>-59.577359600001138</v>
      </c>
      <c r="I69" s="1"/>
      <c r="J69" s="1"/>
      <c r="K69" s="1"/>
    </row>
    <row r="70" spans="1:11" x14ac:dyDescent="0.45">
      <c r="A70" s="53">
        <v>-14.899999999997817</v>
      </c>
      <c r="B70" s="53">
        <v>-94.25</v>
      </c>
      <c r="C70" s="53">
        <v>134.3900000000001</v>
      </c>
      <c r="D70" s="16">
        <f t="shared" si="2"/>
        <v>111.40004139999928</v>
      </c>
      <c r="E70" s="16">
        <f t="shared" si="1"/>
        <v>106.16954640000063</v>
      </c>
      <c r="F70" s="16">
        <f t="shared" si="3"/>
        <v>149.37945399999944</v>
      </c>
      <c r="G70" s="16">
        <f t="shared" si="0"/>
        <v>136.51672600000063</v>
      </c>
      <c r="I70" s="1"/>
      <c r="J70" s="1"/>
      <c r="K70" s="1"/>
    </row>
    <row r="71" spans="1:11" x14ac:dyDescent="0.45">
      <c r="A71" s="53">
        <v>13.5</v>
      </c>
      <c r="B71" s="53">
        <v>374</v>
      </c>
      <c r="C71" s="53">
        <v>53.049999999999955</v>
      </c>
      <c r="D71" s="16">
        <f t="shared" si="2"/>
        <v>72.463669700000381</v>
      </c>
      <c r="E71" s="16">
        <f t="shared" si="1"/>
        <v>36.539402200000211</v>
      </c>
      <c r="F71" s="16">
        <f t="shared" si="3"/>
        <v>72.9393510000003</v>
      </c>
      <c r="G71" s="16">
        <f t="shared" ref="G71:G80" si="4">C71-0.18566*A68+0.17862*A67-0.06404*B71</f>
        <v>30.250754000000224</v>
      </c>
      <c r="I71" s="1"/>
      <c r="J71" s="1"/>
      <c r="K71" s="1"/>
    </row>
    <row r="72" spans="1:11" x14ac:dyDescent="0.45">
      <c r="A72" s="53">
        <v>31.399999999997817</v>
      </c>
      <c r="B72" s="53">
        <v>202.02999999999975</v>
      </c>
      <c r="C72" s="53">
        <v>26.840000000000146</v>
      </c>
      <c r="D72" s="16">
        <f t="shared" si="2"/>
        <v>76.50337310000053</v>
      </c>
      <c r="E72" s="16">
        <f t="shared" si="1"/>
        <v>50.024110600000029</v>
      </c>
      <c r="F72" s="16">
        <f t="shared" si="3"/>
        <v>36.418678000000448</v>
      </c>
      <c r="G72" s="16">
        <f t="shared" si="4"/>
        <v>16.933282800000036</v>
      </c>
      <c r="I72" s="1"/>
      <c r="J72" s="1"/>
      <c r="K72" s="1"/>
    </row>
    <row r="73" spans="1:11" x14ac:dyDescent="0.45">
      <c r="A73" s="53">
        <v>65.900000000001455</v>
      </c>
      <c r="B73" s="53">
        <v>75.819999999999709</v>
      </c>
      <c r="C73" s="53">
        <v>-25.400000000000091</v>
      </c>
      <c r="D73" s="16">
        <f t="shared" si="2"/>
        <v>-25.947060000000686</v>
      </c>
      <c r="E73" s="16">
        <f t="shared" si="1"/>
        <v>-48.117612000000612</v>
      </c>
      <c r="F73" s="16">
        <f t="shared" si="3"/>
        <v>-4.8714730000005737</v>
      </c>
      <c r="G73" s="16">
        <f t="shared" si="4"/>
        <v>-32.794192800000602</v>
      </c>
      <c r="I73" s="1"/>
      <c r="J73" s="1"/>
      <c r="K73" s="1"/>
    </row>
    <row r="74" spans="1:11" x14ac:dyDescent="0.45">
      <c r="A74" s="53">
        <v>83.200000000000728</v>
      </c>
      <c r="B74" s="53">
        <v>250.6200000000008</v>
      </c>
      <c r="C74" s="53">
        <v>6.0499999999999545</v>
      </c>
      <c r="D74" s="16">
        <f t="shared" si="2"/>
        <v>45.385055499999901</v>
      </c>
      <c r="E74" s="16">
        <f t="shared" si="1"/>
        <v>9.8857010000003349</v>
      </c>
      <c r="F74" s="16">
        <f t="shared" si="3"/>
        <v>17.750091999999896</v>
      </c>
      <c r="G74" s="16">
        <f t="shared" si="4"/>
        <v>-15.167552799999706</v>
      </c>
      <c r="I74" s="1"/>
      <c r="J74" s="1"/>
      <c r="K74" s="1"/>
    </row>
    <row r="75" spans="1:11" x14ac:dyDescent="0.45">
      <c r="A75" s="53">
        <v>46.299999999999272</v>
      </c>
      <c r="B75" s="53">
        <v>158.07999999999993</v>
      </c>
      <c r="C75" s="53">
        <v>189.1400000000001</v>
      </c>
      <c r="D75" s="16">
        <f t="shared" si="2"/>
        <v>184.17808840000083</v>
      </c>
      <c r="E75" s="16">
        <f t="shared" si="1"/>
        <v>174.14335440000045</v>
      </c>
      <c r="F75" s="16">
        <f t="shared" si="3"/>
        <v>192.32922900000074</v>
      </c>
      <c r="G75" s="16">
        <f t="shared" si="4"/>
        <v>175.59820280000051</v>
      </c>
      <c r="I75" s="1"/>
      <c r="J75" s="1"/>
      <c r="K75" s="1"/>
    </row>
    <row r="76" spans="1:11" x14ac:dyDescent="0.45">
      <c r="A76" s="53">
        <v>-14.400000000001455</v>
      </c>
      <c r="B76" s="53">
        <v>-218.66000000000076</v>
      </c>
      <c r="C76" s="53">
        <v>53.190000000000055</v>
      </c>
      <c r="D76" s="16">
        <f t="shared" si="2"/>
        <v>70.081631299999387</v>
      </c>
      <c r="E76" s="16">
        <f t="shared" si="1"/>
        <v>41.858595799999463</v>
      </c>
      <c r="F76" s="16">
        <f t="shared" si="3"/>
        <v>84.149846999999468</v>
      </c>
      <c r="G76" s="16">
        <f t="shared" si="4"/>
        <v>60.566660399999442</v>
      </c>
      <c r="I76" s="1"/>
      <c r="J76" s="1"/>
      <c r="K76" s="1"/>
    </row>
    <row r="77" spans="1:11" x14ac:dyDescent="0.45">
      <c r="A77" s="53">
        <v>61.100000000002183</v>
      </c>
      <c r="B77" s="53">
        <v>241.82000000000062</v>
      </c>
      <c r="C77" s="53">
        <v>41.399999999999636</v>
      </c>
      <c r="D77" s="16">
        <f t="shared" si="2"/>
        <v>36.408807500000151</v>
      </c>
      <c r="E77" s="16">
        <f t="shared" si="1"/>
        <v>37.405098999999737</v>
      </c>
      <c r="F77" s="16">
        <f t="shared" si="3"/>
        <v>27.276500000000073</v>
      </c>
      <c r="G77" s="16">
        <f t="shared" si="4"/>
        <v>22.237993199999721</v>
      </c>
      <c r="I77" s="1"/>
      <c r="J77" s="1"/>
      <c r="K77" s="1"/>
    </row>
    <row r="78" spans="1:11" x14ac:dyDescent="0.45">
      <c r="A78" s="53">
        <v>47.799999999999272</v>
      </c>
      <c r="B78" s="53">
        <v>182.96999999999935</v>
      </c>
      <c r="C78" s="53">
        <v>-1.2599999999997635</v>
      </c>
      <c r="D78" s="16">
        <f t="shared" si="2"/>
        <v>-27.694281499999953</v>
      </c>
      <c r="E78" s="16">
        <f t="shared" si="1"/>
        <v>-17.396098999999513</v>
      </c>
      <c r="F78" s="16">
        <f t="shared" si="3"/>
        <v>-5.5691699999998665</v>
      </c>
      <c r="G78" s="16">
        <f t="shared" si="4"/>
        <v>-6.7122727999994556</v>
      </c>
      <c r="I78" s="1"/>
      <c r="J78" s="1"/>
      <c r="K78" s="1"/>
    </row>
    <row r="79" spans="1:11" x14ac:dyDescent="0.45">
      <c r="A79" s="53">
        <v>26.700000000000728</v>
      </c>
      <c r="B79" s="53">
        <v>61.820000000000618</v>
      </c>
      <c r="C79" s="53">
        <v>122.38999999999987</v>
      </c>
      <c r="D79" s="16">
        <f t="shared" si="2"/>
        <v>99.914111199999724</v>
      </c>
      <c r="E79" s="16">
        <f t="shared" ref="E79:E80" si="5">C79-0.18138*A76+0.18164*A75-0.08446*B67</f>
        <v>121.7073372</v>
      </c>
      <c r="F79" s="16">
        <f t="shared" si="3"/>
        <v>113.94021299999972</v>
      </c>
      <c r="G79" s="16">
        <f t="shared" si="4"/>
        <v>129.37465719999997</v>
      </c>
      <c r="I79" s="1"/>
      <c r="J79" s="1"/>
      <c r="K79" s="1"/>
    </row>
    <row r="80" spans="1:11" x14ac:dyDescent="0.45">
      <c r="A80" s="53">
        <v>91.399999999997817</v>
      </c>
      <c r="B80" s="53">
        <v>126.09999999999945</v>
      </c>
      <c r="C80" s="53">
        <v>54.930000000000291</v>
      </c>
      <c r="D80" s="16">
        <f t="shared" si="2"/>
        <v>71.106606000000951</v>
      </c>
      <c r="E80" s="16">
        <f t="shared" si="5"/>
        <v>48.098663999999644</v>
      </c>
      <c r="F80" s="16">
        <f t="shared" si="3"/>
        <v>53.907096000000834</v>
      </c>
      <c r="G80" s="16">
        <f t="shared" si="4"/>
        <v>32.938601999999662</v>
      </c>
      <c r="I80" s="1"/>
      <c r="J80" s="1"/>
      <c r="K80" s="1"/>
    </row>
    <row r="81" spans="4:11" x14ac:dyDescent="0.45">
      <c r="D81" s="96">
        <f>AVERAGE(D2:D80)</f>
        <v>24.326797262025323</v>
      </c>
      <c r="E81" s="96">
        <f t="shared" ref="E81:G81" si="6">AVERAGE(E2:E80)</f>
        <v>13.075044139240502</v>
      </c>
      <c r="F81" s="96">
        <f t="shared" si="6"/>
        <v>23.050163354430385</v>
      </c>
      <c r="G81" s="96">
        <f t="shared" si="6"/>
        <v>12.211311756962024</v>
      </c>
      <c r="I81" s="1"/>
      <c r="J81" s="1"/>
      <c r="K8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97F8-0FFF-42F9-BBAD-1453C8F66169}">
  <dimension ref="A1:F86"/>
  <sheetViews>
    <sheetView topLeftCell="A68" workbookViewId="0">
      <selection activeCell="D21" sqref="D21"/>
    </sheetView>
  </sheetViews>
  <sheetFormatPr defaultRowHeight="14.25" x14ac:dyDescent="0.45"/>
  <cols>
    <col min="1" max="1" width="7" customWidth="1"/>
    <col min="2" max="4" width="18" customWidth="1"/>
    <col min="5" max="5" width="24" customWidth="1"/>
    <col min="6" max="6" width="22" customWidth="1"/>
  </cols>
  <sheetData>
    <row r="1" spans="1:6" ht="16.899999999999999" x14ac:dyDescent="0.45">
      <c r="A1" s="134" t="s">
        <v>139</v>
      </c>
      <c r="B1" s="134"/>
      <c r="C1" s="134"/>
      <c r="D1" s="134"/>
      <c r="E1" s="134"/>
      <c r="F1" s="134"/>
    </row>
    <row r="2" spans="1:6" ht="15" x14ac:dyDescent="0.45">
      <c r="A2" s="135" t="s">
        <v>63</v>
      </c>
      <c r="B2" s="135"/>
      <c r="C2" s="135"/>
      <c r="D2" s="135"/>
      <c r="E2" s="135"/>
      <c r="F2" s="135"/>
    </row>
    <row r="3" spans="1:6" ht="26.25" x14ac:dyDescent="0.45">
      <c r="A3" s="98" t="s">
        <v>64</v>
      </c>
      <c r="B3" s="98" t="s">
        <v>65</v>
      </c>
      <c r="C3" s="98" t="s">
        <v>66</v>
      </c>
      <c r="D3" s="98" t="s">
        <v>67</v>
      </c>
      <c r="E3" s="98" t="s">
        <v>68</v>
      </c>
      <c r="F3" s="98" t="s">
        <v>69</v>
      </c>
    </row>
    <row r="4" spans="1:6" x14ac:dyDescent="0.45">
      <c r="A4" s="99">
        <v>1</v>
      </c>
      <c r="B4" s="100">
        <v>-109.98</v>
      </c>
      <c r="C4" s="100">
        <v>0</v>
      </c>
      <c r="D4" s="101" t="s">
        <v>70</v>
      </c>
      <c r="E4" s="101" t="s">
        <v>70</v>
      </c>
      <c r="F4" s="101" t="s">
        <v>70</v>
      </c>
    </row>
    <row r="5" spans="1:6" x14ac:dyDescent="0.45">
      <c r="A5" s="99">
        <v>2</v>
      </c>
      <c r="B5" s="100">
        <v>-72.959999999999994</v>
      </c>
      <c r="C5" s="100">
        <v>0</v>
      </c>
      <c r="D5" s="101" t="s">
        <v>70</v>
      </c>
      <c r="E5" s="101" t="s">
        <v>70</v>
      </c>
      <c r="F5" s="101" t="s">
        <v>70</v>
      </c>
    </row>
    <row r="6" spans="1:6" x14ac:dyDescent="0.45">
      <c r="A6" s="99">
        <v>3</v>
      </c>
      <c r="B6" s="100">
        <v>7.18</v>
      </c>
      <c r="C6" s="100">
        <v>0</v>
      </c>
      <c r="D6" s="101" t="s">
        <v>70</v>
      </c>
      <c r="E6" s="101" t="s">
        <v>70</v>
      </c>
      <c r="F6" s="101" t="s">
        <v>70</v>
      </c>
    </row>
    <row r="7" spans="1:6" x14ac:dyDescent="0.45">
      <c r="A7" s="99">
        <v>4</v>
      </c>
      <c r="B7" s="100">
        <v>57.22</v>
      </c>
      <c r="C7" s="100">
        <v>0</v>
      </c>
      <c r="D7" s="101" t="s">
        <v>70</v>
      </c>
      <c r="E7" s="101" t="s">
        <v>70</v>
      </c>
      <c r="F7" s="101" t="s">
        <v>70</v>
      </c>
    </row>
    <row r="8" spans="1:6" x14ac:dyDescent="0.45">
      <c r="A8" s="99">
        <v>5</v>
      </c>
      <c r="B8" s="100">
        <v>13.1</v>
      </c>
      <c r="C8" s="100">
        <v>0</v>
      </c>
      <c r="D8" s="101" t="s">
        <v>70</v>
      </c>
      <c r="E8" s="101" t="s">
        <v>70</v>
      </c>
      <c r="F8" s="101" t="s">
        <v>70</v>
      </c>
    </row>
    <row r="9" spans="1:6" x14ac:dyDescent="0.45">
      <c r="A9" s="99">
        <v>6</v>
      </c>
      <c r="B9" s="100">
        <v>97.92</v>
      </c>
      <c r="C9" s="100">
        <v>0</v>
      </c>
      <c r="D9" s="101" t="s">
        <v>70</v>
      </c>
      <c r="E9" s="101" t="s">
        <v>70</v>
      </c>
      <c r="F9" s="101" t="s">
        <v>70</v>
      </c>
    </row>
    <row r="10" spans="1:6" x14ac:dyDescent="0.45">
      <c r="A10" s="99">
        <v>7</v>
      </c>
      <c r="B10" s="100">
        <v>85.23</v>
      </c>
      <c r="C10" s="100">
        <v>0</v>
      </c>
      <c r="D10" s="101" t="s">
        <v>70</v>
      </c>
      <c r="E10" s="101" t="s">
        <v>70</v>
      </c>
      <c r="F10" s="101" t="s">
        <v>70</v>
      </c>
    </row>
    <row r="11" spans="1:6" x14ac:dyDescent="0.45">
      <c r="A11" s="99">
        <v>8</v>
      </c>
      <c r="B11" s="100">
        <v>12.46</v>
      </c>
      <c r="C11" s="100">
        <v>12.46</v>
      </c>
      <c r="D11" s="102">
        <f t="shared" ref="D11:D74" si="0">C4</f>
        <v>0</v>
      </c>
      <c r="E11" s="102">
        <f t="shared" ref="E11:E74" si="1">B11*D11</f>
        <v>0</v>
      </c>
      <c r="F11" s="102">
        <f t="shared" ref="F11:F74" si="2">D11^2</f>
        <v>0</v>
      </c>
    </row>
    <row r="12" spans="1:6" x14ac:dyDescent="0.45">
      <c r="A12" s="99">
        <v>9</v>
      </c>
      <c r="B12" s="100">
        <v>-202.24</v>
      </c>
      <c r="C12" s="100">
        <v>-202.24</v>
      </c>
      <c r="D12" s="102">
        <f t="shared" si="0"/>
        <v>0</v>
      </c>
      <c r="E12" s="102">
        <f t="shared" si="1"/>
        <v>0</v>
      </c>
      <c r="F12" s="102">
        <f t="shared" si="2"/>
        <v>0</v>
      </c>
    </row>
    <row r="13" spans="1:6" x14ac:dyDescent="0.45">
      <c r="A13" s="99">
        <v>10</v>
      </c>
      <c r="B13" s="100">
        <v>48.43</v>
      </c>
      <c r="C13" s="100">
        <v>48.43</v>
      </c>
      <c r="D13" s="102">
        <f t="shared" si="0"/>
        <v>0</v>
      </c>
      <c r="E13" s="102">
        <f t="shared" si="1"/>
        <v>0</v>
      </c>
      <c r="F13" s="102">
        <f t="shared" si="2"/>
        <v>0</v>
      </c>
    </row>
    <row r="14" spans="1:6" x14ac:dyDescent="0.45">
      <c r="A14" s="99">
        <v>11</v>
      </c>
      <c r="B14" s="100">
        <v>-253.32</v>
      </c>
      <c r="C14" s="100">
        <v>-253.32</v>
      </c>
      <c r="D14" s="102">
        <f t="shared" si="0"/>
        <v>0</v>
      </c>
      <c r="E14" s="102">
        <f t="shared" si="1"/>
        <v>0</v>
      </c>
      <c r="F14" s="102">
        <f t="shared" si="2"/>
        <v>0</v>
      </c>
    </row>
    <row r="15" spans="1:6" x14ac:dyDescent="0.45">
      <c r="A15" s="99">
        <v>12</v>
      </c>
      <c r="B15" s="100">
        <v>197.25</v>
      </c>
      <c r="C15" s="100">
        <v>197.25</v>
      </c>
      <c r="D15" s="102">
        <f t="shared" si="0"/>
        <v>0</v>
      </c>
      <c r="E15" s="102">
        <f t="shared" si="1"/>
        <v>0</v>
      </c>
      <c r="F15" s="102">
        <f t="shared" si="2"/>
        <v>0</v>
      </c>
    </row>
    <row r="16" spans="1:6" x14ac:dyDescent="0.45">
      <c r="A16" s="99">
        <v>13</v>
      </c>
      <c r="B16" s="100">
        <v>80.39</v>
      </c>
      <c r="C16" s="100">
        <v>80.39</v>
      </c>
      <c r="D16" s="102">
        <f t="shared" si="0"/>
        <v>0</v>
      </c>
      <c r="E16" s="102">
        <f t="shared" si="1"/>
        <v>0</v>
      </c>
      <c r="F16" s="102">
        <f t="shared" si="2"/>
        <v>0</v>
      </c>
    </row>
    <row r="17" spans="1:6" x14ac:dyDescent="0.45">
      <c r="A17" s="99">
        <v>14</v>
      </c>
      <c r="B17" s="100">
        <v>49.91</v>
      </c>
      <c r="C17" s="100">
        <v>49.91</v>
      </c>
      <c r="D17" s="102">
        <f t="shared" si="0"/>
        <v>0</v>
      </c>
      <c r="E17" s="102">
        <f t="shared" si="1"/>
        <v>0</v>
      </c>
      <c r="F17" s="102">
        <f t="shared" si="2"/>
        <v>0</v>
      </c>
    </row>
    <row r="18" spans="1:6" x14ac:dyDescent="0.45">
      <c r="A18" s="99">
        <v>15</v>
      </c>
      <c r="B18" s="100">
        <v>111.43</v>
      </c>
      <c r="C18" s="100">
        <v>107.4553846</v>
      </c>
      <c r="D18" s="102">
        <f t="shared" si="0"/>
        <v>12.46</v>
      </c>
      <c r="E18" s="102">
        <f t="shared" si="1"/>
        <v>1388.4178000000002</v>
      </c>
      <c r="F18" s="102">
        <f t="shared" si="2"/>
        <v>155.25160000000002</v>
      </c>
    </row>
    <row r="19" spans="1:6" x14ac:dyDescent="0.45">
      <c r="A19" s="99">
        <v>16</v>
      </c>
      <c r="B19" s="100">
        <v>-193.77</v>
      </c>
      <c r="C19" s="100">
        <v>-129.25746240000001</v>
      </c>
      <c r="D19" s="102">
        <f t="shared" si="0"/>
        <v>-202.24</v>
      </c>
      <c r="E19" s="102">
        <f t="shared" si="1"/>
        <v>39188.044800000003</v>
      </c>
      <c r="F19" s="102">
        <f t="shared" si="2"/>
        <v>40901.017600000006</v>
      </c>
    </row>
    <row r="20" spans="1:6" x14ac:dyDescent="0.45">
      <c r="A20" s="99">
        <v>17</v>
      </c>
      <c r="B20" s="100">
        <v>189.7</v>
      </c>
      <c r="C20" s="100">
        <v>174.25131429999999</v>
      </c>
      <c r="D20" s="102">
        <f t="shared" si="0"/>
        <v>48.43</v>
      </c>
      <c r="E20" s="102">
        <f t="shared" si="1"/>
        <v>9187.1710000000003</v>
      </c>
      <c r="F20" s="102">
        <f t="shared" si="2"/>
        <v>2345.4648999999999</v>
      </c>
    </row>
    <row r="21" spans="1:6" x14ac:dyDescent="0.45">
      <c r="A21" s="99">
        <v>18</v>
      </c>
      <c r="B21" s="100">
        <v>38.619999999999997</v>
      </c>
      <c r="C21" s="100">
        <v>119.4265468</v>
      </c>
      <c r="D21" s="102">
        <f t="shared" si="0"/>
        <v>-253.32</v>
      </c>
      <c r="E21" s="102">
        <f t="shared" si="1"/>
        <v>-9783.2183999999997</v>
      </c>
      <c r="F21" s="102">
        <f t="shared" si="2"/>
        <v>64171.022399999994</v>
      </c>
    </row>
    <row r="22" spans="1:6" x14ac:dyDescent="0.45">
      <c r="A22" s="99">
        <v>19</v>
      </c>
      <c r="B22" s="100">
        <v>-53.92</v>
      </c>
      <c r="C22" s="100">
        <v>-116.8407775</v>
      </c>
      <c r="D22" s="102">
        <f t="shared" si="0"/>
        <v>197.25</v>
      </c>
      <c r="E22" s="102">
        <f t="shared" si="1"/>
        <v>-10635.720000000001</v>
      </c>
      <c r="F22" s="102">
        <f t="shared" si="2"/>
        <v>38907.5625</v>
      </c>
    </row>
    <row r="23" spans="1:6" x14ac:dyDescent="0.45">
      <c r="A23" s="99">
        <v>20</v>
      </c>
      <c r="B23" s="100">
        <v>50.28</v>
      </c>
      <c r="C23" s="100">
        <v>24.636393900000002</v>
      </c>
      <c r="D23" s="102">
        <f t="shared" si="0"/>
        <v>80.39</v>
      </c>
      <c r="E23" s="102">
        <f t="shared" si="1"/>
        <v>4042.0092</v>
      </c>
      <c r="F23" s="102">
        <f t="shared" si="2"/>
        <v>6462.5520999999999</v>
      </c>
    </row>
    <row r="24" spans="1:6" x14ac:dyDescent="0.45">
      <c r="A24" s="99">
        <v>21</v>
      </c>
      <c r="B24" s="100">
        <v>60.82</v>
      </c>
      <c r="C24" s="100">
        <v>44.8992091</v>
      </c>
      <c r="D24" s="102">
        <f t="shared" si="0"/>
        <v>49.91</v>
      </c>
      <c r="E24" s="102">
        <f t="shared" si="1"/>
        <v>3035.5261999999998</v>
      </c>
      <c r="F24" s="102">
        <f t="shared" si="2"/>
        <v>2491.0080999999996</v>
      </c>
    </row>
    <row r="25" spans="1:6" x14ac:dyDescent="0.45">
      <c r="A25" s="99">
        <v>22</v>
      </c>
      <c r="B25" s="100">
        <v>103.42</v>
      </c>
      <c r="C25" s="100">
        <v>69.142806870000001</v>
      </c>
      <c r="D25" s="102">
        <f t="shared" si="0"/>
        <v>107.4553846</v>
      </c>
      <c r="E25" s="102">
        <f t="shared" si="1"/>
        <v>11113.035875332</v>
      </c>
      <c r="F25" s="102">
        <f t="shared" si="2"/>
        <v>11546.659679533917</v>
      </c>
    </row>
    <row r="26" spans="1:6" x14ac:dyDescent="0.45">
      <c r="A26" s="99">
        <v>23</v>
      </c>
      <c r="B26" s="100">
        <v>89.8</v>
      </c>
      <c r="C26" s="100">
        <v>131.0318379</v>
      </c>
      <c r="D26" s="102">
        <f t="shared" si="0"/>
        <v>-129.25746240000001</v>
      </c>
      <c r="E26" s="102">
        <f t="shared" si="1"/>
        <v>-11607.320123520001</v>
      </c>
      <c r="F26" s="102">
        <f t="shared" si="2"/>
        <v>16707.491586087417</v>
      </c>
    </row>
    <row r="27" spans="1:6" x14ac:dyDescent="0.45">
      <c r="A27" s="99">
        <v>24</v>
      </c>
      <c r="B27" s="100">
        <v>-5.26</v>
      </c>
      <c r="C27" s="100">
        <v>-60.844426749999997</v>
      </c>
      <c r="D27" s="102">
        <f t="shared" si="0"/>
        <v>174.25131429999999</v>
      </c>
      <c r="E27" s="102">
        <f t="shared" si="1"/>
        <v>-916.56191321799986</v>
      </c>
      <c r="F27" s="102">
        <f t="shared" si="2"/>
        <v>30363.520535277381</v>
      </c>
    </row>
    <row r="28" spans="1:6" x14ac:dyDescent="0.45">
      <c r="A28" s="99">
        <v>25</v>
      </c>
      <c r="B28" s="100">
        <v>-271.3</v>
      </c>
      <c r="C28" s="100">
        <v>-309.39587419999998</v>
      </c>
      <c r="D28" s="102">
        <f t="shared" si="0"/>
        <v>119.4265468</v>
      </c>
      <c r="E28" s="102">
        <f t="shared" si="1"/>
        <v>-32400.422146839999</v>
      </c>
      <c r="F28" s="102">
        <f t="shared" si="2"/>
        <v>14262.700080572589</v>
      </c>
    </row>
    <row r="29" spans="1:6" x14ac:dyDescent="0.45">
      <c r="A29" s="99">
        <v>26</v>
      </c>
      <c r="B29" s="100">
        <v>-369.63</v>
      </c>
      <c r="C29" s="100">
        <v>-332.3589604</v>
      </c>
      <c r="D29" s="102">
        <f t="shared" si="0"/>
        <v>-116.8407775</v>
      </c>
      <c r="E29" s="102">
        <f t="shared" si="1"/>
        <v>43187.856587324997</v>
      </c>
      <c r="F29" s="102">
        <f t="shared" si="2"/>
        <v>13651.767286804507</v>
      </c>
    </row>
    <row r="30" spans="1:6" x14ac:dyDescent="0.45">
      <c r="A30" s="99">
        <v>27</v>
      </c>
      <c r="B30" s="100">
        <v>327.84</v>
      </c>
      <c r="C30" s="100">
        <v>319.98123670000001</v>
      </c>
      <c r="D30" s="102">
        <f t="shared" si="0"/>
        <v>24.636393900000002</v>
      </c>
      <c r="E30" s="102">
        <f t="shared" si="1"/>
        <v>8076.795376176</v>
      </c>
      <c r="F30" s="102">
        <f t="shared" si="2"/>
        <v>606.95190439595729</v>
      </c>
    </row>
    <row r="31" spans="1:6" x14ac:dyDescent="0.45">
      <c r="A31" s="99">
        <v>28</v>
      </c>
      <c r="B31" s="100">
        <v>131.88</v>
      </c>
      <c r="C31" s="100">
        <v>117.5576013</v>
      </c>
      <c r="D31" s="102">
        <f t="shared" si="0"/>
        <v>44.8992091</v>
      </c>
      <c r="E31" s="102">
        <f t="shared" si="1"/>
        <v>5921.3076961079996</v>
      </c>
      <c r="F31" s="102">
        <f t="shared" si="2"/>
        <v>2015.9389778055229</v>
      </c>
    </row>
    <row r="32" spans="1:6" x14ac:dyDescent="0.45">
      <c r="A32" s="99">
        <v>29</v>
      </c>
      <c r="B32" s="100">
        <v>55.98</v>
      </c>
      <c r="C32" s="100">
        <v>33.92413604</v>
      </c>
      <c r="D32" s="102">
        <f t="shared" si="0"/>
        <v>69.142806870000001</v>
      </c>
      <c r="E32" s="102">
        <f t="shared" si="1"/>
        <v>3870.6143285825997</v>
      </c>
      <c r="F32" s="102">
        <f t="shared" si="2"/>
        <v>4780.7277418621197</v>
      </c>
    </row>
    <row r="33" spans="1:6" x14ac:dyDescent="0.45">
      <c r="A33" s="99">
        <v>30</v>
      </c>
      <c r="B33" s="100">
        <v>170.83</v>
      </c>
      <c r="C33" s="100">
        <v>129.03215399999999</v>
      </c>
      <c r="D33" s="102">
        <f t="shared" si="0"/>
        <v>131.0318379</v>
      </c>
      <c r="E33" s="102">
        <f t="shared" si="1"/>
        <v>22384.168868457</v>
      </c>
      <c r="F33" s="102">
        <f t="shared" si="2"/>
        <v>17169.342543451876</v>
      </c>
    </row>
    <row r="34" spans="1:6" x14ac:dyDescent="0.45">
      <c r="A34" s="99">
        <v>31</v>
      </c>
      <c r="B34" s="100">
        <v>229.19</v>
      </c>
      <c r="C34" s="100">
        <v>248.59876370000001</v>
      </c>
      <c r="D34" s="102">
        <f t="shared" si="0"/>
        <v>-60.844426749999997</v>
      </c>
      <c r="E34" s="102">
        <f t="shared" si="1"/>
        <v>-13944.9341668325</v>
      </c>
      <c r="F34" s="102">
        <f t="shared" si="2"/>
        <v>3702.0442665361152</v>
      </c>
    </row>
    <row r="35" spans="1:6" x14ac:dyDescent="0.45">
      <c r="A35" s="99">
        <v>32</v>
      </c>
      <c r="B35" s="100">
        <v>-137.31</v>
      </c>
      <c r="C35" s="100">
        <v>-38.615810099999997</v>
      </c>
      <c r="D35" s="102">
        <f t="shared" si="0"/>
        <v>-309.39587419999998</v>
      </c>
      <c r="E35" s="102">
        <f t="shared" si="1"/>
        <v>42483.147486401998</v>
      </c>
      <c r="F35" s="102">
        <f t="shared" si="2"/>
        <v>95725.806971982209</v>
      </c>
    </row>
    <row r="36" spans="1:6" x14ac:dyDescent="0.45">
      <c r="A36" s="99">
        <v>33</v>
      </c>
      <c r="B36" s="100">
        <v>-93.04</v>
      </c>
      <c r="C36" s="100">
        <v>12.97918477</v>
      </c>
      <c r="D36" s="102">
        <f t="shared" si="0"/>
        <v>-332.3589604</v>
      </c>
      <c r="E36" s="102">
        <f t="shared" si="1"/>
        <v>30922.677675616003</v>
      </c>
      <c r="F36" s="102">
        <f t="shared" si="2"/>
        <v>110462.47855816878</v>
      </c>
    </row>
    <row r="37" spans="1:6" x14ac:dyDescent="0.45">
      <c r="A37" s="99">
        <v>34</v>
      </c>
      <c r="B37" s="100">
        <v>351.67</v>
      </c>
      <c r="C37" s="100">
        <v>249.59918529999999</v>
      </c>
      <c r="D37" s="102">
        <f t="shared" si="0"/>
        <v>319.98123670000001</v>
      </c>
      <c r="E37" s="102">
        <f t="shared" si="1"/>
        <v>112527.80151028901</v>
      </c>
      <c r="F37" s="102">
        <f t="shared" si="2"/>
        <v>102387.99184006144</v>
      </c>
    </row>
    <row r="38" spans="1:6" x14ac:dyDescent="0.45">
      <c r="A38" s="99">
        <v>35</v>
      </c>
      <c r="B38" s="100">
        <v>134.44</v>
      </c>
      <c r="C38" s="100">
        <v>96.94030076</v>
      </c>
      <c r="D38" s="102">
        <f t="shared" si="0"/>
        <v>117.5576013</v>
      </c>
      <c r="E38" s="102">
        <f t="shared" si="1"/>
        <v>15804.443918772</v>
      </c>
      <c r="F38" s="102">
        <f t="shared" si="2"/>
        <v>13819.789623409762</v>
      </c>
    </row>
    <row r="39" spans="1:6" x14ac:dyDescent="0.45">
      <c r="A39" s="99">
        <v>36</v>
      </c>
      <c r="B39" s="100">
        <v>-41.83</v>
      </c>
      <c r="C39" s="100">
        <v>-52.651460149999998</v>
      </c>
      <c r="D39" s="102">
        <f t="shared" si="0"/>
        <v>33.92413604</v>
      </c>
      <c r="E39" s="102">
        <f t="shared" si="1"/>
        <v>-1419.0466105532</v>
      </c>
      <c r="F39" s="102">
        <f t="shared" si="2"/>
        <v>1150.847006060427</v>
      </c>
    </row>
    <row r="40" spans="1:6" x14ac:dyDescent="0.45">
      <c r="A40" s="99">
        <v>37</v>
      </c>
      <c r="B40" s="100">
        <v>96.91</v>
      </c>
      <c r="C40" s="100">
        <v>55.750033190000003</v>
      </c>
      <c r="D40" s="102">
        <f t="shared" si="0"/>
        <v>129.03215399999999</v>
      </c>
      <c r="E40" s="102">
        <f t="shared" si="1"/>
        <v>12504.506044139998</v>
      </c>
      <c r="F40" s="102">
        <f t="shared" si="2"/>
        <v>16649.296765879713</v>
      </c>
    </row>
    <row r="41" spans="1:6" x14ac:dyDescent="0.45">
      <c r="A41" s="99">
        <v>38</v>
      </c>
      <c r="B41" s="100">
        <v>161.74</v>
      </c>
      <c r="C41" s="100">
        <v>82.439480369999998</v>
      </c>
      <c r="D41" s="102">
        <f t="shared" si="0"/>
        <v>248.59876370000001</v>
      </c>
      <c r="E41" s="102">
        <f t="shared" si="1"/>
        <v>40208.364040838002</v>
      </c>
      <c r="F41" s="102">
        <f t="shared" si="2"/>
        <v>61801.345313168444</v>
      </c>
    </row>
    <row r="42" spans="1:6" x14ac:dyDescent="0.45">
      <c r="A42" s="99">
        <v>39</v>
      </c>
      <c r="B42" s="100">
        <v>208.28</v>
      </c>
      <c r="C42" s="100">
        <v>220.59805729999999</v>
      </c>
      <c r="D42" s="102">
        <f t="shared" si="0"/>
        <v>-38.615810099999997</v>
      </c>
      <c r="E42" s="102">
        <f t="shared" si="1"/>
        <v>-8042.9009276279994</v>
      </c>
      <c r="F42" s="102">
        <f t="shared" si="2"/>
        <v>1491.1807896792618</v>
      </c>
    </row>
    <row r="43" spans="1:6" x14ac:dyDescent="0.45">
      <c r="A43" s="99">
        <v>40</v>
      </c>
      <c r="B43" s="100">
        <v>22.94</v>
      </c>
      <c r="C43" s="100">
        <v>18.799769850000001</v>
      </c>
      <c r="D43" s="102">
        <f t="shared" si="0"/>
        <v>12.97918477</v>
      </c>
      <c r="E43" s="102">
        <f t="shared" si="1"/>
        <v>297.74249862380003</v>
      </c>
      <c r="F43" s="102">
        <f t="shared" si="2"/>
        <v>168.45923729379996</v>
      </c>
    </row>
    <row r="44" spans="1:6" x14ac:dyDescent="0.45">
      <c r="A44" s="99">
        <v>41</v>
      </c>
      <c r="B44" s="100">
        <v>93.39</v>
      </c>
      <c r="C44" s="100">
        <v>13.77035588</v>
      </c>
      <c r="D44" s="102">
        <f t="shared" si="0"/>
        <v>249.59918529999999</v>
      </c>
      <c r="E44" s="102">
        <f t="shared" si="1"/>
        <v>23310.067915166997</v>
      </c>
      <c r="F44" s="102">
        <f t="shared" si="2"/>
        <v>62299.753302423727</v>
      </c>
    </row>
    <row r="45" spans="1:6" x14ac:dyDescent="0.45">
      <c r="A45" s="99">
        <v>42</v>
      </c>
      <c r="B45" s="100">
        <v>97.76</v>
      </c>
      <c r="C45" s="100">
        <v>66.837013459999994</v>
      </c>
      <c r="D45" s="102">
        <f t="shared" si="0"/>
        <v>96.94030076</v>
      </c>
      <c r="E45" s="102">
        <f t="shared" si="1"/>
        <v>9476.8838022975997</v>
      </c>
      <c r="F45" s="102">
        <f t="shared" si="2"/>
        <v>9397.4219114392563</v>
      </c>
    </row>
    <row r="46" spans="1:6" x14ac:dyDescent="0.45">
      <c r="A46" s="99">
        <v>43</v>
      </c>
      <c r="B46" s="100">
        <v>127.42</v>
      </c>
      <c r="C46" s="100">
        <v>144.21528929999999</v>
      </c>
      <c r="D46" s="102">
        <f t="shared" si="0"/>
        <v>-52.651460149999998</v>
      </c>
      <c r="E46" s="102">
        <f t="shared" si="1"/>
        <v>-6708.8490523129994</v>
      </c>
      <c r="F46" s="102">
        <f t="shared" si="2"/>
        <v>2772.1762559270378</v>
      </c>
    </row>
    <row r="47" spans="1:6" x14ac:dyDescent="0.45">
      <c r="A47" s="99">
        <v>44</v>
      </c>
      <c r="B47" s="100">
        <v>-215.14</v>
      </c>
      <c r="C47" s="100">
        <v>-232.92370310000001</v>
      </c>
      <c r="D47" s="102">
        <f t="shared" si="0"/>
        <v>55.750033190000003</v>
      </c>
      <c r="E47" s="102">
        <f t="shared" si="1"/>
        <v>-11994.0621404966</v>
      </c>
      <c r="F47" s="102">
        <f t="shared" si="2"/>
        <v>3108.0662006861021</v>
      </c>
    </row>
    <row r="48" spans="1:6" x14ac:dyDescent="0.45">
      <c r="A48" s="99">
        <v>45</v>
      </c>
      <c r="B48" s="100">
        <v>297.83999999999997</v>
      </c>
      <c r="C48" s="100">
        <v>271.54263020000002</v>
      </c>
      <c r="D48" s="102">
        <f t="shared" si="0"/>
        <v>82.439480369999998</v>
      </c>
      <c r="E48" s="102">
        <f t="shared" si="1"/>
        <v>24553.774833400796</v>
      </c>
      <c r="F48" s="102">
        <f t="shared" si="2"/>
        <v>6796.2679236756148</v>
      </c>
    </row>
    <row r="49" spans="1:6" x14ac:dyDescent="0.45">
      <c r="A49" s="99">
        <v>46</v>
      </c>
      <c r="B49" s="100">
        <v>-38.380000000000003</v>
      </c>
      <c r="C49" s="100">
        <v>-108.7485743</v>
      </c>
      <c r="D49" s="102">
        <f t="shared" si="0"/>
        <v>220.59805729999999</v>
      </c>
      <c r="E49" s="102">
        <f t="shared" si="1"/>
        <v>-8466.5534391740002</v>
      </c>
      <c r="F49" s="102">
        <f t="shared" si="2"/>
        <v>48663.502884534078</v>
      </c>
    </row>
    <row r="50" spans="1:6" x14ac:dyDescent="0.45">
      <c r="A50" s="99">
        <v>47</v>
      </c>
      <c r="B50" s="100">
        <v>199.18</v>
      </c>
      <c r="C50" s="100">
        <v>193.18306140000001</v>
      </c>
      <c r="D50" s="102">
        <f t="shared" si="0"/>
        <v>18.799769850000001</v>
      </c>
      <c r="E50" s="102">
        <f t="shared" si="1"/>
        <v>3744.5381587230004</v>
      </c>
      <c r="F50" s="102">
        <f t="shared" si="2"/>
        <v>353.43134641296905</v>
      </c>
    </row>
    <row r="51" spans="1:6" x14ac:dyDescent="0.45">
      <c r="A51" s="99">
        <v>48</v>
      </c>
      <c r="B51" s="100">
        <v>-250.63</v>
      </c>
      <c r="C51" s="100">
        <v>-255.02260580000001</v>
      </c>
      <c r="D51" s="102">
        <f t="shared" si="0"/>
        <v>13.77035588</v>
      </c>
      <c r="E51" s="102">
        <f t="shared" si="1"/>
        <v>-3451.2642942043999</v>
      </c>
      <c r="F51" s="102">
        <f t="shared" si="2"/>
        <v>189.62270106185059</v>
      </c>
    </row>
    <row r="52" spans="1:6" x14ac:dyDescent="0.45">
      <c r="A52" s="99">
        <v>49</v>
      </c>
      <c r="B52" s="100">
        <v>-141.61000000000001</v>
      </c>
      <c r="C52" s="100">
        <v>-162.93033890000001</v>
      </c>
      <c r="D52" s="102">
        <f t="shared" si="0"/>
        <v>66.837013459999994</v>
      </c>
      <c r="E52" s="102">
        <f t="shared" si="1"/>
        <v>-9464.7894760706004</v>
      </c>
      <c r="F52" s="102">
        <f t="shared" si="2"/>
        <v>4467.1863682522207</v>
      </c>
    </row>
    <row r="53" spans="1:6" x14ac:dyDescent="0.45">
      <c r="A53" s="99">
        <v>50</v>
      </c>
      <c r="B53" s="100">
        <v>156.47</v>
      </c>
      <c r="C53" s="100">
        <v>110.4667649</v>
      </c>
      <c r="D53" s="102">
        <f t="shared" si="0"/>
        <v>144.21528929999999</v>
      </c>
      <c r="E53" s="102">
        <f t="shared" si="1"/>
        <v>22565.366316771</v>
      </c>
      <c r="F53" s="102">
        <f t="shared" si="2"/>
        <v>20798.049667882693</v>
      </c>
    </row>
    <row r="54" spans="1:6" x14ac:dyDescent="0.45">
      <c r="A54" s="99">
        <v>51</v>
      </c>
      <c r="B54" s="100">
        <v>-398.48</v>
      </c>
      <c r="C54" s="100">
        <v>-324.17966799999999</v>
      </c>
      <c r="D54" s="102">
        <f t="shared" si="0"/>
        <v>-232.92370310000001</v>
      </c>
      <c r="E54" s="102">
        <f t="shared" si="1"/>
        <v>92815.437211288008</v>
      </c>
      <c r="F54" s="102">
        <f t="shared" si="2"/>
        <v>54253.451465816957</v>
      </c>
    </row>
    <row r="55" spans="1:6" x14ac:dyDescent="0.45">
      <c r="A55" s="99">
        <v>52</v>
      </c>
      <c r="B55" s="100">
        <v>0.22</v>
      </c>
      <c r="C55" s="100">
        <v>-86.399383589999999</v>
      </c>
      <c r="D55" s="102">
        <f t="shared" si="0"/>
        <v>271.54263020000002</v>
      </c>
      <c r="E55" s="102">
        <f t="shared" si="1"/>
        <v>59.739378644000006</v>
      </c>
      <c r="F55" s="102">
        <f t="shared" si="2"/>
        <v>73735.400015933963</v>
      </c>
    </row>
    <row r="56" spans="1:6" x14ac:dyDescent="0.45">
      <c r="A56" s="99">
        <v>53</v>
      </c>
      <c r="B56" s="100">
        <v>-346.77</v>
      </c>
      <c r="C56" s="100">
        <v>-312.0802923</v>
      </c>
      <c r="D56" s="102">
        <f t="shared" si="0"/>
        <v>-108.7485743</v>
      </c>
      <c r="E56" s="102">
        <f t="shared" si="1"/>
        <v>37710.743110010997</v>
      </c>
      <c r="F56" s="102">
        <f t="shared" si="2"/>
        <v>11826.252412282622</v>
      </c>
    </row>
    <row r="57" spans="1:6" x14ac:dyDescent="0.45">
      <c r="A57" s="99">
        <v>54</v>
      </c>
      <c r="B57" s="100">
        <v>344.91</v>
      </c>
      <c r="C57" s="100">
        <v>283.2865352</v>
      </c>
      <c r="D57" s="102">
        <f t="shared" si="0"/>
        <v>193.18306140000001</v>
      </c>
      <c r="E57" s="102">
        <f t="shared" si="1"/>
        <v>66630.769707474014</v>
      </c>
      <c r="F57" s="102">
        <f t="shared" si="2"/>
        <v>37319.695211876176</v>
      </c>
    </row>
    <row r="58" spans="1:6" x14ac:dyDescent="0.45">
      <c r="A58" s="99">
        <v>55</v>
      </c>
      <c r="B58" s="100">
        <v>-175.29</v>
      </c>
      <c r="C58" s="100">
        <v>-93.940338969999999</v>
      </c>
      <c r="D58" s="102">
        <f t="shared" si="0"/>
        <v>-255.02260580000001</v>
      </c>
      <c r="E58" s="102">
        <f t="shared" si="1"/>
        <v>44702.912570681998</v>
      </c>
      <c r="F58" s="102">
        <f t="shared" si="2"/>
        <v>65036.5294690222</v>
      </c>
    </row>
    <row r="59" spans="1:6" x14ac:dyDescent="0.45">
      <c r="A59" s="99">
        <v>56</v>
      </c>
      <c r="B59" s="100">
        <v>-369.38</v>
      </c>
      <c r="C59" s="100">
        <v>-317.40685120000001</v>
      </c>
      <c r="D59" s="102">
        <f t="shared" si="0"/>
        <v>-162.93033890000001</v>
      </c>
      <c r="E59" s="102">
        <f t="shared" si="1"/>
        <v>60183.208582882005</v>
      </c>
      <c r="F59" s="102">
        <f t="shared" si="2"/>
        <v>26546.295334068855</v>
      </c>
    </row>
    <row r="60" spans="1:6" x14ac:dyDescent="0.45">
      <c r="A60" s="99">
        <v>57</v>
      </c>
      <c r="B60" s="100">
        <v>286.36</v>
      </c>
      <c r="C60" s="100">
        <v>251.12220669999999</v>
      </c>
      <c r="D60" s="102">
        <f t="shared" si="0"/>
        <v>110.4667649</v>
      </c>
      <c r="E60" s="102">
        <f t="shared" si="1"/>
        <v>31633.262796764</v>
      </c>
      <c r="F60" s="102">
        <f t="shared" si="2"/>
        <v>12202.906147471873</v>
      </c>
    </row>
    <row r="61" spans="1:6" x14ac:dyDescent="0.45">
      <c r="A61" s="99">
        <v>58</v>
      </c>
      <c r="B61" s="100">
        <v>208.13</v>
      </c>
      <c r="C61" s="100">
        <v>311.54007230000002</v>
      </c>
      <c r="D61" s="102">
        <f t="shared" si="0"/>
        <v>-324.17966799999999</v>
      </c>
      <c r="E61" s="102">
        <f t="shared" si="1"/>
        <v>-67471.51430083999</v>
      </c>
      <c r="F61" s="102">
        <f t="shared" si="2"/>
        <v>105092.45714459023</v>
      </c>
    </row>
    <row r="62" spans="1:6" x14ac:dyDescent="0.45">
      <c r="A62" s="99">
        <v>59</v>
      </c>
      <c r="B62" s="100">
        <v>-240.61</v>
      </c>
      <c r="C62" s="100">
        <v>-213.0494606</v>
      </c>
      <c r="D62" s="102">
        <f t="shared" si="0"/>
        <v>-86.399383589999999</v>
      </c>
      <c r="E62" s="102">
        <f t="shared" si="1"/>
        <v>20788.555685589901</v>
      </c>
      <c r="F62" s="102">
        <f t="shared" si="2"/>
        <v>7464.8534847319615</v>
      </c>
    </row>
    <row r="63" spans="1:6" x14ac:dyDescent="0.45">
      <c r="A63" s="99">
        <v>60</v>
      </c>
      <c r="B63" s="100">
        <v>237.1</v>
      </c>
      <c r="C63" s="100">
        <v>336.65049240000002</v>
      </c>
      <c r="D63" s="102">
        <f t="shared" si="0"/>
        <v>-312.0802923</v>
      </c>
      <c r="E63" s="102">
        <f t="shared" si="1"/>
        <v>-73994.237304330003</v>
      </c>
      <c r="F63" s="102">
        <f t="shared" si="2"/>
        <v>97394.108842053436</v>
      </c>
    </row>
    <row r="64" spans="1:6" x14ac:dyDescent="0.45">
      <c r="A64" s="99">
        <v>61</v>
      </c>
      <c r="B64" s="100">
        <v>-106.45</v>
      </c>
      <c r="C64" s="100">
        <v>-196.81557190000001</v>
      </c>
      <c r="D64" s="102">
        <f t="shared" si="0"/>
        <v>283.2865352</v>
      </c>
      <c r="E64" s="102">
        <f t="shared" si="1"/>
        <v>-30155.85167204</v>
      </c>
      <c r="F64" s="102">
        <f t="shared" si="2"/>
        <v>80251.261025620843</v>
      </c>
    </row>
    <row r="65" spans="1:6" x14ac:dyDescent="0.45">
      <c r="A65" s="99">
        <v>62</v>
      </c>
      <c r="B65" s="100">
        <v>139.16</v>
      </c>
      <c r="C65" s="100">
        <v>169.12602870000001</v>
      </c>
      <c r="D65" s="102">
        <f t="shared" si="0"/>
        <v>-93.940338969999999</v>
      </c>
      <c r="E65" s="102">
        <f t="shared" si="1"/>
        <v>-13072.7375710652</v>
      </c>
      <c r="F65" s="102">
        <f t="shared" si="2"/>
        <v>8824.7872857985003</v>
      </c>
    </row>
    <row r="66" spans="1:6" x14ac:dyDescent="0.45">
      <c r="A66" s="99">
        <v>63</v>
      </c>
      <c r="B66" s="100">
        <v>60.17</v>
      </c>
      <c r="C66" s="100">
        <v>161.4196115</v>
      </c>
      <c r="D66" s="102">
        <f t="shared" si="0"/>
        <v>-317.40685120000001</v>
      </c>
      <c r="E66" s="102">
        <f t="shared" si="1"/>
        <v>-19098.370236704002</v>
      </c>
      <c r="F66" s="102">
        <f t="shared" si="2"/>
        <v>100747.10918869895</v>
      </c>
    </row>
    <row r="67" spans="1:6" x14ac:dyDescent="0.45">
      <c r="A67" s="99">
        <v>64</v>
      </c>
      <c r="B67" s="100">
        <v>10.35</v>
      </c>
      <c r="C67" s="100">
        <v>-69.755472710000006</v>
      </c>
      <c r="D67" s="102">
        <f t="shared" si="0"/>
        <v>251.12220669999999</v>
      </c>
      <c r="E67" s="102">
        <f t="shared" si="1"/>
        <v>2599.1148393449998</v>
      </c>
      <c r="F67" s="102">
        <f t="shared" si="2"/>
        <v>63062.362697877521</v>
      </c>
    </row>
    <row r="68" spans="1:6" x14ac:dyDescent="0.45">
      <c r="A68" s="99">
        <v>65</v>
      </c>
      <c r="B68" s="100">
        <v>270.55</v>
      </c>
      <c r="C68" s="100">
        <v>171.17183230000001</v>
      </c>
      <c r="D68" s="102">
        <f t="shared" si="0"/>
        <v>311.54007230000002</v>
      </c>
      <c r="E68" s="102">
        <f t="shared" si="1"/>
        <v>84287.166560765007</v>
      </c>
      <c r="F68" s="102">
        <f t="shared" si="2"/>
        <v>97057.216648689238</v>
      </c>
    </row>
    <row r="69" spans="1:6" x14ac:dyDescent="0.45">
      <c r="A69" s="99">
        <v>66</v>
      </c>
      <c r="B69" s="100">
        <v>138.58000000000001</v>
      </c>
      <c r="C69" s="100">
        <v>206.54064740000001</v>
      </c>
      <c r="D69" s="102">
        <f t="shared" si="0"/>
        <v>-213.0494606</v>
      </c>
      <c r="E69" s="102">
        <f t="shared" si="1"/>
        <v>-29524.394249948004</v>
      </c>
      <c r="F69" s="102">
        <f t="shared" si="2"/>
        <v>45390.072661950951</v>
      </c>
    </row>
    <row r="70" spans="1:6" x14ac:dyDescent="0.45">
      <c r="A70" s="99">
        <v>67</v>
      </c>
      <c r="B70" s="100">
        <v>-81.3</v>
      </c>
      <c r="C70" s="100">
        <v>-188.6881406</v>
      </c>
      <c r="D70" s="102">
        <f t="shared" si="0"/>
        <v>336.65049240000002</v>
      </c>
      <c r="E70" s="102">
        <f t="shared" si="1"/>
        <v>-27369.68503212</v>
      </c>
      <c r="F70" s="102">
        <f t="shared" si="2"/>
        <v>113333.55403316247</v>
      </c>
    </row>
    <row r="71" spans="1:6" x14ac:dyDescent="0.45">
      <c r="A71" s="99">
        <v>68</v>
      </c>
      <c r="B71" s="100">
        <v>-219.61</v>
      </c>
      <c r="C71" s="100">
        <v>-156.82780070000001</v>
      </c>
      <c r="D71" s="102">
        <f t="shared" si="0"/>
        <v>-196.81557190000001</v>
      </c>
      <c r="E71" s="102">
        <f t="shared" si="1"/>
        <v>43222.667744959006</v>
      </c>
      <c r="F71" s="102">
        <f t="shared" si="2"/>
        <v>38736.369342324077</v>
      </c>
    </row>
    <row r="72" spans="1:6" x14ac:dyDescent="0.45">
      <c r="A72" s="99">
        <v>69</v>
      </c>
      <c r="B72" s="100">
        <v>-94.25</v>
      </c>
      <c r="C72" s="100">
        <v>-148.1995119</v>
      </c>
      <c r="D72" s="102">
        <f t="shared" si="0"/>
        <v>169.12602870000001</v>
      </c>
      <c r="E72" s="102">
        <f t="shared" si="1"/>
        <v>-15940.128204975001</v>
      </c>
      <c r="F72" s="102">
        <f t="shared" si="2"/>
        <v>28603.613583833227</v>
      </c>
    </row>
    <row r="73" spans="1:6" x14ac:dyDescent="0.45">
      <c r="A73" s="99">
        <v>70</v>
      </c>
      <c r="B73" s="100">
        <v>374</v>
      </c>
      <c r="C73" s="100">
        <v>322.50875810000002</v>
      </c>
      <c r="D73" s="102">
        <f t="shared" si="0"/>
        <v>161.4196115</v>
      </c>
      <c r="E73" s="102">
        <f t="shared" si="1"/>
        <v>60370.934700999998</v>
      </c>
      <c r="F73" s="102">
        <f t="shared" si="2"/>
        <v>26056.290976810931</v>
      </c>
    </row>
    <row r="74" spans="1:6" x14ac:dyDescent="0.45">
      <c r="A74" s="99">
        <v>71</v>
      </c>
      <c r="B74" s="100">
        <v>202.03</v>
      </c>
      <c r="C74" s="100">
        <v>224.28129820000001</v>
      </c>
      <c r="D74" s="102">
        <f t="shared" si="0"/>
        <v>-69.755472710000006</v>
      </c>
      <c r="E74" s="102">
        <f t="shared" si="1"/>
        <v>-14092.698151601302</v>
      </c>
      <c r="F74" s="102">
        <f t="shared" si="2"/>
        <v>4865.8259729955553</v>
      </c>
    </row>
    <row r="75" spans="1:6" x14ac:dyDescent="0.45">
      <c r="A75" s="99">
        <v>72</v>
      </c>
      <c r="B75" s="100">
        <v>75.819999999999993</v>
      </c>
      <c r="C75" s="100">
        <v>21.217897199999999</v>
      </c>
      <c r="D75" s="102">
        <f t="shared" ref="D75:D82" si="3">C68</f>
        <v>171.17183230000001</v>
      </c>
      <c r="E75" s="102">
        <f t="shared" ref="E75:E82" si="4">B75*D75</f>
        <v>12978.248324986</v>
      </c>
      <c r="F75" s="102">
        <f t="shared" ref="F75:F82" si="5">D75^2</f>
        <v>29299.796172939325</v>
      </c>
    </row>
    <row r="76" spans="1:6" x14ac:dyDescent="0.45">
      <c r="A76" s="99">
        <v>73</v>
      </c>
      <c r="B76" s="100">
        <v>250.62</v>
      </c>
      <c r="C76" s="100">
        <v>184.73559890000001</v>
      </c>
      <c r="D76" s="102">
        <f t="shared" si="3"/>
        <v>206.54064740000001</v>
      </c>
      <c r="E76" s="102">
        <f t="shared" si="4"/>
        <v>51763.217051388005</v>
      </c>
      <c r="F76" s="102">
        <f t="shared" si="5"/>
        <v>42659.039028411134</v>
      </c>
    </row>
    <row r="77" spans="1:6" x14ac:dyDescent="0.45">
      <c r="A77" s="99">
        <v>74</v>
      </c>
      <c r="B77" s="100">
        <v>158.08000000000001</v>
      </c>
      <c r="C77" s="100">
        <v>218.26963000000001</v>
      </c>
      <c r="D77" s="102">
        <f t="shared" si="3"/>
        <v>-188.6881406</v>
      </c>
      <c r="E77" s="102">
        <f t="shared" si="4"/>
        <v>-29827.821266048002</v>
      </c>
      <c r="F77" s="102">
        <f t="shared" si="5"/>
        <v>35603.214403085367</v>
      </c>
    </row>
    <row r="78" spans="1:6" x14ac:dyDescent="0.45">
      <c r="A78" s="99">
        <v>75</v>
      </c>
      <c r="B78" s="100">
        <v>-218.66</v>
      </c>
      <c r="C78" s="100">
        <v>-168.63349980000001</v>
      </c>
      <c r="D78" s="102">
        <f t="shared" si="3"/>
        <v>-156.82780070000001</v>
      </c>
      <c r="E78" s="102">
        <f t="shared" si="4"/>
        <v>34291.966901062005</v>
      </c>
      <c r="F78" s="102">
        <f t="shared" si="5"/>
        <v>24594.959072398924</v>
      </c>
    </row>
    <row r="79" spans="1:6" x14ac:dyDescent="0.45">
      <c r="A79" s="99">
        <v>76</v>
      </c>
      <c r="B79" s="100">
        <v>241.82</v>
      </c>
      <c r="C79" s="100">
        <v>289.09416229999999</v>
      </c>
      <c r="D79" s="102">
        <f t="shared" si="3"/>
        <v>-148.1995119</v>
      </c>
      <c r="E79" s="102">
        <f t="shared" si="4"/>
        <v>-35837.605967657997</v>
      </c>
      <c r="F79" s="102">
        <f t="shared" si="5"/>
        <v>21963.095327398241</v>
      </c>
    </row>
    <row r="80" spans="1:6" x14ac:dyDescent="0.45">
      <c r="A80" s="99">
        <v>77</v>
      </c>
      <c r="B80" s="100">
        <v>182.97</v>
      </c>
      <c r="C80" s="100">
        <v>80.092931239999999</v>
      </c>
      <c r="D80" s="102">
        <f t="shared" si="3"/>
        <v>322.50875810000002</v>
      </c>
      <c r="E80" s="102">
        <f t="shared" si="4"/>
        <v>59009.427469557006</v>
      </c>
      <c r="F80" s="102">
        <f t="shared" si="5"/>
        <v>104011.89905120432</v>
      </c>
    </row>
    <row r="81" spans="1:6" x14ac:dyDescent="0.45">
      <c r="A81" s="99">
        <v>78</v>
      </c>
      <c r="B81" s="100">
        <v>61.82</v>
      </c>
      <c r="C81" s="100">
        <v>-9.7234913249999995</v>
      </c>
      <c r="D81" s="102">
        <f t="shared" si="3"/>
        <v>224.28129820000001</v>
      </c>
      <c r="E81" s="102">
        <f t="shared" si="4"/>
        <v>13865.069854724001</v>
      </c>
      <c r="F81" s="102">
        <f t="shared" si="5"/>
        <v>50302.100722277326</v>
      </c>
    </row>
    <row r="82" spans="1:6" x14ac:dyDescent="0.45">
      <c r="A82" s="99">
        <v>79</v>
      </c>
      <c r="B82" s="100">
        <v>126.1</v>
      </c>
      <c r="C82" s="100">
        <v>119.331703</v>
      </c>
      <c r="D82" s="102">
        <f t="shared" si="3"/>
        <v>21.217897199999999</v>
      </c>
      <c r="E82" s="102">
        <f t="shared" si="4"/>
        <v>2675.57683692</v>
      </c>
      <c r="F82" s="102">
        <f t="shared" si="5"/>
        <v>450.19916158976781</v>
      </c>
    </row>
    <row r="83" spans="1:6" x14ac:dyDescent="0.45">
      <c r="A83" s="14"/>
      <c r="B83" s="14"/>
      <c r="C83" s="14"/>
      <c r="D83" s="14"/>
      <c r="E83" s="14"/>
      <c r="F83" s="14"/>
    </row>
    <row r="84" spans="1:6" x14ac:dyDescent="0.45">
      <c r="A84" s="136" t="s">
        <v>71</v>
      </c>
      <c r="B84" s="136"/>
      <c r="C84" s="136"/>
      <c r="D84" s="136"/>
      <c r="E84" s="103">
        <f>-SUM(E11:E82)</f>
        <v>-724161.59461288189</v>
      </c>
      <c r="F84" s="103">
        <f>SUM(F11:F82)</f>
        <v>2239428.4143552422</v>
      </c>
    </row>
    <row r="85" spans="1:6" x14ac:dyDescent="0.45">
      <c r="A85" s="137" t="s">
        <v>72</v>
      </c>
      <c r="B85" s="137"/>
      <c r="C85" s="137"/>
      <c r="D85" s="137"/>
      <c r="E85" s="138"/>
      <c r="F85" s="138"/>
    </row>
    <row r="86" spans="1:6" ht="17.649999999999999" x14ac:dyDescent="0.45">
      <c r="A86" s="131" t="s">
        <v>73</v>
      </c>
      <c r="B86" s="131"/>
      <c r="C86" s="132">
        <f>E84/F84</f>
        <v>-0.32336894091851404</v>
      </c>
      <c r="D86" s="132"/>
      <c r="E86" s="133" t="s">
        <v>74</v>
      </c>
      <c r="F86" s="133"/>
    </row>
  </sheetData>
  <mergeCells count="8">
    <mergeCell ref="A86:B86"/>
    <mergeCell ref="C86:D86"/>
    <mergeCell ref="E86:F86"/>
    <mergeCell ref="A1:F1"/>
    <mergeCell ref="A2:F2"/>
    <mergeCell ref="A84:D84"/>
    <mergeCell ref="A85:D85"/>
    <mergeCell ref="E85:F8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2BD7-86B6-4BAC-A48D-9EE82320D3AA}">
  <dimension ref="A1:I91"/>
  <sheetViews>
    <sheetView topLeftCell="A57" zoomScale="59" workbookViewId="0">
      <selection activeCell="D96" sqref="D96"/>
    </sheetView>
  </sheetViews>
  <sheetFormatPr defaultRowHeight="14.25" x14ac:dyDescent="0.45"/>
  <cols>
    <col min="1" max="1" width="6" customWidth="1"/>
    <col min="2" max="3" width="14" customWidth="1"/>
    <col min="4" max="4" width="23.59765625" customWidth="1"/>
    <col min="5" max="5" width="41.3984375" customWidth="1"/>
    <col min="6" max="6" width="16" customWidth="1"/>
    <col min="7" max="8" width="18" customWidth="1"/>
    <col min="9" max="9" width="20" customWidth="1"/>
  </cols>
  <sheetData>
    <row r="1" spans="1:9" ht="16.899999999999999" x14ac:dyDescent="0.45">
      <c r="A1" s="140" t="s">
        <v>140</v>
      </c>
      <c r="B1" s="140"/>
      <c r="C1" s="140"/>
      <c r="D1" s="140"/>
      <c r="E1" s="140"/>
      <c r="F1" s="140"/>
      <c r="G1" s="140"/>
      <c r="H1" s="140"/>
      <c r="I1" s="140"/>
    </row>
    <row r="2" spans="1:9" x14ac:dyDescent="0.45">
      <c r="A2" s="104" t="s">
        <v>64</v>
      </c>
      <c r="B2" s="104" t="s">
        <v>75</v>
      </c>
      <c r="C2" s="104" t="s">
        <v>76</v>
      </c>
      <c r="D2" s="104" t="s">
        <v>77</v>
      </c>
      <c r="E2" s="104" t="s">
        <v>78</v>
      </c>
      <c r="F2" s="104" t="s">
        <v>79</v>
      </c>
      <c r="G2" s="104" t="s">
        <v>80</v>
      </c>
      <c r="H2" s="104" t="s">
        <v>81</v>
      </c>
      <c r="I2" s="104" t="s">
        <v>82</v>
      </c>
    </row>
    <row r="3" spans="1:9" x14ac:dyDescent="0.45">
      <c r="A3" s="75">
        <v>1</v>
      </c>
      <c r="B3" s="76">
        <v>49</v>
      </c>
      <c r="C3" s="76"/>
      <c r="D3" s="76"/>
      <c r="E3" s="76"/>
      <c r="F3" s="76"/>
      <c r="G3" s="76"/>
      <c r="H3" s="76"/>
      <c r="I3" s="76"/>
    </row>
    <row r="4" spans="1:9" x14ac:dyDescent="0.45">
      <c r="A4" s="75">
        <v>2</v>
      </c>
      <c r="B4" s="76">
        <v>63.4</v>
      </c>
      <c r="C4" s="76">
        <f t="shared" ref="C4:C67" si="0">B3</f>
        <v>49</v>
      </c>
      <c r="D4" s="76"/>
      <c r="E4" s="76">
        <f t="shared" ref="E4:F35" si="1">C4^2</f>
        <v>2401</v>
      </c>
      <c r="F4" s="76"/>
      <c r="G4" s="76">
        <f t="shared" ref="G4:G67" si="2">B4*C4</f>
        <v>3106.6</v>
      </c>
      <c r="H4" s="76"/>
      <c r="I4" s="76"/>
    </row>
    <row r="5" spans="1:9" x14ac:dyDescent="0.45">
      <c r="A5" s="75">
        <v>3</v>
      </c>
      <c r="B5" s="76">
        <v>23.2</v>
      </c>
      <c r="C5" s="76">
        <f t="shared" si="0"/>
        <v>63.4</v>
      </c>
      <c r="D5" s="76">
        <f t="shared" ref="D5:D68" si="3">B3</f>
        <v>49</v>
      </c>
      <c r="E5" s="76">
        <f t="shared" si="1"/>
        <v>4019.56</v>
      </c>
      <c r="F5" s="76">
        <f t="shared" si="1"/>
        <v>2401</v>
      </c>
      <c r="G5" s="76">
        <f t="shared" si="2"/>
        <v>1470.8799999999999</v>
      </c>
      <c r="H5" s="76">
        <f t="shared" ref="H5:H68" si="4">B5*D5</f>
        <v>1136.8</v>
      </c>
      <c r="I5" s="76">
        <f t="shared" ref="I5:I68" si="5">C5*D5</f>
        <v>3106.6</v>
      </c>
    </row>
    <row r="6" spans="1:9" x14ac:dyDescent="0.45">
      <c r="A6" s="75">
        <v>4</v>
      </c>
      <c r="B6" s="76">
        <v>56.5</v>
      </c>
      <c r="C6" s="76">
        <f t="shared" si="0"/>
        <v>23.2</v>
      </c>
      <c r="D6" s="76">
        <f t="shared" si="3"/>
        <v>63.4</v>
      </c>
      <c r="E6" s="76">
        <f t="shared" si="1"/>
        <v>538.24</v>
      </c>
      <c r="F6" s="76">
        <f t="shared" si="1"/>
        <v>4019.56</v>
      </c>
      <c r="G6" s="76">
        <f t="shared" si="2"/>
        <v>1310.8</v>
      </c>
      <c r="H6" s="76">
        <f t="shared" si="4"/>
        <v>3582.1</v>
      </c>
      <c r="I6" s="76">
        <f t="shared" si="5"/>
        <v>1470.8799999999999</v>
      </c>
    </row>
    <row r="7" spans="1:9" x14ac:dyDescent="0.45">
      <c r="A7" s="75">
        <v>5</v>
      </c>
      <c r="B7" s="76">
        <v>44.8</v>
      </c>
      <c r="C7" s="76">
        <f t="shared" si="0"/>
        <v>56.5</v>
      </c>
      <c r="D7" s="76">
        <f t="shared" si="3"/>
        <v>23.2</v>
      </c>
      <c r="E7" s="76">
        <f t="shared" si="1"/>
        <v>3192.25</v>
      </c>
      <c r="F7" s="76">
        <f t="shared" si="1"/>
        <v>538.24</v>
      </c>
      <c r="G7" s="76">
        <f t="shared" si="2"/>
        <v>2531.1999999999998</v>
      </c>
      <c r="H7" s="76">
        <f t="shared" si="4"/>
        <v>1039.3599999999999</v>
      </c>
      <c r="I7" s="76">
        <f t="shared" si="5"/>
        <v>1310.8</v>
      </c>
    </row>
    <row r="8" spans="1:9" x14ac:dyDescent="0.45">
      <c r="A8" s="75">
        <v>6</v>
      </c>
      <c r="B8" s="76">
        <v>37.4</v>
      </c>
      <c r="C8" s="76">
        <f t="shared" si="0"/>
        <v>44.8</v>
      </c>
      <c r="D8" s="76">
        <f t="shared" si="3"/>
        <v>56.5</v>
      </c>
      <c r="E8" s="76">
        <f t="shared" si="1"/>
        <v>2007.0399999999997</v>
      </c>
      <c r="F8" s="76">
        <f t="shared" si="1"/>
        <v>3192.25</v>
      </c>
      <c r="G8" s="76">
        <f t="shared" si="2"/>
        <v>1675.5199999999998</v>
      </c>
      <c r="H8" s="76">
        <f t="shared" si="4"/>
        <v>2113.1</v>
      </c>
      <c r="I8" s="76">
        <f t="shared" si="5"/>
        <v>2531.1999999999998</v>
      </c>
    </row>
    <row r="9" spans="1:9" x14ac:dyDescent="0.45">
      <c r="A9" s="75">
        <v>7</v>
      </c>
      <c r="B9" s="76">
        <v>48.6</v>
      </c>
      <c r="C9" s="76">
        <f t="shared" si="0"/>
        <v>37.4</v>
      </c>
      <c r="D9" s="76">
        <f t="shared" si="3"/>
        <v>44.8</v>
      </c>
      <c r="E9" s="76">
        <f t="shared" si="1"/>
        <v>1398.76</v>
      </c>
      <c r="F9" s="76">
        <f t="shared" si="1"/>
        <v>2007.0399999999997</v>
      </c>
      <c r="G9" s="76">
        <f t="shared" si="2"/>
        <v>1817.6399999999999</v>
      </c>
      <c r="H9" s="76">
        <f t="shared" si="4"/>
        <v>2177.2799999999997</v>
      </c>
      <c r="I9" s="76">
        <f t="shared" si="5"/>
        <v>1675.5199999999998</v>
      </c>
    </row>
    <row r="10" spans="1:9" x14ac:dyDescent="0.45">
      <c r="A10" s="75">
        <v>8</v>
      </c>
      <c r="B10" s="76">
        <v>22.3</v>
      </c>
      <c r="C10" s="76">
        <f t="shared" si="0"/>
        <v>48.6</v>
      </c>
      <c r="D10" s="76">
        <f t="shared" si="3"/>
        <v>37.4</v>
      </c>
      <c r="E10" s="76">
        <f t="shared" si="1"/>
        <v>2361.96</v>
      </c>
      <c r="F10" s="76">
        <f t="shared" si="1"/>
        <v>1398.76</v>
      </c>
      <c r="G10" s="76">
        <f t="shared" si="2"/>
        <v>1083.78</v>
      </c>
      <c r="H10" s="76">
        <f t="shared" si="4"/>
        <v>834.02</v>
      </c>
      <c r="I10" s="76">
        <f t="shared" si="5"/>
        <v>1817.6399999999999</v>
      </c>
    </row>
    <row r="11" spans="1:9" x14ac:dyDescent="0.45">
      <c r="A11" s="75">
        <v>9</v>
      </c>
      <c r="B11" s="76">
        <v>11.1</v>
      </c>
      <c r="C11" s="76">
        <f t="shared" si="0"/>
        <v>22.3</v>
      </c>
      <c r="D11" s="76">
        <f t="shared" si="3"/>
        <v>48.6</v>
      </c>
      <c r="E11" s="76">
        <f t="shared" si="1"/>
        <v>497.29</v>
      </c>
      <c r="F11" s="76">
        <f t="shared" si="1"/>
        <v>2361.96</v>
      </c>
      <c r="G11" s="76">
        <f t="shared" si="2"/>
        <v>247.53</v>
      </c>
      <c r="H11" s="76">
        <f t="shared" si="4"/>
        <v>539.46</v>
      </c>
      <c r="I11" s="76">
        <f t="shared" si="5"/>
        <v>1083.78</v>
      </c>
    </row>
    <row r="12" spans="1:9" x14ac:dyDescent="0.45">
      <c r="A12" s="75">
        <v>10</v>
      </c>
      <c r="B12" s="76">
        <v>26.2</v>
      </c>
      <c r="C12" s="76">
        <f t="shared" si="0"/>
        <v>11.1</v>
      </c>
      <c r="D12" s="76">
        <f t="shared" si="3"/>
        <v>22.3</v>
      </c>
      <c r="E12" s="76">
        <f t="shared" si="1"/>
        <v>123.21</v>
      </c>
      <c r="F12" s="76">
        <f t="shared" si="1"/>
        <v>497.29</v>
      </c>
      <c r="G12" s="76">
        <f t="shared" si="2"/>
        <v>290.82</v>
      </c>
      <c r="H12" s="76">
        <f t="shared" si="4"/>
        <v>584.26</v>
      </c>
      <c r="I12" s="76">
        <f t="shared" si="5"/>
        <v>247.53</v>
      </c>
    </row>
    <row r="13" spans="1:9" x14ac:dyDescent="0.45">
      <c r="A13" s="75">
        <v>11</v>
      </c>
      <c r="B13" s="76">
        <v>104</v>
      </c>
      <c r="C13" s="76">
        <f t="shared" si="0"/>
        <v>26.2</v>
      </c>
      <c r="D13" s="76">
        <f t="shared" si="3"/>
        <v>11.1</v>
      </c>
      <c r="E13" s="76">
        <f t="shared" si="1"/>
        <v>686.43999999999994</v>
      </c>
      <c r="F13" s="76">
        <f t="shared" si="1"/>
        <v>123.21</v>
      </c>
      <c r="G13" s="76">
        <f t="shared" si="2"/>
        <v>2724.7999999999997</v>
      </c>
      <c r="H13" s="76">
        <f t="shared" si="4"/>
        <v>1154.3999999999999</v>
      </c>
      <c r="I13" s="76">
        <f t="shared" si="5"/>
        <v>290.82</v>
      </c>
    </row>
    <row r="14" spans="1:9" x14ac:dyDescent="0.45">
      <c r="A14" s="75">
        <v>12</v>
      </c>
      <c r="B14" s="76">
        <v>72.900000000000006</v>
      </c>
      <c r="C14" s="76">
        <f t="shared" si="0"/>
        <v>104</v>
      </c>
      <c r="D14" s="76">
        <f t="shared" si="3"/>
        <v>26.2</v>
      </c>
      <c r="E14" s="76">
        <f t="shared" si="1"/>
        <v>10816</v>
      </c>
      <c r="F14" s="76">
        <f t="shared" si="1"/>
        <v>686.43999999999994</v>
      </c>
      <c r="G14" s="76">
        <f t="shared" si="2"/>
        <v>7581.6</v>
      </c>
      <c r="H14" s="76">
        <f t="shared" si="4"/>
        <v>1909.98</v>
      </c>
      <c r="I14" s="76">
        <f t="shared" si="5"/>
        <v>2724.7999999999997</v>
      </c>
    </row>
    <row r="15" spans="1:9" x14ac:dyDescent="0.45">
      <c r="A15" s="75">
        <v>13</v>
      </c>
      <c r="B15" s="76">
        <v>46.6</v>
      </c>
      <c r="C15" s="76">
        <f t="shared" si="0"/>
        <v>72.900000000000006</v>
      </c>
      <c r="D15" s="76">
        <f t="shared" si="3"/>
        <v>104</v>
      </c>
      <c r="E15" s="76">
        <f t="shared" si="1"/>
        <v>5314.4100000000008</v>
      </c>
      <c r="F15" s="76">
        <f t="shared" si="1"/>
        <v>10816</v>
      </c>
      <c r="G15" s="76">
        <f t="shared" si="2"/>
        <v>3397.1400000000003</v>
      </c>
      <c r="H15" s="76">
        <f t="shared" si="4"/>
        <v>4846.4000000000005</v>
      </c>
      <c r="I15" s="76">
        <f t="shared" si="5"/>
        <v>7581.6</v>
      </c>
    </row>
    <row r="16" spans="1:9" x14ac:dyDescent="0.45">
      <c r="A16" s="75">
        <v>14</v>
      </c>
      <c r="B16" s="76">
        <v>51.2</v>
      </c>
      <c r="C16" s="76">
        <f t="shared" si="0"/>
        <v>46.6</v>
      </c>
      <c r="D16" s="76">
        <f t="shared" si="3"/>
        <v>72.900000000000006</v>
      </c>
      <c r="E16" s="76">
        <f t="shared" si="1"/>
        <v>2171.56</v>
      </c>
      <c r="F16" s="76">
        <f t="shared" si="1"/>
        <v>5314.4100000000008</v>
      </c>
      <c r="G16" s="76">
        <f t="shared" si="2"/>
        <v>2385.92</v>
      </c>
      <c r="H16" s="76">
        <f t="shared" si="4"/>
        <v>3732.4800000000005</v>
      </c>
      <c r="I16" s="76">
        <f t="shared" si="5"/>
        <v>3397.1400000000003</v>
      </c>
    </row>
    <row r="17" spans="1:9" x14ac:dyDescent="0.45">
      <c r="A17" s="75">
        <v>15</v>
      </c>
      <c r="B17" s="76">
        <v>37.200000000000003</v>
      </c>
      <c r="C17" s="76">
        <f t="shared" si="0"/>
        <v>51.2</v>
      </c>
      <c r="D17" s="76">
        <f t="shared" si="3"/>
        <v>46.6</v>
      </c>
      <c r="E17" s="76">
        <f t="shared" si="1"/>
        <v>2621.4400000000005</v>
      </c>
      <c r="F17" s="76">
        <f t="shared" si="1"/>
        <v>2171.56</v>
      </c>
      <c r="G17" s="76">
        <f t="shared" si="2"/>
        <v>1904.6400000000003</v>
      </c>
      <c r="H17" s="76">
        <f t="shared" si="4"/>
        <v>1733.5200000000002</v>
      </c>
      <c r="I17" s="76">
        <f t="shared" si="5"/>
        <v>2385.92</v>
      </c>
    </row>
    <row r="18" spans="1:9" x14ac:dyDescent="0.45">
      <c r="A18" s="75">
        <v>16</v>
      </c>
      <c r="B18" s="76">
        <v>109.7</v>
      </c>
      <c r="C18" s="76">
        <f t="shared" si="0"/>
        <v>37.200000000000003</v>
      </c>
      <c r="D18" s="76">
        <f t="shared" si="3"/>
        <v>51.2</v>
      </c>
      <c r="E18" s="76">
        <f t="shared" si="1"/>
        <v>1383.8400000000001</v>
      </c>
      <c r="F18" s="76">
        <f t="shared" si="1"/>
        <v>2621.4400000000005</v>
      </c>
      <c r="G18" s="76">
        <f t="shared" si="2"/>
        <v>4080.8400000000006</v>
      </c>
      <c r="H18" s="76">
        <f t="shared" si="4"/>
        <v>5616.64</v>
      </c>
      <c r="I18" s="76">
        <f t="shared" si="5"/>
        <v>1904.6400000000003</v>
      </c>
    </row>
    <row r="19" spans="1:9" x14ac:dyDescent="0.45">
      <c r="A19" s="75">
        <v>17</v>
      </c>
      <c r="B19" s="76">
        <v>98.4</v>
      </c>
      <c r="C19" s="76">
        <f t="shared" si="0"/>
        <v>109.7</v>
      </c>
      <c r="D19" s="76">
        <f t="shared" si="3"/>
        <v>37.200000000000003</v>
      </c>
      <c r="E19" s="76">
        <f t="shared" si="1"/>
        <v>12034.09</v>
      </c>
      <c r="F19" s="76">
        <f t="shared" si="1"/>
        <v>1383.8400000000001</v>
      </c>
      <c r="G19" s="76">
        <f t="shared" si="2"/>
        <v>10794.480000000001</v>
      </c>
      <c r="H19" s="76">
        <f t="shared" si="4"/>
        <v>3660.4800000000005</v>
      </c>
      <c r="I19" s="76">
        <f t="shared" si="5"/>
        <v>4080.8400000000006</v>
      </c>
    </row>
    <row r="20" spans="1:9" x14ac:dyDescent="0.45">
      <c r="A20" s="75">
        <v>18</v>
      </c>
      <c r="B20" s="76">
        <v>84</v>
      </c>
      <c r="C20" s="76">
        <f t="shared" si="0"/>
        <v>98.4</v>
      </c>
      <c r="D20" s="76">
        <f t="shared" si="3"/>
        <v>109.7</v>
      </c>
      <c r="E20" s="76">
        <f t="shared" si="1"/>
        <v>9682.5600000000013</v>
      </c>
      <c r="F20" s="76">
        <f t="shared" si="1"/>
        <v>12034.09</v>
      </c>
      <c r="G20" s="76">
        <f t="shared" si="2"/>
        <v>8265.6</v>
      </c>
      <c r="H20" s="76">
        <f t="shared" si="4"/>
        <v>9214.8000000000011</v>
      </c>
      <c r="I20" s="76">
        <f t="shared" si="5"/>
        <v>10794.480000000001</v>
      </c>
    </row>
    <row r="21" spans="1:9" x14ac:dyDescent="0.45">
      <c r="A21" s="75">
        <v>19</v>
      </c>
      <c r="B21" s="76">
        <v>87.6</v>
      </c>
      <c r="C21" s="76">
        <f t="shared" si="0"/>
        <v>84</v>
      </c>
      <c r="D21" s="76">
        <f t="shared" si="3"/>
        <v>98.4</v>
      </c>
      <c r="E21" s="76">
        <f t="shared" si="1"/>
        <v>7056</v>
      </c>
      <c r="F21" s="76">
        <f t="shared" si="1"/>
        <v>9682.5600000000013</v>
      </c>
      <c r="G21" s="76">
        <f t="shared" si="2"/>
        <v>7358.4</v>
      </c>
      <c r="H21" s="76">
        <f t="shared" si="4"/>
        <v>8619.84</v>
      </c>
      <c r="I21" s="76">
        <f t="shared" si="5"/>
        <v>8265.6</v>
      </c>
    </row>
    <row r="22" spans="1:9" x14ac:dyDescent="0.45">
      <c r="A22" s="75">
        <v>20</v>
      </c>
      <c r="B22" s="76">
        <v>72.599999999999994</v>
      </c>
      <c r="C22" s="76">
        <f t="shared" si="0"/>
        <v>87.6</v>
      </c>
      <c r="D22" s="76">
        <f t="shared" si="3"/>
        <v>84</v>
      </c>
      <c r="E22" s="76">
        <f t="shared" si="1"/>
        <v>7673.7599999999993</v>
      </c>
      <c r="F22" s="76">
        <f t="shared" si="1"/>
        <v>7056</v>
      </c>
      <c r="G22" s="76">
        <f t="shared" si="2"/>
        <v>6359.7599999999993</v>
      </c>
      <c r="H22" s="76">
        <f t="shared" si="4"/>
        <v>6098.4</v>
      </c>
      <c r="I22" s="76">
        <f t="shared" si="5"/>
        <v>7358.4</v>
      </c>
    </row>
    <row r="23" spans="1:9" x14ac:dyDescent="0.45">
      <c r="A23" s="75">
        <v>21</v>
      </c>
      <c r="B23" s="76">
        <v>137.1</v>
      </c>
      <c r="C23" s="76">
        <f t="shared" si="0"/>
        <v>72.599999999999994</v>
      </c>
      <c r="D23" s="76">
        <f t="shared" si="3"/>
        <v>87.6</v>
      </c>
      <c r="E23" s="76">
        <f t="shared" si="1"/>
        <v>5270.7599999999993</v>
      </c>
      <c r="F23" s="76">
        <f t="shared" si="1"/>
        <v>7673.7599999999993</v>
      </c>
      <c r="G23" s="76">
        <f t="shared" si="2"/>
        <v>9953.4599999999991</v>
      </c>
      <c r="H23" s="76">
        <f t="shared" si="4"/>
        <v>12009.96</v>
      </c>
      <c r="I23" s="76">
        <f t="shared" si="5"/>
        <v>6359.7599999999993</v>
      </c>
    </row>
    <row r="24" spans="1:9" x14ac:dyDescent="0.45">
      <c r="A24" s="75">
        <v>22</v>
      </c>
      <c r="B24" s="76">
        <v>111.9</v>
      </c>
      <c r="C24" s="76">
        <f t="shared" si="0"/>
        <v>137.1</v>
      </c>
      <c r="D24" s="76">
        <f t="shared" si="3"/>
        <v>72.599999999999994</v>
      </c>
      <c r="E24" s="76">
        <f t="shared" si="1"/>
        <v>18796.41</v>
      </c>
      <c r="F24" s="76">
        <f t="shared" si="1"/>
        <v>5270.7599999999993</v>
      </c>
      <c r="G24" s="76">
        <f t="shared" si="2"/>
        <v>15341.49</v>
      </c>
      <c r="H24" s="76">
        <f t="shared" si="4"/>
        <v>8123.94</v>
      </c>
      <c r="I24" s="76">
        <f t="shared" si="5"/>
        <v>9953.4599999999991</v>
      </c>
    </row>
    <row r="25" spans="1:9" x14ac:dyDescent="0.45">
      <c r="A25" s="75">
        <v>23</v>
      </c>
      <c r="B25" s="76">
        <v>51.5</v>
      </c>
      <c r="C25" s="76">
        <f t="shared" si="0"/>
        <v>111.9</v>
      </c>
      <c r="D25" s="76">
        <f t="shared" si="3"/>
        <v>137.1</v>
      </c>
      <c r="E25" s="76">
        <f t="shared" si="1"/>
        <v>12521.61</v>
      </c>
      <c r="F25" s="76">
        <f t="shared" si="1"/>
        <v>18796.41</v>
      </c>
      <c r="G25" s="76">
        <f t="shared" si="2"/>
        <v>5762.85</v>
      </c>
      <c r="H25" s="76">
        <f t="shared" si="4"/>
        <v>7060.65</v>
      </c>
      <c r="I25" s="76">
        <f t="shared" si="5"/>
        <v>15341.49</v>
      </c>
    </row>
    <row r="26" spans="1:9" x14ac:dyDescent="0.45">
      <c r="A26" s="75">
        <v>24</v>
      </c>
      <c r="B26" s="76">
        <v>79.599999999999994</v>
      </c>
      <c r="C26" s="76">
        <f t="shared" si="0"/>
        <v>51.5</v>
      </c>
      <c r="D26" s="76">
        <f t="shared" si="3"/>
        <v>111.9</v>
      </c>
      <c r="E26" s="76">
        <f t="shared" si="1"/>
        <v>2652.25</v>
      </c>
      <c r="F26" s="76">
        <f t="shared" si="1"/>
        <v>12521.61</v>
      </c>
      <c r="G26" s="76">
        <f t="shared" si="2"/>
        <v>4099.3999999999996</v>
      </c>
      <c r="H26" s="76">
        <f t="shared" si="4"/>
        <v>8907.24</v>
      </c>
      <c r="I26" s="76">
        <f t="shared" si="5"/>
        <v>5762.85</v>
      </c>
    </row>
    <row r="27" spans="1:9" x14ac:dyDescent="0.45">
      <c r="A27" s="75">
        <v>25</v>
      </c>
      <c r="B27" s="76">
        <v>66.3</v>
      </c>
      <c r="C27" s="76">
        <f t="shared" si="0"/>
        <v>79.599999999999994</v>
      </c>
      <c r="D27" s="76">
        <f t="shared" si="3"/>
        <v>51.5</v>
      </c>
      <c r="E27" s="76">
        <f t="shared" si="1"/>
        <v>6336.1599999999989</v>
      </c>
      <c r="F27" s="76">
        <f t="shared" si="1"/>
        <v>2652.25</v>
      </c>
      <c r="G27" s="76">
        <f t="shared" si="2"/>
        <v>5277.48</v>
      </c>
      <c r="H27" s="76">
        <f t="shared" si="4"/>
        <v>3414.45</v>
      </c>
      <c r="I27" s="76">
        <f t="shared" si="5"/>
        <v>4099.3999999999996</v>
      </c>
    </row>
    <row r="28" spans="1:9" x14ac:dyDescent="0.45">
      <c r="A28" s="75">
        <v>26</v>
      </c>
      <c r="B28" s="76">
        <v>539.6</v>
      </c>
      <c r="C28" s="76">
        <f t="shared" si="0"/>
        <v>66.3</v>
      </c>
      <c r="D28" s="76">
        <f t="shared" si="3"/>
        <v>79.599999999999994</v>
      </c>
      <c r="E28" s="76">
        <f t="shared" si="1"/>
        <v>4395.6899999999996</v>
      </c>
      <c r="F28" s="76">
        <f t="shared" si="1"/>
        <v>6336.1599999999989</v>
      </c>
      <c r="G28" s="76">
        <f t="shared" si="2"/>
        <v>35775.480000000003</v>
      </c>
      <c r="H28" s="76">
        <f t="shared" si="4"/>
        <v>42952.159999999996</v>
      </c>
      <c r="I28" s="76">
        <f t="shared" si="5"/>
        <v>5277.48</v>
      </c>
    </row>
    <row r="29" spans="1:9" x14ac:dyDescent="0.45">
      <c r="A29" s="75">
        <v>27</v>
      </c>
      <c r="B29" s="76">
        <v>1032.3</v>
      </c>
      <c r="C29" s="76">
        <f t="shared" si="0"/>
        <v>539.6</v>
      </c>
      <c r="D29" s="76">
        <f t="shared" si="3"/>
        <v>66.3</v>
      </c>
      <c r="E29" s="76">
        <f t="shared" si="1"/>
        <v>291168.16000000003</v>
      </c>
      <c r="F29" s="76">
        <f t="shared" si="1"/>
        <v>4395.6899999999996</v>
      </c>
      <c r="G29" s="76">
        <f t="shared" si="2"/>
        <v>557029.07999999996</v>
      </c>
      <c r="H29" s="76">
        <f t="shared" si="4"/>
        <v>68441.489999999991</v>
      </c>
      <c r="I29" s="76">
        <f t="shared" si="5"/>
        <v>35775.480000000003</v>
      </c>
    </row>
    <row r="30" spans="1:9" x14ac:dyDescent="0.45">
      <c r="A30" s="75">
        <v>28</v>
      </c>
      <c r="B30" s="76">
        <v>867.6</v>
      </c>
      <c r="C30" s="76">
        <f t="shared" si="0"/>
        <v>1032.3</v>
      </c>
      <c r="D30" s="76">
        <f t="shared" si="3"/>
        <v>539.6</v>
      </c>
      <c r="E30" s="76">
        <f t="shared" si="1"/>
        <v>1065643.2899999998</v>
      </c>
      <c r="F30" s="76">
        <f t="shared" si="1"/>
        <v>291168.16000000003</v>
      </c>
      <c r="G30" s="76">
        <f t="shared" si="2"/>
        <v>895623.48</v>
      </c>
      <c r="H30" s="76">
        <f t="shared" si="4"/>
        <v>468156.96</v>
      </c>
      <c r="I30" s="76">
        <f t="shared" si="5"/>
        <v>557029.07999999996</v>
      </c>
    </row>
    <row r="31" spans="1:9" x14ac:dyDescent="0.45">
      <c r="A31" s="75">
        <v>29</v>
      </c>
      <c r="B31" s="76">
        <v>251.4</v>
      </c>
      <c r="C31" s="76">
        <f t="shared" si="0"/>
        <v>867.6</v>
      </c>
      <c r="D31" s="76">
        <f t="shared" si="3"/>
        <v>1032.3</v>
      </c>
      <c r="E31" s="76">
        <f t="shared" si="1"/>
        <v>752729.76</v>
      </c>
      <c r="F31" s="76">
        <f t="shared" si="1"/>
        <v>1065643.2899999998</v>
      </c>
      <c r="G31" s="76">
        <f t="shared" si="2"/>
        <v>218114.64</v>
      </c>
      <c r="H31" s="76">
        <f t="shared" si="4"/>
        <v>259520.22</v>
      </c>
      <c r="I31" s="76">
        <f t="shared" si="5"/>
        <v>895623.48</v>
      </c>
    </row>
    <row r="32" spans="1:9" x14ac:dyDescent="0.45">
      <c r="A32" s="75">
        <v>30</v>
      </c>
      <c r="B32" s="76">
        <v>151.1</v>
      </c>
      <c r="C32" s="76">
        <f t="shared" si="0"/>
        <v>251.4</v>
      </c>
      <c r="D32" s="76">
        <f t="shared" si="3"/>
        <v>867.6</v>
      </c>
      <c r="E32" s="76">
        <f t="shared" si="1"/>
        <v>63201.960000000006</v>
      </c>
      <c r="F32" s="76">
        <f t="shared" si="1"/>
        <v>752729.76</v>
      </c>
      <c r="G32" s="76">
        <f t="shared" si="2"/>
        <v>37986.54</v>
      </c>
      <c r="H32" s="76">
        <f t="shared" si="4"/>
        <v>131094.35999999999</v>
      </c>
      <c r="I32" s="76">
        <f t="shared" si="5"/>
        <v>218114.64</v>
      </c>
    </row>
    <row r="33" spans="1:9" x14ac:dyDescent="0.45">
      <c r="A33" s="75">
        <v>31</v>
      </c>
      <c r="B33" s="76">
        <v>75.8</v>
      </c>
      <c r="C33" s="76">
        <f t="shared" si="0"/>
        <v>151.1</v>
      </c>
      <c r="D33" s="76">
        <f t="shared" si="3"/>
        <v>251.4</v>
      </c>
      <c r="E33" s="76">
        <f t="shared" si="1"/>
        <v>22831.21</v>
      </c>
      <c r="F33" s="76">
        <f t="shared" si="1"/>
        <v>63201.960000000006</v>
      </c>
      <c r="G33" s="76">
        <f t="shared" si="2"/>
        <v>11453.38</v>
      </c>
      <c r="H33" s="76">
        <f t="shared" si="4"/>
        <v>19056.12</v>
      </c>
      <c r="I33" s="76">
        <f t="shared" si="5"/>
        <v>37986.54</v>
      </c>
    </row>
    <row r="34" spans="1:9" x14ac:dyDescent="0.45">
      <c r="A34" s="75">
        <v>32</v>
      </c>
      <c r="B34" s="76">
        <v>191.3</v>
      </c>
      <c r="C34" s="76">
        <f t="shared" si="0"/>
        <v>75.8</v>
      </c>
      <c r="D34" s="76">
        <f t="shared" si="3"/>
        <v>151.1</v>
      </c>
      <c r="E34" s="76">
        <f t="shared" si="1"/>
        <v>5745.6399999999994</v>
      </c>
      <c r="F34" s="76">
        <f t="shared" si="1"/>
        <v>22831.21</v>
      </c>
      <c r="G34" s="76">
        <f t="shared" si="2"/>
        <v>14500.54</v>
      </c>
      <c r="H34" s="76">
        <f t="shared" si="4"/>
        <v>28905.43</v>
      </c>
      <c r="I34" s="76">
        <f t="shared" si="5"/>
        <v>11453.38</v>
      </c>
    </row>
    <row r="35" spans="1:9" x14ac:dyDescent="0.45">
      <c r="A35" s="75">
        <v>33</v>
      </c>
      <c r="B35" s="76">
        <v>155.1</v>
      </c>
      <c r="C35" s="76">
        <f t="shared" si="0"/>
        <v>191.3</v>
      </c>
      <c r="D35" s="76">
        <f t="shared" si="3"/>
        <v>75.8</v>
      </c>
      <c r="E35" s="76">
        <f t="shared" si="1"/>
        <v>36595.69</v>
      </c>
      <c r="F35" s="76">
        <f t="shared" si="1"/>
        <v>5745.6399999999994</v>
      </c>
      <c r="G35" s="76">
        <f t="shared" si="2"/>
        <v>29670.63</v>
      </c>
      <c r="H35" s="76">
        <f t="shared" si="4"/>
        <v>11756.58</v>
      </c>
      <c r="I35" s="76">
        <f t="shared" si="5"/>
        <v>14500.54</v>
      </c>
    </row>
    <row r="36" spans="1:9" x14ac:dyDescent="0.45">
      <c r="A36" s="75">
        <v>34</v>
      </c>
      <c r="B36" s="76">
        <v>239.4</v>
      </c>
      <c r="C36" s="76">
        <f t="shared" si="0"/>
        <v>155.1</v>
      </c>
      <c r="D36" s="76">
        <f t="shared" si="3"/>
        <v>191.3</v>
      </c>
      <c r="E36" s="76">
        <f t="shared" ref="E36:F67" si="6">C36^2</f>
        <v>24056.01</v>
      </c>
      <c r="F36" s="76">
        <f t="shared" si="6"/>
        <v>36595.69</v>
      </c>
      <c r="G36" s="76">
        <f t="shared" si="2"/>
        <v>37130.94</v>
      </c>
      <c r="H36" s="76">
        <f t="shared" si="4"/>
        <v>45797.22</v>
      </c>
      <c r="I36" s="76">
        <f t="shared" si="5"/>
        <v>29670.63</v>
      </c>
    </row>
    <row r="37" spans="1:9" x14ac:dyDescent="0.45">
      <c r="A37" s="75">
        <v>35</v>
      </c>
      <c r="B37" s="76">
        <v>118.7</v>
      </c>
      <c r="C37" s="76">
        <f t="shared" si="0"/>
        <v>239.4</v>
      </c>
      <c r="D37" s="76">
        <f t="shared" si="3"/>
        <v>155.1</v>
      </c>
      <c r="E37" s="76">
        <f t="shared" si="6"/>
        <v>57312.36</v>
      </c>
      <c r="F37" s="76">
        <f t="shared" si="6"/>
        <v>24056.01</v>
      </c>
      <c r="G37" s="76">
        <f t="shared" si="2"/>
        <v>28416.780000000002</v>
      </c>
      <c r="H37" s="76">
        <f t="shared" si="4"/>
        <v>18410.37</v>
      </c>
      <c r="I37" s="76">
        <f t="shared" si="5"/>
        <v>37130.94</v>
      </c>
    </row>
    <row r="38" spans="1:9" x14ac:dyDescent="0.45">
      <c r="A38" s="75">
        <v>36</v>
      </c>
      <c r="B38" s="76">
        <v>263.3</v>
      </c>
      <c r="C38" s="76">
        <f t="shared" si="0"/>
        <v>118.7</v>
      </c>
      <c r="D38" s="76">
        <f t="shared" si="3"/>
        <v>239.4</v>
      </c>
      <c r="E38" s="76">
        <f t="shared" si="6"/>
        <v>14089.69</v>
      </c>
      <c r="F38" s="76">
        <f t="shared" si="6"/>
        <v>57312.36</v>
      </c>
      <c r="G38" s="76">
        <f t="shared" si="2"/>
        <v>31253.710000000003</v>
      </c>
      <c r="H38" s="76">
        <f t="shared" si="4"/>
        <v>63034.020000000004</v>
      </c>
      <c r="I38" s="76">
        <f t="shared" si="5"/>
        <v>28416.780000000002</v>
      </c>
    </row>
    <row r="39" spans="1:9" x14ac:dyDescent="0.45">
      <c r="A39" s="75">
        <v>37</v>
      </c>
      <c r="B39" s="76">
        <v>262.8</v>
      </c>
      <c r="C39" s="76">
        <f t="shared" si="0"/>
        <v>263.3</v>
      </c>
      <c r="D39" s="76">
        <f t="shared" si="3"/>
        <v>118.7</v>
      </c>
      <c r="E39" s="76">
        <f t="shared" si="6"/>
        <v>69326.89</v>
      </c>
      <c r="F39" s="76">
        <f t="shared" si="6"/>
        <v>14089.69</v>
      </c>
      <c r="G39" s="76">
        <f t="shared" si="2"/>
        <v>69195.240000000005</v>
      </c>
      <c r="H39" s="76">
        <f t="shared" si="4"/>
        <v>31194.36</v>
      </c>
      <c r="I39" s="76">
        <f t="shared" si="5"/>
        <v>31253.710000000003</v>
      </c>
    </row>
    <row r="40" spans="1:9" x14ac:dyDescent="0.45">
      <c r="A40" s="75">
        <v>38</v>
      </c>
      <c r="B40" s="76">
        <v>231.4</v>
      </c>
      <c r="C40" s="76">
        <f t="shared" si="0"/>
        <v>262.8</v>
      </c>
      <c r="D40" s="76">
        <f t="shared" si="3"/>
        <v>263.3</v>
      </c>
      <c r="E40" s="76">
        <f t="shared" si="6"/>
        <v>69063.840000000011</v>
      </c>
      <c r="F40" s="76">
        <f t="shared" si="6"/>
        <v>69326.89</v>
      </c>
      <c r="G40" s="76">
        <f t="shared" si="2"/>
        <v>60811.920000000006</v>
      </c>
      <c r="H40" s="76">
        <f t="shared" si="4"/>
        <v>60927.62</v>
      </c>
      <c r="I40" s="76">
        <f t="shared" si="5"/>
        <v>69195.240000000005</v>
      </c>
    </row>
    <row r="41" spans="1:9" x14ac:dyDescent="0.45">
      <c r="A41" s="75">
        <v>39</v>
      </c>
      <c r="B41" s="76">
        <v>303.7</v>
      </c>
      <c r="C41" s="76">
        <f t="shared" si="0"/>
        <v>231.4</v>
      </c>
      <c r="D41" s="76">
        <f t="shared" si="3"/>
        <v>262.8</v>
      </c>
      <c r="E41" s="76">
        <f t="shared" si="6"/>
        <v>53545.96</v>
      </c>
      <c r="F41" s="76">
        <f t="shared" si="6"/>
        <v>69063.840000000011</v>
      </c>
      <c r="G41" s="76">
        <f t="shared" si="2"/>
        <v>70276.179999999993</v>
      </c>
      <c r="H41" s="76">
        <f t="shared" si="4"/>
        <v>79812.36</v>
      </c>
      <c r="I41" s="76">
        <f t="shared" si="5"/>
        <v>60811.920000000006</v>
      </c>
    </row>
    <row r="42" spans="1:9" x14ac:dyDescent="0.45">
      <c r="A42" s="75">
        <v>40</v>
      </c>
      <c r="B42" s="76">
        <v>283.5</v>
      </c>
      <c r="C42" s="76">
        <f t="shared" si="0"/>
        <v>303.7</v>
      </c>
      <c r="D42" s="76">
        <f t="shared" si="3"/>
        <v>231.4</v>
      </c>
      <c r="E42" s="76">
        <f t="shared" si="6"/>
        <v>92233.689999999988</v>
      </c>
      <c r="F42" s="76">
        <f t="shared" si="6"/>
        <v>53545.96</v>
      </c>
      <c r="G42" s="76">
        <f t="shared" si="2"/>
        <v>86098.95</v>
      </c>
      <c r="H42" s="76">
        <f t="shared" si="4"/>
        <v>65601.900000000009</v>
      </c>
      <c r="I42" s="76">
        <f t="shared" si="5"/>
        <v>70276.179999999993</v>
      </c>
    </row>
    <row r="43" spans="1:9" x14ac:dyDescent="0.45">
      <c r="A43" s="75">
        <v>41</v>
      </c>
      <c r="B43" s="76">
        <v>17.399999999999999</v>
      </c>
      <c r="C43" s="76">
        <f t="shared" si="0"/>
        <v>283.5</v>
      </c>
      <c r="D43" s="76">
        <f t="shared" si="3"/>
        <v>303.7</v>
      </c>
      <c r="E43" s="76">
        <f t="shared" si="6"/>
        <v>80372.25</v>
      </c>
      <c r="F43" s="76">
        <f t="shared" si="6"/>
        <v>92233.689999999988</v>
      </c>
      <c r="G43" s="76">
        <f t="shared" si="2"/>
        <v>4932.8999999999996</v>
      </c>
      <c r="H43" s="76">
        <f t="shared" si="4"/>
        <v>5284.3799999999992</v>
      </c>
      <c r="I43" s="76">
        <f t="shared" si="5"/>
        <v>86098.95</v>
      </c>
    </row>
    <row r="44" spans="1:9" x14ac:dyDescent="0.45">
      <c r="A44" s="75">
        <v>42</v>
      </c>
      <c r="B44" s="76">
        <v>155.5</v>
      </c>
      <c r="C44" s="76">
        <f t="shared" si="0"/>
        <v>17.399999999999999</v>
      </c>
      <c r="D44" s="76">
        <f t="shared" si="3"/>
        <v>283.5</v>
      </c>
      <c r="E44" s="76">
        <f t="shared" si="6"/>
        <v>302.75999999999993</v>
      </c>
      <c r="F44" s="76">
        <f t="shared" si="6"/>
        <v>80372.25</v>
      </c>
      <c r="G44" s="76">
        <f t="shared" si="2"/>
        <v>2705.7</v>
      </c>
      <c r="H44" s="76">
        <f t="shared" si="4"/>
        <v>44084.25</v>
      </c>
      <c r="I44" s="76">
        <f t="shared" si="5"/>
        <v>4932.8999999999996</v>
      </c>
    </row>
    <row r="45" spans="1:9" x14ac:dyDescent="0.45">
      <c r="A45" s="75">
        <v>43</v>
      </c>
      <c r="B45" s="76">
        <v>207.6</v>
      </c>
      <c r="C45" s="76">
        <f t="shared" si="0"/>
        <v>155.5</v>
      </c>
      <c r="D45" s="76">
        <f t="shared" si="3"/>
        <v>17.399999999999999</v>
      </c>
      <c r="E45" s="76">
        <f t="shared" si="6"/>
        <v>24180.25</v>
      </c>
      <c r="F45" s="76">
        <f t="shared" si="6"/>
        <v>302.75999999999993</v>
      </c>
      <c r="G45" s="76">
        <f t="shared" si="2"/>
        <v>32281.8</v>
      </c>
      <c r="H45" s="76">
        <f t="shared" si="4"/>
        <v>3612.24</v>
      </c>
      <c r="I45" s="76">
        <f t="shared" si="5"/>
        <v>2705.7</v>
      </c>
    </row>
    <row r="46" spans="1:9" x14ac:dyDescent="0.45">
      <c r="A46" s="75">
        <v>44</v>
      </c>
      <c r="B46" s="76">
        <v>140.1</v>
      </c>
      <c r="C46" s="76">
        <f t="shared" si="0"/>
        <v>207.6</v>
      </c>
      <c r="D46" s="76">
        <f t="shared" si="3"/>
        <v>155.5</v>
      </c>
      <c r="E46" s="76">
        <f t="shared" si="6"/>
        <v>43097.759999999995</v>
      </c>
      <c r="F46" s="76">
        <f t="shared" si="6"/>
        <v>24180.25</v>
      </c>
      <c r="G46" s="76">
        <f t="shared" si="2"/>
        <v>29084.76</v>
      </c>
      <c r="H46" s="76">
        <f t="shared" si="4"/>
        <v>21785.55</v>
      </c>
      <c r="I46" s="76">
        <f t="shared" si="5"/>
        <v>32281.8</v>
      </c>
    </row>
    <row r="47" spans="1:9" x14ac:dyDescent="0.45">
      <c r="A47" s="75">
        <v>45</v>
      </c>
      <c r="B47" s="76">
        <v>179.6</v>
      </c>
      <c r="C47" s="76">
        <f t="shared" si="0"/>
        <v>140.1</v>
      </c>
      <c r="D47" s="76">
        <f t="shared" si="3"/>
        <v>207.6</v>
      </c>
      <c r="E47" s="76">
        <f t="shared" si="6"/>
        <v>19628.009999999998</v>
      </c>
      <c r="F47" s="76">
        <f t="shared" si="6"/>
        <v>43097.759999999995</v>
      </c>
      <c r="G47" s="76">
        <f t="shared" si="2"/>
        <v>25161.96</v>
      </c>
      <c r="H47" s="76">
        <f t="shared" si="4"/>
        <v>37284.959999999999</v>
      </c>
      <c r="I47" s="76">
        <f t="shared" si="5"/>
        <v>29084.76</v>
      </c>
    </row>
    <row r="48" spans="1:9" x14ac:dyDescent="0.45">
      <c r="A48" s="75">
        <v>46</v>
      </c>
      <c r="B48" s="76">
        <v>174.9</v>
      </c>
      <c r="C48" s="76">
        <f t="shared" si="0"/>
        <v>179.6</v>
      </c>
      <c r="D48" s="76">
        <f t="shared" si="3"/>
        <v>140.1</v>
      </c>
      <c r="E48" s="76">
        <f t="shared" si="6"/>
        <v>32256.159999999996</v>
      </c>
      <c r="F48" s="76">
        <f t="shared" si="6"/>
        <v>19628.009999999998</v>
      </c>
      <c r="G48" s="76">
        <f t="shared" si="2"/>
        <v>31412.04</v>
      </c>
      <c r="H48" s="76">
        <f t="shared" si="4"/>
        <v>24503.49</v>
      </c>
      <c r="I48" s="76">
        <f t="shared" si="5"/>
        <v>25161.96</v>
      </c>
    </row>
    <row r="49" spans="1:9" x14ac:dyDescent="0.45">
      <c r="A49" s="75">
        <v>47</v>
      </c>
      <c r="B49" s="76">
        <v>163</v>
      </c>
      <c r="C49" s="76">
        <f t="shared" si="0"/>
        <v>174.9</v>
      </c>
      <c r="D49" s="76">
        <f t="shared" si="3"/>
        <v>179.6</v>
      </c>
      <c r="E49" s="76">
        <f t="shared" si="6"/>
        <v>30590.010000000002</v>
      </c>
      <c r="F49" s="76">
        <f t="shared" si="6"/>
        <v>32256.159999999996</v>
      </c>
      <c r="G49" s="76">
        <f t="shared" si="2"/>
        <v>28508.7</v>
      </c>
      <c r="H49" s="76">
        <f t="shared" si="4"/>
        <v>29274.799999999999</v>
      </c>
      <c r="I49" s="76">
        <f t="shared" si="5"/>
        <v>31412.04</v>
      </c>
    </row>
    <row r="50" spans="1:9" x14ac:dyDescent="0.45">
      <c r="A50" s="75">
        <v>48</v>
      </c>
      <c r="B50" s="76">
        <v>151.6</v>
      </c>
      <c r="C50" s="76">
        <f t="shared" si="0"/>
        <v>163</v>
      </c>
      <c r="D50" s="76">
        <f t="shared" si="3"/>
        <v>174.9</v>
      </c>
      <c r="E50" s="76">
        <f t="shared" si="6"/>
        <v>26569</v>
      </c>
      <c r="F50" s="76">
        <f t="shared" si="6"/>
        <v>30590.010000000002</v>
      </c>
      <c r="G50" s="76">
        <f t="shared" si="2"/>
        <v>24710.799999999999</v>
      </c>
      <c r="H50" s="76">
        <f t="shared" si="4"/>
        <v>26514.84</v>
      </c>
      <c r="I50" s="76">
        <f t="shared" si="5"/>
        <v>28508.7</v>
      </c>
    </row>
    <row r="51" spans="1:9" x14ac:dyDescent="0.45">
      <c r="A51" s="75">
        <v>49</v>
      </c>
      <c r="B51" s="76">
        <v>75.099999999999994</v>
      </c>
      <c r="C51" s="76">
        <f t="shared" si="0"/>
        <v>151.6</v>
      </c>
      <c r="D51" s="76">
        <f t="shared" si="3"/>
        <v>163</v>
      </c>
      <c r="E51" s="76">
        <f t="shared" si="6"/>
        <v>22982.559999999998</v>
      </c>
      <c r="F51" s="76">
        <f t="shared" si="6"/>
        <v>26569</v>
      </c>
      <c r="G51" s="76">
        <f t="shared" si="2"/>
        <v>11385.159999999998</v>
      </c>
      <c r="H51" s="76">
        <f t="shared" si="4"/>
        <v>12241.3</v>
      </c>
      <c r="I51" s="76">
        <f t="shared" si="5"/>
        <v>24710.799999999999</v>
      </c>
    </row>
    <row r="52" spans="1:9" x14ac:dyDescent="0.45">
      <c r="A52" s="75">
        <v>50</v>
      </c>
      <c r="B52" s="76">
        <v>62</v>
      </c>
      <c r="C52" s="76">
        <f t="shared" si="0"/>
        <v>75.099999999999994</v>
      </c>
      <c r="D52" s="76">
        <f t="shared" si="3"/>
        <v>151.6</v>
      </c>
      <c r="E52" s="76">
        <f t="shared" si="6"/>
        <v>5640.0099999999993</v>
      </c>
      <c r="F52" s="76">
        <f t="shared" si="6"/>
        <v>22982.559999999998</v>
      </c>
      <c r="G52" s="76">
        <f t="shared" si="2"/>
        <v>4656.2</v>
      </c>
      <c r="H52" s="76">
        <f t="shared" si="4"/>
        <v>9399.1999999999989</v>
      </c>
      <c r="I52" s="76">
        <f t="shared" si="5"/>
        <v>11385.159999999998</v>
      </c>
    </row>
    <row r="53" spans="1:9" x14ac:dyDescent="0.45">
      <c r="A53" s="75">
        <v>51</v>
      </c>
      <c r="B53" s="76">
        <v>-17.8</v>
      </c>
      <c r="C53" s="76">
        <f t="shared" si="0"/>
        <v>62</v>
      </c>
      <c r="D53" s="76">
        <f t="shared" si="3"/>
        <v>75.099999999999994</v>
      </c>
      <c r="E53" s="76">
        <f t="shared" si="6"/>
        <v>3844</v>
      </c>
      <c r="F53" s="76">
        <f t="shared" si="6"/>
        <v>5640.0099999999993</v>
      </c>
      <c r="G53" s="76">
        <f t="shared" si="2"/>
        <v>-1103.6000000000001</v>
      </c>
      <c r="H53" s="76">
        <f t="shared" si="4"/>
        <v>-1336.78</v>
      </c>
      <c r="I53" s="76">
        <f t="shared" si="5"/>
        <v>4656.2</v>
      </c>
    </row>
    <row r="54" spans="1:9" x14ac:dyDescent="0.45">
      <c r="A54" s="75">
        <v>52</v>
      </c>
      <c r="B54" s="76">
        <v>-49.5</v>
      </c>
      <c r="C54" s="76">
        <f t="shared" si="0"/>
        <v>-17.8</v>
      </c>
      <c r="D54" s="76">
        <f t="shared" si="3"/>
        <v>62</v>
      </c>
      <c r="E54" s="76">
        <f t="shared" si="6"/>
        <v>316.84000000000003</v>
      </c>
      <c r="F54" s="76">
        <f t="shared" si="6"/>
        <v>3844</v>
      </c>
      <c r="G54" s="76">
        <f t="shared" si="2"/>
        <v>881.1</v>
      </c>
      <c r="H54" s="76">
        <f t="shared" si="4"/>
        <v>-3069</v>
      </c>
      <c r="I54" s="76">
        <f t="shared" si="5"/>
        <v>-1103.6000000000001</v>
      </c>
    </row>
    <row r="55" spans="1:9" x14ac:dyDescent="0.45">
      <c r="A55" s="75">
        <v>53</v>
      </c>
      <c r="B55" s="76">
        <v>-68.400000000000006</v>
      </c>
      <c r="C55" s="76">
        <f t="shared" si="0"/>
        <v>-49.5</v>
      </c>
      <c r="D55" s="76">
        <f t="shared" si="3"/>
        <v>-17.8</v>
      </c>
      <c r="E55" s="76">
        <f t="shared" si="6"/>
        <v>2450.25</v>
      </c>
      <c r="F55" s="76">
        <f t="shared" si="6"/>
        <v>316.84000000000003</v>
      </c>
      <c r="G55" s="76">
        <f t="shared" si="2"/>
        <v>3385.8</v>
      </c>
      <c r="H55" s="76">
        <f t="shared" si="4"/>
        <v>1217.5200000000002</v>
      </c>
      <c r="I55" s="76">
        <f t="shared" si="5"/>
        <v>881.1</v>
      </c>
    </row>
    <row r="56" spans="1:9" x14ac:dyDescent="0.45">
      <c r="A56" s="75">
        <v>54</v>
      </c>
      <c r="B56" s="76">
        <v>1.4</v>
      </c>
      <c r="C56" s="76">
        <f t="shared" si="0"/>
        <v>-68.400000000000006</v>
      </c>
      <c r="D56" s="76">
        <f t="shared" si="3"/>
        <v>-49.5</v>
      </c>
      <c r="E56" s="76">
        <f t="shared" si="6"/>
        <v>4678.5600000000004</v>
      </c>
      <c r="F56" s="76">
        <f t="shared" si="6"/>
        <v>2450.25</v>
      </c>
      <c r="G56" s="76">
        <f t="shared" si="2"/>
        <v>-95.76</v>
      </c>
      <c r="H56" s="76">
        <f t="shared" si="4"/>
        <v>-69.3</v>
      </c>
      <c r="I56" s="76">
        <f t="shared" si="5"/>
        <v>3385.8</v>
      </c>
    </row>
    <row r="57" spans="1:9" x14ac:dyDescent="0.45">
      <c r="A57" s="75">
        <v>55</v>
      </c>
      <c r="B57" s="76">
        <v>-14.5</v>
      </c>
      <c r="C57" s="76">
        <f t="shared" si="0"/>
        <v>1.4</v>
      </c>
      <c r="D57" s="76">
        <f t="shared" si="3"/>
        <v>-68.400000000000006</v>
      </c>
      <c r="E57" s="76">
        <f t="shared" si="6"/>
        <v>1.9599999999999997</v>
      </c>
      <c r="F57" s="76">
        <f t="shared" si="6"/>
        <v>4678.5600000000004</v>
      </c>
      <c r="G57" s="76">
        <f t="shared" si="2"/>
        <v>-20.299999999999997</v>
      </c>
      <c r="H57" s="76">
        <f t="shared" si="4"/>
        <v>991.80000000000007</v>
      </c>
      <c r="I57" s="76">
        <f t="shared" si="5"/>
        <v>-95.76</v>
      </c>
    </row>
    <row r="58" spans="1:9" x14ac:dyDescent="0.45">
      <c r="A58" s="75">
        <v>56</v>
      </c>
      <c r="B58" s="76">
        <v>-101.7</v>
      </c>
      <c r="C58" s="76">
        <f t="shared" si="0"/>
        <v>-14.5</v>
      </c>
      <c r="D58" s="76">
        <f t="shared" si="3"/>
        <v>1.4</v>
      </c>
      <c r="E58" s="76">
        <f t="shared" si="6"/>
        <v>210.25</v>
      </c>
      <c r="F58" s="76">
        <f t="shared" si="6"/>
        <v>1.9599999999999997</v>
      </c>
      <c r="G58" s="76">
        <f t="shared" si="2"/>
        <v>1474.65</v>
      </c>
      <c r="H58" s="76">
        <f t="shared" si="4"/>
        <v>-142.38</v>
      </c>
      <c r="I58" s="76">
        <f t="shared" si="5"/>
        <v>-20.299999999999997</v>
      </c>
    </row>
    <row r="59" spans="1:9" x14ac:dyDescent="0.45">
      <c r="A59" s="75">
        <v>57</v>
      </c>
      <c r="B59" s="76">
        <v>-75</v>
      </c>
      <c r="C59" s="76">
        <f t="shared" si="0"/>
        <v>-101.7</v>
      </c>
      <c r="D59" s="76">
        <f t="shared" si="3"/>
        <v>-14.5</v>
      </c>
      <c r="E59" s="76">
        <f t="shared" si="6"/>
        <v>10342.890000000001</v>
      </c>
      <c r="F59" s="76">
        <f t="shared" si="6"/>
        <v>210.25</v>
      </c>
      <c r="G59" s="76">
        <f t="shared" si="2"/>
        <v>7627.5</v>
      </c>
      <c r="H59" s="76">
        <f t="shared" si="4"/>
        <v>1087.5</v>
      </c>
      <c r="I59" s="76">
        <f t="shared" si="5"/>
        <v>1474.65</v>
      </c>
    </row>
    <row r="60" spans="1:9" x14ac:dyDescent="0.45">
      <c r="A60" s="75">
        <v>58</v>
      </c>
      <c r="B60" s="76">
        <v>-55</v>
      </c>
      <c r="C60" s="76">
        <f t="shared" si="0"/>
        <v>-75</v>
      </c>
      <c r="D60" s="76">
        <f t="shared" si="3"/>
        <v>-101.7</v>
      </c>
      <c r="E60" s="76">
        <f t="shared" si="6"/>
        <v>5625</v>
      </c>
      <c r="F60" s="76">
        <f t="shared" si="6"/>
        <v>10342.890000000001</v>
      </c>
      <c r="G60" s="76">
        <f t="shared" si="2"/>
        <v>4125</v>
      </c>
      <c r="H60" s="76">
        <f t="shared" si="4"/>
        <v>5593.5</v>
      </c>
      <c r="I60" s="76">
        <f t="shared" si="5"/>
        <v>7627.5</v>
      </c>
    </row>
    <row r="61" spans="1:9" x14ac:dyDescent="0.45">
      <c r="A61" s="75">
        <v>59</v>
      </c>
      <c r="B61" s="76">
        <v>-115.8</v>
      </c>
      <c r="C61" s="76">
        <f t="shared" si="0"/>
        <v>-55</v>
      </c>
      <c r="D61" s="76">
        <f t="shared" si="3"/>
        <v>-75</v>
      </c>
      <c r="E61" s="76">
        <f t="shared" si="6"/>
        <v>3025</v>
      </c>
      <c r="F61" s="76">
        <f t="shared" si="6"/>
        <v>5625</v>
      </c>
      <c r="G61" s="76">
        <f t="shared" si="2"/>
        <v>6369</v>
      </c>
      <c r="H61" s="76">
        <f t="shared" si="4"/>
        <v>8685</v>
      </c>
      <c r="I61" s="76">
        <f t="shared" si="5"/>
        <v>4125</v>
      </c>
    </row>
    <row r="62" spans="1:9" x14ac:dyDescent="0.45">
      <c r="A62" s="75">
        <v>60</v>
      </c>
      <c r="B62" s="76">
        <v>-11</v>
      </c>
      <c r="C62" s="76">
        <f t="shared" si="0"/>
        <v>-115.8</v>
      </c>
      <c r="D62" s="76">
        <f t="shared" si="3"/>
        <v>-55</v>
      </c>
      <c r="E62" s="76">
        <f t="shared" si="6"/>
        <v>13409.64</v>
      </c>
      <c r="F62" s="76">
        <f t="shared" si="6"/>
        <v>3025</v>
      </c>
      <c r="G62" s="76">
        <f t="shared" si="2"/>
        <v>1273.8</v>
      </c>
      <c r="H62" s="76">
        <f t="shared" si="4"/>
        <v>605</v>
      </c>
      <c r="I62" s="76">
        <f t="shared" si="5"/>
        <v>6369</v>
      </c>
    </row>
    <row r="63" spans="1:9" x14ac:dyDescent="0.45">
      <c r="A63" s="75">
        <v>61</v>
      </c>
      <c r="B63" s="76">
        <v>-36.200000000000003</v>
      </c>
      <c r="C63" s="76">
        <f t="shared" si="0"/>
        <v>-11</v>
      </c>
      <c r="D63" s="76">
        <f t="shared" si="3"/>
        <v>-115.8</v>
      </c>
      <c r="E63" s="76">
        <f t="shared" si="6"/>
        <v>121</v>
      </c>
      <c r="F63" s="76">
        <f t="shared" si="6"/>
        <v>13409.64</v>
      </c>
      <c r="G63" s="76">
        <f t="shared" si="2"/>
        <v>398.20000000000005</v>
      </c>
      <c r="H63" s="76">
        <f t="shared" si="4"/>
        <v>4191.96</v>
      </c>
      <c r="I63" s="76">
        <f t="shared" si="5"/>
        <v>1273.8</v>
      </c>
    </row>
    <row r="64" spans="1:9" x14ac:dyDescent="0.45">
      <c r="A64" s="75">
        <v>62</v>
      </c>
      <c r="B64" s="76">
        <v>-296.3</v>
      </c>
      <c r="C64" s="76">
        <f t="shared" si="0"/>
        <v>-36.200000000000003</v>
      </c>
      <c r="D64" s="76">
        <f t="shared" si="3"/>
        <v>-11</v>
      </c>
      <c r="E64" s="76">
        <f t="shared" si="6"/>
        <v>1310.4400000000003</v>
      </c>
      <c r="F64" s="76">
        <f t="shared" si="6"/>
        <v>121</v>
      </c>
      <c r="G64" s="76">
        <f t="shared" si="2"/>
        <v>10726.060000000001</v>
      </c>
      <c r="H64" s="76">
        <f t="shared" si="4"/>
        <v>3259.3</v>
      </c>
      <c r="I64" s="76">
        <f t="shared" si="5"/>
        <v>398.20000000000005</v>
      </c>
    </row>
    <row r="65" spans="1:9" x14ac:dyDescent="0.45">
      <c r="A65" s="75">
        <v>63</v>
      </c>
      <c r="B65" s="76">
        <v>-186</v>
      </c>
      <c r="C65" s="76">
        <f t="shared" si="0"/>
        <v>-296.3</v>
      </c>
      <c r="D65" s="76">
        <f t="shared" si="3"/>
        <v>-36.200000000000003</v>
      </c>
      <c r="E65" s="76">
        <f t="shared" si="6"/>
        <v>87793.69</v>
      </c>
      <c r="F65" s="76">
        <f t="shared" si="6"/>
        <v>1310.4400000000003</v>
      </c>
      <c r="G65" s="76">
        <f t="shared" si="2"/>
        <v>55111.8</v>
      </c>
      <c r="H65" s="76">
        <f t="shared" si="4"/>
        <v>6733.2000000000007</v>
      </c>
      <c r="I65" s="76">
        <f t="shared" si="5"/>
        <v>10726.060000000001</v>
      </c>
    </row>
    <row r="66" spans="1:9" x14ac:dyDescent="0.45">
      <c r="A66" s="75">
        <v>64</v>
      </c>
      <c r="B66" s="76">
        <v>68.2</v>
      </c>
      <c r="C66" s="76">
        <f t="shared" si="0"/>
        <v>-186</v>
      </c>
      <c r="D66" s="76">
        <f t="shared" si="3"/>
        <v>-296.3</v>
      </c>
      <c r="E66" s="76">
        <f t="shared" si="6"/>
        <v>34596</v>
      </c>
      <c r="F66" s="76">
        <f t="shared" si="6"/>
        <v>87793.69</v>
      </c>
      <c r="G66" s="76">
        <f t="shared" si="2"/>
        <v>-12685.2</v>
      </c>
      <c r="H66" s="76">
        <f t="shared" si="4"/>
        <v>-20207.66</v>
      </c>
      <c r="I66" s="76">
        <f t="shared" si="5"/>
        <v>55111.8</v>
      </c>
    </row>
    <row r="67" spans="1:9" x14ac:dyDescent="0.45">
      <c r="A67" s="75">
        <v>65</v>
      </c>
      <c r="B67" s="76">
        <v>-30.2</v>
      </c>
      <c r="C67" s="76">
        <f t="shared" si="0"/>
        <v>68.2</v>
      </c>
      <c r="D67" s="76">
        <f t="shared" si="3"/>
        <v>-186</v>
      </c>
      <c r="E67" s="76">
        <f t="shared" si="6"/>
        <v>4651.2400000000007</v>
      </c>
      <c r="F67" s="76">
        <f t="shared" si="6"/>
        <v>34596</v>
      </c>
      <c r="G67" s="76">
        <f t="shared" si="2"/>
        <v>-2059.64</v>
      </c>
      <c r="H67" s="76">
        <f t="shared" si="4"/>
        <v>5617.2</v>
      </c>
      <c r="I67" s="76">
        <f t="shared" si="5"/>
        <v>-12685.2</v>
      </c>
    </row>
    <row r="68" spans="1:9" x14ac:dyDescent="0.45">
      <c r="A68" s="75">
        <v>66</v>
      </c>
      <c r="B68" s="76">
        <v>-8</v>
      </c>
      <c r="C68" s="76">
        <f t="shared" ref="C68:C81" si="7">B67</f>
        <v>-30.2</v>
      </c>
      <c r="D68" s="76">
        <f t="shared" si="3"/>
        <v>68.2</v>
      </c>
      <c r="E68" s="76">
        <f t="shared" ref="E68:F81" si="8">C68^2</f>
        <v>912.04</v>
      </c>
      <c r="F68" s="76">
        <f t="shared" si="8"/>
        <v>4651.2400000000007</v>
      </c>
      <c r="G68" s="76">
        <f t="shared" ref="G68:G81" si="9">B68*C68</f>
        <v>241.6</v>
      </c>
      <c r="H68" s="76">
        <f t="shared" si="4"/>
        <v>-545.6</v>
      </c>
      <c r="I68" s="76">
        <f t="shared" si="5"/>
        <v>-2059.64</v>
      </c>
    </row>
    <row r="69" spans="1:9" x14ac:dyDescent="0.45">
      <c r="A69" s="75">
        <v>67</v>
      </c>
      <c r="B69" s="76">
        <v>-13.9</v>
      </c>
      <c r="C69" s="76">
        <f t="shared" si="7"/>
        <v>-8</v>
      </c>
      <c r="D69" s="76">
        <f t="shared" ref="D69:D81" si="10">B67</f>
        <v>-30.2</v>
      </c>
      <c r="E69" s="76">
        <f t="shared" si="8"/>
        <v>64</v>
      </c>
      <c r="F69" s="76">
        <f t="shared" si="8"/>
        <v>912.04</v>
      </c>
      <c r="G69" s="76">
        <f t="shared" si="9"/>
        <v>111.2</v>
      </c>
      <c r="H69" s="76">
        <f t="shared" ref="H69:H81" si="11">B69*D69</f>
        <v>419.78</v>
      </c>
      <c r="I69" s="76">
        <f t="shared" ref="I69:I81" si="12">C69*D69</f>
        <v>241.6</v>
      </c>
    </row>
    <row r="70" spans="1:9" x14ac:dyDescent="0.45">
      <c r="A70" s="75">
        <v>68</v>
      </c>
      <c r="B70" s="76">
        <v>-29.7</v>
      </c>
      <c r="C70" s="76">
        <f t="shared" si="7"/>
        <v>-13.9</v>
      </c>
      <c r="D70" s="76">
        <f t="shared" si="10"/>
        <v>-8</v>
      </c>
      <c r="E70" s="76">
        <f t="shared" si="8"/>
        <v>193.21</v>
      </c>
      <c r="F70" s="76">
        <f t="shared" si="8"/>
        <v>64</v>
      </c>
      <c r="G70" s="76">
        <f t="shared" si="9"/>
        <v>412.83</v>
      </c>
      <c r="H70" s="76">
        <f t="shared" si="11"/>
        <v>237.6</v>
      </c>
      <c r="I70" s="76">
        <f t="shared" si="12"/>
        <v>111.2</v>
      </c>
    </row>
    <row r="71" spans="1:9" x14ac:dyDescent="0.45">
      <c r="A71" s="75">
        <v>69</v>
      </c>
      <c r="B71" s="76">
        <v>-14.9</v>
      </c>
      <c r="C71" s="76">
        <f t="shared" si="7"/>
        <v>-29.7</v>
      </c>
      <c r="D71" s="76">
        <f t="shared" si="10"/>
        <v>-13.9</v>
      </c>
      <c r="E71" s="76">
        <f t="shared" si="8"/>
        <v>882.08999999999992</v>
      </c>
      <c r="F71" s="76">
        <f t="shared" si="8"/>
        <v>193.21</v>
      </c>
      <c r="G71" s="76">
        <f t="shared" si="9"/>
        <v>442.53</v>
      </c>
      <c r="H71" s="76">
        <f t="shared" si="11"/>
        <v>207.11</v>
      </c>
      <c r="I71" s="76">
        <f t="shared" si="12"/>
        <v>412.83</v>
      </c>
    </row>
    <row r="72" spans="1:9" x14ac:dyDescent="0.45">
      <c r="A72" s="75">
        <v>70</v>
      </c>
      <c r="B72" s="76">
        <v>13.5</v>
      </c>
      <c r="C72" s="76">
        <f t="shared" si="7"/>
        <v>-14.9</v>
      </c>
      <c r="D72" s="76">
        <f t="shared" si="10"/>
        <v>-29.7</v>
      </c>
      <c r="E72" s="76">
        <f t="shared" si="8"/>
        <v>222.01000000000002</v>
      </c>
      <c r="F72" s="76">
        <f t="shared" si="8"/>
        <v>882.08999999999992</v>
      </c>
      <c r="G72" s="76">
        <f t="shared" si="9"/>
        <v>-201.15</v>
      </c>
      <c r="H72" s="76">
        <f t="shared" si="11"/>
        <v>-400.95</v>
      </c>
      <c r="I72" s="76">
        <f t="shared" si="12"/>
        <v>442.53</v>
      </c>
    </row>
    <row r="73" spans="1:9" x14ac:dyDescent="0.45">
      <c r="A73" s="75">
        <v>71</v>
      </c>
      <c r="B73" s="76">
        <v>31.4</v>
      </c>
      <c r="C73" s="76">
        <f t="shared" si="7"/>
        <v>13.5</v>
      </c>
      <c r="D73" s="76">
        <f t="shared" si="10"/>
        <v>-14.9</v>
      </c>
      <c r="E73" s="76">
        <f t="shared" si="8"/>
        <v>182.25</v>
      </c>
      <c r="F73" s="76">
        <f t="shared" si="8"/>
        <v>222.01000000000002</v>
      </c>
      <c r="G73" s="76">
        <f t="shared" si="9"/>
        <v>423.9</v>
      </c>
      <c r="H73" s="76">
        <f t="shared" si="11"/>
        <v>-467.86</v>
      </c>
      <c r="I73" s="76">
        <f t="shared" si="12"/>
        <v>-201.15</v>
      </c>
    </row>
    <row r="74" spans="1:9" x14ac:dyDescent="0.45">
      <c r="A74" s="75">
        <v>72</v>
      </c>
      <c r="B74" s="76">
        <v>65.900000000000006</v>
      </c>
      <c r="C74" s="76">
        <f t="shared" si="7"/>
        <v>31.4</v>
      </c>
      <c r="D74" s="76">
        <f t="shared" si="10"/>
        <v>13.5</v>
      </c>
      <c r="E74" s="76">
        <f t="shared" si="8"/>
        <v>985.95999999999992</v>
      </c>
      <c r="F74" s="76">
        <f t="shared" si="8"/>
        <v>182.25</v>
      </c>
      <c r="G74" s="76">
        <f t="shared" si="9"/>
        <v>2069.2600000000002</v>
      </c>
      <c r="H74" s="76">
        <f t="shared" si="11"/>
        <v>889.65000000000009</v>
      </c>
      <c r="I74" s="76">
        <f t="shared" si="12"/>
        <v>423.9</v>
      </c>
    </row>
    <row r="75" spans="1:9" x14ac:dyDescent="0.45">
      <c r="A75" s="75">
        <v>73</v>
      </c>
      <c r="B75" s="76">
        <v>83.2</v>
      </c>
      <c r="C75" s="76">
        <f t="shared" si="7"/>
        <v>65.900000000000006</v>
      </c>
      <c r="D75" s="76">
        <f t="shared" si="10"/>
        <v>31.4</v>
      </c>
      <c r="E75" s="76">
        <f t="shared" si="8"/>
        <v>4342.8100000000004</v>
      </c>
      <c r="F75" s="76">
        <f t="shared" si="8"/>
        <v>985.95999999999992</v>
      </c>
      <c r="G75" s="76">
        <f t="shared" si="9"/>
        <v>5482.880000000001</v>
      </c>
      <c r="H75" s="76">
        <f t="shared" si="11"/>
        <v>2612.48</v>
      </c>
      <c r="I75" s="76">
        <f t="shared" si="12"/>
        <v>2069.2600000000002</v>
      </c>
    </row>
    <row r="76" spans="1:9" x14ac:dyDescent="0.45">
      <c r="A76" s="75">
        <v>74</v>
      </c>
      <c r="B76" s="76">
        <v>46.3</v>
      </c>
      <c r="C76" s="76">
        <f t="shared" si="7"/>
        <v>83.2</v>
      </c>
      <c r="D76" s="76">
        <f t="shared" si="10"/>
        <v>65.900000000000006</v>
      </c>
      <c r="E76" s="76">
        <f t="shared" si="8"/>
        <v>6922.2400000000007</v>
      </c>
      <c r="F76" s="76">
        <f t="shared" si="8"/>
        <v>4342.8100000000004</v>
      </c>
      <c r="G76" s="76">
        <f t="shared" si="9"/>
        <v>3852.16</v>
      </c>
      <c r="H76" s="76">
        <f t="shared" si="11"/>
        <v>3051.17</v>
      </c>
      <c r="I76" s="76">
        <f t="shared" si="12"/>
        <v>5482.880000000001</v>
      </c>
    </row>
    <row r="77" spans="1:9" x14ac:dyDescent="0.45">
      <c r="A77" s="75">
        <v>75</v>
      </c>
      <c r="B77" s="76">
        <v>-14.4</v>
      </c>
      <c r="C77" s="76">
        <f t="shared" si="7"/>
        <v>46.3</v>
      </c>
      <c r="D77" s="76">
        <f t="shared" si="10"/>
        <v>83.2</v>
      </c>
      <c r="E77" s="76">
        <f t="shared" si="8"/>
        <v>2143.6899999999996</v>
      </c>
      <c r="F77" s="76">
        <f t="shared" si="8"/>
        <v>6922.2400000000007</v>
      </c>
      <c r="G77" s="76">
        <f t="shared" si="9"/>
        <v>-666.72</v>
      </c>
      <c r="H77" s="76">
        <f t="shared" si="11"/>
        <v>-1198.0800000000002</v>
      </c>
      <c r="I77" s="76">
        <f t="shared" si="12"/>
        <v>3852.16</v>
      </c>
    </row>
    <row r="78" spans="1:9" x14ac:dyDescent="0.45">
      <c r="A78" s="75">
        <v>76</v>
      </c>
      <c r="B78" s="76">
        <v>61.1</v>
      </c>
      <c r="C78" s="76">
        <f t="shared" si="7"/>
        <v>-14.4</v>
      </c>
      <c r="D78" s="76">
        <f t="shared" si="10"/>
        <v>46.3</v>
      </c>
      <c r="E78" s="76">
        <f t="shared" si="8"/>
        <v>207.36</v>
      </c>
      <c r="F78" s="76">
        <f t="shared" si="8"/>
        <v>2143.6899999999996</v>
      </c>
      <c r="G78" s="76">
        <f t="shared" si="9"/>
        <v>-879.84</v>
      </c>
      <c r="H78" s="76">
        <f t="shared" si="11"/>
        <v>2828.93</v>
      </c>
      <c r="I78" s="76">
        <f t="shared" si="12"/>
        <v>-666.72</v>
      </c>
    </row>
    <row r="79" spans="1:9" x14ac:dyDescent="0.45">
      <c r="A79" s="75">
        <v>77</v>
      </c>
      <c r="B79" s="76">
        <v>47.8</v>
      </c>
      <c r="C79" s="76">
        <f t="shared" si="7"/>
        <v>61.1</v>
      </c>
      <c r="D79" s="76">
        <f t="shared" si="10"/>
        <v>-14.4</v>
      </c>
      <c r="E79" s="76">
        <f t="shared" si="8"/>
        <v>3733.21</v>
      </c>
      <c r="F79" s="76">
        <f t="shared" si="8"/>
        <v>207.36</v>
      </c>
      <c r="G79" s="76">
        <f t="shared" si="9"/>
        <v>2920.58</v>
      </c>
      <c r="H79" s="76">
        <f t="shared" si="11"/>
        <v>-688.31999999999994</v>
      </c>
      <c r="I79" s="76">
        <f t="shared" si="12"/>
        <v>-879.84</v>
      </c>
    </row>
    <row r="80" spans="1:9" x14ac:dyDescent="0.45">
      <c r="A80" s="75">
        <v>78</v>
      </c>
      <c r="B80" s="76">
        <v>26.7</v>
      </c>
      <c r="C80" s="76">
        <f t="shared" si="7"/>
        <v>47.8</v>
      </c>
      <c r="D80" s="76">
        <f t="shared" si="10"/>
        <v>61.1</v>
      </c>
      <c r="E80" s="76">
        <f t="shared" si="8"/>
        <v>2284.8399999999997</v>
      </c>
      <c r="F80" s="76">
        <f t="shared" si="8"/>
        <v>3733.21</v>
      </c>
      <c r="G80" s="76">
        <f t="shared" si="9"/>
        <v>1276.26</v>
      </c>
      <c r="H80" s="76">
        <f t="shared" si="11"/>
        <v>1631.37</v>
      </c>
      <c r="I80" s="76">
        <f t="shared" si="12"/>
        <v>2920.58</v>
      </c>
    </row>
    <row r="81" spans="1:9" x14ac:dyDescent="0.45">
      <c r="A81" s="75">
        <v>79</v>
      </c>
      <c r="B81" s="76">
        <v>91.4</v>
      </c>
      <c r="C81" s="76">
        <f t="shared" si="7"/>
        <v>26.7</v>
      </c>
      <c r="D81" s="76">
        <f t="shared" si="10"/>
        <v>47.8</v>
      </c>
      <c r="E81" s="76">
        <f t="shared" si="8"/>
        <v>712.89</v>
      </c>
      <c r="F81" s="76">
        <f t="shared" si="8"/>
        <v>2284.8399999999997</v>
      </c>
      <c r="G81" s="76">
        <f t="shared" si="9"/>
        <v>2440.38</v>
      </c>
      <c r="H81" s="76">
        <f t="shared" si="11"/>
        <v>4368.92</v>
      </c>
      <c r="I81" s="76">
        <f t="shared" si="12"/>
        <v>1276.26</v>
      </c>
    </row>
    <row r="82" spans="1:9" x14ac:dyDescent="0.45">
      <c r="A82" s="14"/>
      <c r="B82" s="14"/>
      <c r="C82" s="14"/>
      <c r="D82" s="14"/>
      <c r="E82" s="14"/>
      <c r="F82" s="14"/>
      <c r="G82" s="14"/>
      <c r="H82" s="14"/>
      <c r="I82" s="14"/>
    </row>
    <row r="83" spans="1:9" x14ac:dyDescent="0.45">
      <c r="A83" s="141" t="s">
        <v>83</v>
      </c>
      <c r="B83" s="141"/>
      <c r="C83" s="105">
        <f t="shared" ref="C83:I83" si="13">SUM(C6:C81)</f>
        <v>7081.7000000000025</v>
      </c>
      <c r="D83" s="105">
        <f t="shared" si="13"/>
        <v>7118.4000000000024</v>
      </c>
      <c r="E83" s="105">
        <f t="shared" si="13"/>
        <v>3218860.0099999979</v>
      </c>
      <c r="F83" s="105">
        <f t="shared" si="13"/>
        <v>3222166.6799999983</v>
      </c>
      <c r="G83" s="105">
        <f t="shared" si="13"/>
        <v>2575756.9399999995</v>
      </c>
      <c r="H83" s="105">
        <f t="shared" si="13"/>
        <v>1731722.0000000002</v>
      </c>
      <c r="I83" s="105">
        <f t="shared" si="13"/>
        <v>2574787.4399999995</v>
      </c>
    </row>
    <row r="84" spans="1:9" x14ac:dyDescent="0.45">
      <c r="A84" s="14"/>
      <c r="B84" s="14"/>
      <c r="C84" s="14"/>
      <c r="D84" s="14"/>
      <c r="E84" s="14"/>
      <c r="F84" s="14"/>
      <c r="G84" s="14"/>
      <c r="H84" s="14"/>
      <c r="I84" s="14"/>
    </row>
    <row r="85" spans="1:9" x14ac:dyDescent="0.45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5" x14ac:dyDescent="0.45">
      <c r="A86" s="142" t="s">
        <v>84</v>
      </c>
      <c r="B86" s="142"/>
      <c r="C86" s="142"/>
      <c r="D86" s="142"/>
      <c r="E86" s="142"/>
      <c r="F86" s="142"/>
      <c r="G86" s="142"/>
      <c r="H86" s="142"/>
      <c r="I86" s="142"/>
    </row>
    <row r="87" spans="1:9" x14ac:dyDescent="0.45">
      <c r="A87" s="143" t="s">
        <v>85</v>
      </c>
      <c r="B87" s="143"/>
      <c r="C87" s="143"/>
      <c r="D87" s="143"/>
      <c r="E87" s="77">
        <f>E83*F83-(I83)^2</f>
        <v>3742173110624.7041</v>
      </c>
      <c r="F87" s="78"/>
      <c r="G87" s="78"/>
      <c r="H87" s="78"/>
      <c r="I87" s="78"/>
    </row>
    <row r="88" spans="1:9" x14ac:dyDescent="0.45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6.899999999999999" x14ac:dyDescent="0.45">
      <c r="A89" s="139" t="s">
        <v>86</v>
      </c>
      <c r="B89" s="139"/>
      <c r="C89" s="139"/>
      <c r="D89" s="139"/>
      <c r="E89" s="79">
        <f>(G83*F83-H83*I83)/E87</f>
        <v>1.0263293597430401</v>
      </c>
      <c r="F89" s="14"/>
      <c r="G89" s="14"/>
      <c r="H89" s="14"/>
      <c r="I89" s="14"/>
    </row>
    <row r="90" spans="1:9" x14ac:dyDescent="0.45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6.899999999999999" x14ac:dyDescent="0.45">
      <c r="A91" s="139" t="s">
        <v>87</v>
      </c>
      <c r="B91" s="139"/>
      <c r="C91" s="139"/>
      <c r="D91" s="139"/>
      <c r="E91" s="79">
        <f>(E83*H83-G83*I83)/E87</f>
        <v>-0.28268492453333349</v>
      </c>
      <c r="F91" s="14"/>
      <c r="G91" s="14"/>
      <c r="H91" s="14"/>
      <c r="I91" s="14"/>
    </row>
  </sheetData>
  <mergeCells count="6">
    <mergeCell ref="A91:D91"/>
    <mergeCell ref="A1:I1"/>
    <mergeCell ref="A83:B83"/>
    <mergeCell ref="A86:I86"/>
    <mergeCell ref="A87:D87"/>
    <mergeCell ref="A89:D8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3CCD-A48E-4638-8351-AD75E039B03D}">
  <dimension ref="A1:I90"/>
  <sheetViews>
    <sheetView topLeftCell="P63" zoomScale="60" workbookViewId="0">
      <selection activeCell="E103" sqref="E103"/>
    </sheetView>
  </sheetViews>
  <sheetFormatPr defaultRowHeight="14.25" x14ac:dyDescent="0.45"/>
  <cols>
    <col min="1" max="1" width="6" customWidth="1"/>
    <col min="2" max="2" width="21.86328125" customWidth="1"/>
    <col min="3" max="4" width="12" customWidth="1"/>
    <col min="5" max="7" width="16" customWidth="1"/>
    <col min="8" max="9" width="14" customWidth="1"/>
  </cols>
  <sheetData>
    <row r="1" spans="1:9" x14ac:dyDescent="0.45">
      <c r="A1" s="86" t="s">
        <v>64</v>
      </c>
      <c r="B1" s="86" t="s">
        <v>101</v>
      </c>
      <c r="C1" s="86" t="s">
        <v>102</v>
      </c>
      <c r="D1" s="86" t="s">
        <v>103</v>
      </c>
      <c r="E1" s="86" t="s">
        <v>104</v>
      </c>
      <c r="F1" s="86" t="s">
        <v>105</v>
      </c>
      <c r="G1" s="86" t="s">
        <v>106</v>
      </c>
      <c r="H1" s="86" t="s">
        <v>107</v>
      </c>
      <c r="I1" s="86" t="s">
        <v>108</v>
      </c>
    </row>
    <row r="2" spans="1:9" x14ac:dyDescent="0.45">
      <c r="A2" s="81">
        <v>4</v>
      </c>
      <c r="B2" s="82">
        <v>56.5</v>
      </c>
      <c r="C2" s="82">
        <v>23.2</v>
      </c>
      <c r="D2" s="82">
        <v>63.4</v>
      </c>
      <c r="E2" s="82">
        <v>1310.8</v>
      </c>
      <c r="F2" s="82">
        <v>3582.1</v>
      </c>
      <c r="G2" s="82">
        <v>1470.88</v>
      </c>
      <c r="H2" s="82">
        <v>538.24</v>
      </c>
      <c r="I2" s="82">
        <v>4019.56</v>
      </c>
    </row>
    <row r="3" spans="1:9" x14ac:dyDescent="0.45">
      <c r="A3" s="81">
        <v>5</v>
      </c>
      <c r="B3" s="82">
        <v>44.8</v>
      </c>
      <c r="C3" s="82">
        <v>56.5</v>
      </c>
      <c r="D3" s="82">
        <v>23.2</v>
      </c>
      <c r="E3" s="82">
        <v>2531.1999999999998</v>
      </c>
      <c r="F3" s="82">
        <v>1039.3599999999999</v>
      </c>
      <c r="G3" s="82">
        <v>1310.8</v>
      </c>
      <c r="H3" s="82">
        <v>3192.25</v>
      </c>
      <c r="I3" s="82">
        <v>538.24</v>
      </c>
    </row>
    <row r="4" spans="1:9" x14ac:dyDescent="0.45">
      <c r="A4" s="81">
        <v>6</v>
      </c>
      <c r="B4" s="82">
        <v>37.4</v>
      </c>
      <c r="C4" s="82">
        <v>44.8</v>
      </c>
      <c r="D4" s="82">
        <v>56.5</v>
      </c>
      <c r="E4" s="82">
        <v>1675.52</v>
      </c>
      <c r="F4" s="82">
        <v>2113.1</v>
      </c>
      <c r="G4" s="82">
        <v>2531.1999999999998</v>
      </c>
      <c r="H4" s="82">
        <v>2007.04</v>
      </c>
      <c r="I4" s="82">
        <v>3192.25</v>
      </c>
    </row>
    <row r="5" spans="1:9" x14ac:dyDescent="0.45">
      <c r="A5" s="81">
        <v>7</v>
      </c>
      <c r="B5" s="82">
        <v>48.6</v>
      </c>
      <c r="C5" s="82">
        <v>37.4</v>
      </c>
      <c r="D5" s="82">
        <v>44.8</v>
      </c>
      <c r="E5" s="82">
        <v>1817.64</v>
      </c>
      <c r="F5" s="82">
        <v>2177.2800000000002</v>
      </c>
      <c r="G5" s="82">
        <v>1675.52</v>
      </c>
      <c r="H5" s="82">
        <v>1398.76</v>
      </c>
      <c r="I5" s="82">
        <v>2007.04</v>
      </c>
    </row>
    <row r="6" spans="1:9" x14ac:dyDescent="0.45">
      <c r="A6" s="81">
        <v>8</v>
      </c>
      <c r="B6" s="82">
        <v>22.3</v>
      </c>
      <c r="C6" s="82">
        <v>48.6</v>
      </c>
      <c r="D6" s="82">
        <v>37.4</v>
      </c>
      <c r="E6" s="82">
        <v>1083.78</v>
      </c>
      <c r="F6" s="82">
        <v>834.02</v>
      </c>
      <c r="G6" s="82">
        <v>1817.64</v>
      </c>
      <c r="H6" s="82">
        <v>2361.96</v>
      </c>
      <c r="I6" s="82">
        <v>1398.76</v>
      </c>
    </row>
    <row r="7" spans="1:9" x14ac:dyDescent="0.45">
      <c r="A7" s="81">
        <v>9</v>
      </c>
      <c r="B7" s="82">
        <v>11.1</v>
      </c>
      <c r="C7" s="82">
        <v>22.3</v>
      </c>
      <c r="D7" s="82">
        <v>48.6</v>
      </c>
      <c r="E7" s="82">
        <v>247.53</v>
      </c>
      <c r="F7" s="82">
        <v>539.46</v>
      </c>
      <c r="G7" s="82">
        <v>1083.78</v>
      </c>
      <c r="H7" s="82">
        <v>497.29</v>
      </c>
      <c r="I7" s="82">
        <v>2361.96</v>
      </c>
    </row>
    <row r="8" spans="1:9" x14ac:dyDescent="0.45">
      <c r="A8" s="81">
        <v>10</v>
      </c>
      <c r="B8" s="82">
        <v>26.2</v>
      </c>
      <c r="C8" s="82">
        <v>11.1</v>
      </c>
      <c r="D8" s="82">
        <v>22.3</v>
      </c>
      <c r="E8" s="82">
        <v>290.82</v>
      </c>
      <c r="F8" s="82">
        <v>584.26</v>
      </c>
      <c r="G8" s="82">
        <v>247.53</v>
      </c>
      <c r="H8" s="82">
        <v>123.21</v>
      </c>
      <c r="I8" s="82">
        <v>497.29</v>
      </c>
    </row>
    <row r="9" spans="1:9" x14ac:dyDescent="0.45">
      <c r="A9" s="81">
        <v>11</v>
      </c>
      <c r="B9" s="82">
        <v>104</v>
      </c>
      <c r="C9" s="82">
        <v>26.2</v>
      </c>
      <c r="D9" s="82">
        <v>11.1</v>
      </c>
      <c r="E9" s="82">
        <v>2724.8</v>
      </c>
      <c r="F9" s="82">
        <v>1154.4000000000001</v>
      </c>
      <c r="G9" s="82">
        <v>290.82</v>
      </c>
      <c r="H9" s="82">
        <v>686.43999999999994</v>
      </c>
      <c r="I9" s="82">
        <v>123.21</v>
      </c>
    </row>
    <row r="10" spans="1:9" x14ac:dyDescent="0.45">
      <c r="A10" s="81">
        <v>12</v>
      </c>
      <c r="B10" s="82">
        <v>72.900000000000006</v>
      </c>
      <c r="C10" s="82">
        <v>104</v>
      </c>
      <c r="D10" s="82">
        <v>26.2</v>
      </c>
      <c r="E10" s="82">
        <v>7581.6</v>
      </c>
      <c r="F10" s="82">
        <v>1909.98</v>
      </c>
      <c r="G10" s="82">
        <v>2724.8</v>
      </c>
      <c r="H10" s="82">
        <v>10816</v>
      </c>
      <c r="I10" s="82">
        <v>686.43999999999994</v>
      </c>
    </row>
    <row r="11" spans="1:9" x14ac:dyDescent="0.45">
      <c r="A11" s="81">
        <v>13</v>
      </c>
      <c r="B11" s="82">
        <v>46.6</v>
      </c>
      <c r="C11" s="82">
        <v>72.900000000000006</v>
      </c>
      <c r="D11" s="82">
        <v>104</v>
      </c>
      <c r="E11" s="82">
        <v>3397.14</v>
      </c>
      <c r="F11" s="82">
        <v>4846.4000000000005</v>
      </c>
      <c r="G11" s="82">
        <v>7581.6</v>
      </c>
      <c r="H11" s="82">
        <v>5314.4100000000008</v>
      </c>
      <c r="I11" s="82">
        <v>10816</v>
      </c>
    </row>
    <row r="12" spans="1:9" x14ac:dyDescent="0.45">
      <c r="A12" s="81">
        <v>14</v>
      </c>
      <c r="B12" s="82">
        <v>51.2</v>
      </c>
      <c r="C12" s="82">
        <v>46.6</v>
      </c>
      <c r="D12" s="82">
        <v>72.900000000000006</v>
      </c>
      <c r="E12" s="82">
        <v>2385.92</v>
      </c>
      <c r="F12" s="82">
        <v>3732.48</v>
      </c>
      <c r="G12" s="82">
        <v>3397.14</v>
      </c>
      <c r="H12" s="82">
        <v>2171.56</v>
      </c>
      <c r="I12" s="82">
        <v>5314.4100000000008</v>
      </c>
    </row>
    <row r="13" spans="1:9" x14ac:dyDescent="0.45">
      <c r="A13" s="81">
        <v>15</v>
      </c>
      <c r="B13" s="82">
        <v>37.200000000000003</v>
      </c>
      <c r="C13" s="82">
        <v>51.2</v>
      </c>
      <c r="D13" s="82">
        <v>46.6</v>
      </c>
      <c r="E13" s="82">
        <v>1904.64</v>
      </c>
      <c r="F13" s="82">
        <v>1733.52</v>
      </c>
      <c r="G13" s="82">
        <v>2385.92</v>
      </c>
      <c r="H13" s="82">
        <v>2621.440000000001</v>
      </c>
      <c r="I13" s="82">
        <v>2171.56</v>
      </c>
    </row>
    <row r="14" spans="1:9" x14ac:dyDescent="0.45">
      <c r="A14" s="81">
        <v>16</v>
      </c>
      <c r="B14" s="82">
        <v>109.7</v>
      </c>
      <c r="C14" s="82">
        <v>37.200000000000003</v>
      </c>
      <c r="D14" s="82">
        <v>51.2</v>
      </c>
      <c r="E14" s="82">
        <v>4080.8400000000011</v>
      </c>
      <c r="F14" s="82">
        <v>5616.64</v>
      </c>
      <c r="G14" s="82">
        <v>1904.64</v>
      </c>
      <c r="H14" s="82">
        <v>1383.84</v>
      </c>
      <c r="I14" s="82">
        <v>2621.440000000001</v>
      </c>
    </row>
    <row r="15" spans="1:9" x14ac:dyDescent="0.45">
      <c r="A15" s="81">
        <v>17</v>
      </c>
      <c r="B15" s="82">
        <v>98.4</v>
      </c>
      <c r="C15" s="82">
        <v>109.7</v>
      </c>
      <c r="D15" s="82">
        <v>37.200000000000003</v>
      </c>
      <c r="E15" s="82">
        <v>10794.48</v>
      </c>
      <c r="F15" s="82">
        <v>3660.48</v>
      </c>
      <c r="G15" s="82">
        <v>4080.8400000000011</v>
      </c>
      <c r="H15" s="82">
        <v>12034.09</v>
      </c>
      <c r="I15" s="82">
        <v>1383.84</v>
      </c>
    </row>
    <row r="16" spans="1:9" x14ac:dyDescent="0.45">
      <c r="A16" s="81">
        <v>18</v>
      </c>
      <c r="B16" s="82">
        <v>84</v>
      </c>
      <c r="C16" s="82">
        <v>98.4</v>
      </c>
      <c r="D16" s="82">
        <v>109.7</v>
      </c>
      <c r="E16" s="82">
        <v>8265.6</v>
      </c>
      <c r="F16" s="82">
        <v>9214.8000000000011</v>
      </c>
      <c r="G16" s="82">
        <v>10794.48</v>
      </c>
      <c r="H16" s="82">
        <v>9682.5600000000013</v>
      </c>
      <c r="I16" s="82">
        <v>12034.09</v>
      </c>
    </row>
    <row r="17" spans="1:9" x14ac:dyDescent="0.45">
      <c r="A17" s="81">
        <v>19</v>
      </c>
      <c r="B17" s="82">
        <v>87.6</v>
      </c>
      <c r="C17" s="82">
        <v>84</v>
      </c>
      <c r="D17" s="82">
        <v>98.4</v>
      </c>
      <c r="E17" s="82">
        <v>7358.4</v>
      </c>
      <c r="F17" s="82">
        <v>8619.84</v>
      </c>
      <c r="G17" s="82">
        <v>8265.6</v>
      </c>
      <c r="H17" s="82">
        <v>7056</v>
      </c>
      <c r="I17" s="82">
        <v>9682.5600000000013</v>
      </c>
    </row>
    <row r="18" spans="1:9" x14ac:dyDescent="0.45">
      <c r="A18" s="81">
        <v>20</v>
      </c>
      <c r="B18" s="82">
        <v>72.599999999999994</v>
      </c>
      <c r="C18" s="82">
        <v>87.6</v>
      </c>
      <c r="D18" s="82">
        <v>84</v>
      </c>
      <c r="E18" s="82">
        <v>6359.7599999999993</v>
      </c>
      <c r="F18" s="82">
        <v>6098.4</v>
      </c>
      <c r="G18" s="82">
        <v>7358.4</v>
      </c>
      <c r="H18" s="82">
        <v>7673.7599999999993</v>
      </c>
      <c r="I18" s="82">
        <v>7056</v>
      </c>
    </row>
    <row r="19" spans="1:9" x14ac:dyDescent="0.45">
      <c r="A19" s="81">
        <v>21</v>
      </c>
      <c r="B19" s="82">
        <v>137.1</v>
      </c>
      <c r="C19" s="82">
        <v>72.599999999999994</v>
      </c>
      <c r="D19" s="82">
        <v>87.6</v>
      </c>
      <c r="E19" s="82">
        <v>9953.4599999999991</v>
      </c>
      <c r="F19" s="82">
        <v>12009.96</v>
      </c>
      <c r="G19" s="82">
        <v>6359.7599999999993</v>
      </c>
      <c r="H19" s="82">
        <v>5270.7599999999993</v>
      </c>
      <c r="I19" s="82">
        <v>7673.7599999999993</v>
      </c>
    </row>
    <row r="20" spans="1:9" x14ac:dyDescent="0.45">
      <c r="A20" s="81">
        <v>22</v>
      </c>
      <c r="B20" s="82">
        <v>111.9</v>
      </c>
      <c r="C20" s="82">
        <v>137.1</v>
      </c>
      <c r="D20" s="82">
        <v>72.599999999999994</v>
      </c>
      <c r="E20" s="82">
        <v>15341.49</v>
      </c>
      <c r="F20" s="82">
        <v>8123.94</v>
      </c>
      <c r="G20" s="82">
        <v>9953.4599999999991</v>
      </c>
      <c r="H20" s="82">
        <v>18796.41</v>
      </c>
      <c r="I20" s="82">
        <v>5270.7599999999993</v>
      </c>
    </row>
    <row r="21" spans="1:9" x14ac:dyDescent="0.45">
      <c r="A21" s="81">
        <v>23</v>
      </c>
      <c r="B21" s="82">
        <v>51.5</v>
      </c>
      <c r="C21" s="82">
        <v>111.9</v>
      </c>
      <c r="D21" s="82">
        <v>137.1</v>
      </c>
      <c r="E21" s="82">
        <v>5762.85</v>
      </c>
      <c r="F21" s="82">
        <v>7060.65</v>
      </c>
      <c r="G21" s="82">
        <v>15341.49</v>
      </c>
      <c r="H21" s="82">
        <v>12521.61</v>
      </c>
      <c r="I21" s="82">
        <v>18796.41</v>
      </c>
    </row>
    <row r="22" spans="1:9" x14ac:dyDescent="0.45">
      <c r="A22" s="81">
        <v>24</v>
      </c>
      <c r="B22" s="82">
        <v>79.599999999999994</v>
      </c>
      <c r="C22" s="82">
        <v>51.5</v>
      </c>
      <c r="D22" s="82">
        <v>111.9</v>
      </c>
      <c r="E22" s="82">
        <v>4099.3999999999996</v>
      </c>
      <c r="F22" s="82">
        <v>8907.24</v>
      </c>
      <c r="G22" s="82">
        <v>5762.85</v>
      </c>
      <c r="H22" s="82">
        <v>2652.25</v>
      </c>
      <c r="I22" s="82">
        <v>12521.61</v>
      </c>
    </row>
    <row r="23" spans="1:9" x14ac:dyDescent="0.45">
      <c r="A23" s="81">
        <v>25</v>
      </c>
      <c r="B23" s="82">
        <v>66.3</v>
      </c>
      <c r="C23" s="82">
        <v>79.599999999999994</v>
      </c>
      <c r="D23" s="82">
        <v>51.5</v>
      </c>
      <c r="E23" s="82">
        <v>5277.48</v>
      </c>
      <c r="F23" s="82">
        <v>3414.45</v>
      </c>
      <c r="G23" s="82">
        <v>4099.3999999999996</v>
      </c>
      <c r="H23" s="82">
        <v>6336.1599999999989</v>
      </c>
      <c r="I23" s="82">
        <v>2652.25</v>
      </c>
    </row>
    <row r="24" spans="1:9" x14ac:dyDescent="0.45">
      <c r="A24" s="81">
        <v>26</v>
      </c>
      <c r="B24" s="82">
        <v>539.6</v>
      </c>
      <c r="C24" s="82">
        <v>66.3</v>
      </c>
      <c r="D24" s="82">
        <v>79.599999999999994</v>
      </c>
      <c r="E24" s="82">
        <v>35775.480000000003</v>
      </c>
      <c r="F24" s="82">
        <v>42952.160000000003</v>
      </c>
      <c r="G24" s="82">
        <v>5277.48</v>
      </c>
      <c r="H24" s="82">
        <v>4395.6899999999996</v>
      </c>
      <c r="I24" s="82">
        <v>6336.1599999999989</v>
      </c>
    </row>
    <row r="25" spans="1:9" x14ac:dyDescent="0.45">
      <c r="A25" s="81">
        <v>27</v>
      </c>
      <c r="B25" s="82">
        <v>1032.3</v>
      </c>
      <c r="C25" s="82">
        <v>539.6</v>
      </c>
      <c r="D25" s="82">
        <v>66.3</v>
      </c>
      <c r="E25" s="82">
        <v>557029.07999999996</v>
      </c>
      <c r="F25" s="82">
        <v>68441.489999999991</v>
      </c>
      <c r="G25" s="82">
        <v>35775.480000000003</v>
      </c>
      <c r="H25" s="82">
        <v>291168.15999999997</v>
      </c>
      <c r="I25" s="82">
        <v>4395.6899999999996</v>
      </c>
    </row>
    <row r="26" spans="1:9" x14ac:dyDescent="0.45">
      <c r="A26" s="81">
        <v>28</v>
      </c>
      <c r="B26" s="82">
        <v>867.6</v>
      </c>
      <c r="C26" s="82">
        <v>1032.3</v>
      </c>
      <c r="D26" s="82">
        <v>539.6</v>
      </c>
      <c r="E26" s="82">
        <v>895623.48</v>
      </c>
      <c r="F26" s="82">
        <v>468156.96</v>
      </c>
      <c r="G26" s="82">
        <v>557029.07999999996</v>
      </c>
      <c r="H26" s="82">
        <v>1065643.29</v>
      </c>
      <c r="I26" s="82">
        <v>291168.15999999997</v>
      </c>
    </row>
    <row r="27" spans="1:9" x14ac:dyDescent="0.45">
      <c r="A27" s="81">
        <v>29</v>
      </c>
      <c r="B27" s="82">
        <v>251.4</v>
      </c>
      <c r="C27" s="82">
        <v>867.6</v>
      </c>
      <c r="D27" s="82">
        <v>1032.3</v>
      </c>
      <c r="E27" s="82">
        <v>218114.64</v>
      </c>
      <c r="F27" s="82">
        <v>259520.22</v>
      </c>
      <c r="G27" s="82">
        <v>895623.48</v>
      </c>
      <c r="H27" s="82">
        <v>752729.76</v>
      </c>
      <c r="I27" s="82">
        <v>1065643.29</v>
      </c>
    </row>
    <row r="28" spans="1:9" x14ac:dyDescent="0.45">
      <c r="A28" s="81">
        <v>30</v>
      </c>
      <c r="B28" s="82">
        <v>151.1</v>
      </c>
      <c r="C28" s="82">
        <v>251.4</v>
      </c>
      <c r="D28" s="82">
        <v>867.6</v>
      </c>
      <c r="E28" s="82">
        <v>37986.54</v>
      </c>
      <c r="F28" s="82">
        <v>131094.35999999999</v>
      </c>
      <c r="G28" s="82">
        <v>218114.64</v>
      </c>
      <c r="H28" s="82">
        <v>63201.960000000006</v>
      </c>
      <c r="I28" s="82">
        <v>752729.76</v>
      </c>
    </row>
    <row r="29" spans="1:9" x14ac:dyDescent="0.45">
      <c r="A29" s="81">
        <v>31</v>
      </c>
      <c r="B29" s="82">
        <v>75.8</v>
      </c>
      <c r="C29" s="82">
        <v>151.1</v>
      </c>
      <c r="D29" s="82">
        <v>251.4</v>
      </c>
      <c r="E29" s="82">
        <v>11453.38</v>
      </c>
      <c r="F29" s="82">
        <v>19056.12</v>
      </c>
      <c r="G29" s="82">
        <v>37986.54</v>
      </c>
      <c r="H29" s="82">
        <v>22831.21</v>
      </c>
      <c r="I29" s="82">
        <v>63201.960000000006</v>
      </c>
    </row>
    <row r="30" spans="1:9" x14ac:dyDescent="0.45">
      <c r="A30" s="81">
        <v>32</v>
      </c>
      <c r="B30" s="82">
        <v>191.3</v>
      </c>
      <c r="C30" s="82">
        <v>75.8</v>
      </c>
      <c r="D30" s="82">
        <v>151.1</v>
      </c>
      <c r="E30" s="82">
        <v>14500.54</v>
      </c>
      <c r="F30" s="82">
        <v>28905.43</v>
      </c>
      <c r="G30" s="82">
        <v>11453.38</v>
      </c>
      <c r="H30" s="82">
        <v>5745.6399999999994</v>
      </c>
      <c r="I30" s="82">
        <v>22831.21</v>
      </c>
    </row>
    <row r="31" spans="1:9" x14ac:dyDescent="0.45">
      <c r="A31" s="81">
        <v>33</v>
      </c>
      <c r="B31" s="82">
        <v>155.1</v>
      </c>
      <c r="C31" s="82">
        <v>191.3</v>
      </c>
      <c r="D31" s="82">
        <v>75.8</v>
      </c>
      <c r="E31" s="82">
        <v>29670.63</v>
      </c>
      <c r="F31" s="82">
        <v>11756.58</v>
      </c>
      <c r="G31" s="82">
        <v>14500.54</v>
      </c>
      <c r="H31" s="82">
        <v>36595.69</v>
      </c>
      <c r="I31" s="82">
        <v>5745.6399999999994</v>
      </c>
    </row>
    <row r="32" spans="1:9" x14ac:dyDescent="0.45">
      <c r="A32" s="81">
        <v>34</v>
      </c>
      <c r="B32" s="82">
        <v>239.4</v>
      </c>
      <c r="C32" s="82">
        <v>155.1</v>
      </c>
      <c r="D32" s="82">
        <v>191.3</v>
      </c>
      <c r="E32" s="82">
        <v>37130.94</v>
      </c>
      <c r="F32" s="82">
        <v>45797.22</v>
      </c>
      <c r="G32" s="82">
        <v>29670.63</v>
      </c>
      <c r="H32" s="82">
        <v>24056.01</v>
      </c>
      <c r="I32" s="82">
        <v>36595.69</v>
      </c>
    </row>
    <row r="33" spans="1:9" x14ac:dyDescent="0.45">
      <c r="A33" s="81">
        <v>35</v>
      </c>
      <c r="B33" s="82">
        <v>118.7</v>
      </c>
      <c r="C33" s="82">
        <v>239.4</v>
      </c>
      <c r="D33" s="82">
        <v>155.1</v>
      </c>
      <c r="E33" s="82">
        <v>28416.78</v>
      </c>
      <c r="F33" s="82">
        <v>18410.37</v>
      </c>
      <c r="G33" s="82">
        <v>37130.94</v>
      </c>
      <c r="H33" s="82">
        <v>57312.36</v>
      </c>
      <c r="I33" s="82">
        <v>24056.01</v>
      </c>
    </row>
    <row r="34" spans="1:9" x14ac:dyDescent="0.45">
      <c r="A34" s="81">
        <v>36</v>
      </c>
      <c r="B34" s="82">
        <v>263.3</v>
      </c>
      <c r="C34" s="82">
        <v>118.7</v>
      </c>
      <c r="D34" s="82">
        <v>239.4</v>
      </c>
      <c r="E34" s="82">
        <v>31253.71</v>
      </c>
      <c r="F34" s="82">
        <v>63034.02</v>
      </c>
      <c r="G34" s="82">
        <v>28416.78</v>
      </c>
      <c r="H34" s="82">
        <v>14089.69</v>
      </c>
      <c r="I34" s="82">
        <v>57312.36</v>
      </c>
    </row>
    <row r="35" spans="1:9" x14ac:dyDescent="0.45">
      <c r="A35" s="81">
        <v>37</v>
      </c>
      <c r="B35" s="82">
        <v>262.8</v>
      </c>
      <c r="C35" s="82">
        <v>263.3</v>
      </c>
      <c r="D35" s="82">
        <v>118.7</v>
      </c>
      <c r="E35" s="82">
        <v>69195.240000000005</v>
      </c>
      <c r="F35" s="82">
        <v>31194.36</v>
      </c>
      <c r="G35" s="82">
        <v>31253.71</v>
      </c>
      <c r="H35" s="82">
        <v>69326.89</v>
      </c>
      <c r="I35" s="82">
        <v>14089.69</v>
      </c>
    </row>
    <row r="36" spans="1:9" x14ac:dyDescent="0.45">
      <c r="A36" s="81">
        <v>38</v>
      </c>
      <c r="B36" s="82">
        <v>231.4</v>
      </c>
      <c r="C36" s="82">
        <v>262.8</v>
      </c>
      <c r="D36" s="82">
        <v>263.3</v>
      </c>
      <c r="E36" s="82">
        <v>60811.920000000013</v>
      </c>
      <c r="F36" s="82">
        <v>60927.62</v>
      </c>
      <c r="G36" s="82">
        <v>69195.240000000005</v>
      </c>
      <c r="H36" s="82">
        <v>69063.840000000011</v>
      </c>
      <c r="I36" s="82">
        <v>69326.89</v>
      </c>
    </row>
    <row r="37" spans="1:9" x14ac:dyDescent="0.45">
      <c r="A37" s="81">
        <v>39</v>
      </c>
      <c r="B37" s="82">
        <v>303.7</v>
      </c>
      <c r="C37" s="82">
        <v>231.4</v>
      </c>
      <c r="D37" s="82">
        <v>262.8</v>
      </c>
      <c r="E37" s="82">
        <v>70276.179999999993</v>
      </c>
      <c r="F37" s="82">
        <v>79812.36</v>
      </c>
      <c r="G37" s="82">
        <v>60811.920000000013</v>
      </c>
      <c r="H37" s="82">
        <v>53545.96</v>
      </c>
      <c r="I37" s="82">
        <v>69063.840000000011</v>
      </c>
    </row>
    <row r="38" spans="1:9" x14ac:dyDescent="0.45">
      <c r="A38" s="81">
        <v>40</v>
      </c>
      <c r="B38" s="82">
        <v>283.5</v>
      </c>
      <c r="C38" s="82">
        <v>303.7</v>
      </c>
      <c r="D38" s="82">
        <v>231.4</v>
      </c>
      <c r="E38" s="82">
        <v>86098.95</v>
      </c>
      <c r="F38" s="82">
        <v>65601.900000000009</v>
      </c>
      <c r="G38" s="82">
        <v>70276.179999999993</v>
      </c>
      <c r="H38" s="82">
        <v>92233.689999999988</v>
      </c>
      <c r="I38" s="82">
        <v>53545.96</v>
      </c>
    </row>
    <row r="39" spans="1:9" x14ac:dyDescent="0.45">
      <c r="A39" s="81">
        <v>41</v>
      </c>
      <c r="B39" s="82">
        <v>17.399999999999999</v>
      </c>
      <c r="C39" s="82">
        <v>283.5</v>
      </c>
      <c r="D39" s="82">
        <v>303.7</v>
      </c>
      <c r="E39" s="82">
        <v>4932.8999999999996</v>
      </c>
      <c r="F39" s="82">
        <v>5284.3799999999992</v>
      </c>
      <c r="G39" s="82">
        <v>86098.95</v>
      </c>
      <c r="H39" s="82">
        <v>80372.25</v>
      </c>
      <c r="I39" s="82">
        <v>92233.689999999988</v>
      </c>
    </row>
    <row r="40" spans="1:9" x14ac:dyDescent="0.45">
      <c r="A40" s="81">
        <v>42</v>
      </c>
      <c r="B40" s="82">
        <v>155.5</v>
      </c>
      <c r="C40" s="82">
        <v>17.399999999999999</v>
      </c>
      <c r="D40" s="82">
        <v>283.5</v>
      </c>
      <c r="E40" s="82">
        <v>2705.7</v>
      </c>
      <c r="F40" s="82">
        <v>44084.25</v>
      </c>
      <c r="G40" s="82">
        <v>4932.8999999999996</v>
      </c>
      <c r="H40" s="82">
        <v>302.75999999999988</v>
      </c>
      <c r="I40" s="82">
        <v>80372.25</v>
      </c>
    </row>
    <row r="41" spans="1:9" x14ac:dyDescent="0.45">
      <c r="A41" s="81">
        <v>43</v>
      </c>
      <c r="B41" s="82">
        <v>207.6</v>
      </c>
      <c r="C41" s="82">
        <v>155.5</v>
      </c>
      <c r="D41" s="82">
        <v>17.399999999999999</v>
      </c>
      <c r="E41" s="82">
        <v>32281.8</v>
      </c>
      <c r="F41" s="82">
        <v>3612.24</v>
      </c>
      <c r="G41" s="82">
        <v>2705.7</v>
      </c>
      <c r="H41" s="82">
        <v>24180.25</v>
      </c>
      <c r="I41" s="82">
        <v>302.75999999999988</v>
      </c>
    </row>
    <row r="42" spans="1:9" x14ac:dyDescent="0.45">
      <c r="A42" s="81">
        <v>44</v>
      </c>
      <c r="B42" s="82">
        <v>140.1</v>
      </c>
      <c r="C42" s="82">
        <v>207.6</v>
      </c>
      <c r="D42" s="82">
        <v>155.5</v>
      </c>
      <c r="E42" s="82">
        <v>29084.76</v>
      </c>
      <c r="F42" s="82">
        <v>21785.55</v>
      </c>
      <c r="G42" s="82">
        <v>32281.8</v>
      </c>
      <c r="H42" s="82">
        <v>43097.759999999987</v>
      </c>
      <c r="I42" s="82">
        <v>24180.25</v>
      </c>
    </row>
    <row r="43" spans="1:9" x14ac:dyDescent="0.45">
      <c r="A43" s="81">
        <v>45</v>
      </c>
      <c r="B43" s="82">
        <v>179.6</v>
      </c>
      <c r="C43" s="82">
        <v>140.1</v>
      </c>
      <c r="D43" s="82">
        <v>207.6</v>
      </c>
      <c r="E43" s="82">
        <v>25161.96</v>
      </c>
      <c r="F43" s="82">
        <v>37284.959999999999</v>
      </c>
      <c r="G43" s="82">
        <v>29084.76</v>
      </c>
      <c r="H43" s="82">
        <v>19628.009999999998</v>
      </c>
      <c r="I43" s="82">
        <v>43097.759999999987</v>
      </c>
    </row>
    <row r="44" spans="1:9" x14ac:dyDescent="0.45">
      <c r="A44" s="81">
        <v>46</v>
      </c>
      <c r="B44" s="82">
        <v>174.9</v>
      </c>
      <c r="C44" s="82">
        <v>179.6</v>
      </c>
      <c r="D44" s="82">
        <v>140.1</v>
      </c>
      <c r="E44" s="82">
        <v>31412.04</v>
      </c>
      <c r="F44" s="82">
        <v>24503.49</v>
      </c>
      <c r="G44" s="82">
        <v>25161.96</v>
      </c>
      <c r="H44" s="82">
        <v>32256.16</v>
      </c>
      <c r="I44" s="82">
        <v>19628.009999999998</v>
      </c>
    </row>
    <row r="45" spans="1:9" x14ac:dyDescent="0.45">
      <c r="A45" s="81">
        <v>47</v>
      </c>
      <c r="B45" s="82">
        <v>163</v>
      </c>
      <c r="C45" s="82">
        <v>174.9</v>
      </c>
      <c r="D45" s="82">
        <v>179.6</v>
      </c>
      <c r="E45" s="82">
        <v>28508.7</v>
      </c>
      <c r="F45" s="82">
        <v>29274.799999999999</v>
      </c>
      <c r="G45" s="82">
        <v>31412.04</v>
      </c>
      <c r="H45" s="82">
        <v>30590.01</v>
      </c>
      <c r="I45" s="82">
        <v>32256.16</v>
      </c>
    </row>
    <row r="46" spans="1:9" x14ac:dyDescent="0.45">
      <c r="A46" s="81">
        <v>48</v>
      </c>
      <c r="B46" s="82">
        <v>151.6</v>
      </c>
      <c r="C46" s="82">
        <v>163</v>
      </c>
      <c r="D46" s="82">
        <v>174.9</v>
      </c>
      <c r="E46" s="82">
        <v>24710.799999999999</v>
      </c>
      <c r="F46" s="82">
        <v>26514.84</v>
      </c>
      <c r="G46" s="82">
        <v>28508.7</v>
      </c>
      <c r="H46" s="82">
        <v>26569</v>
      </c>
      <c r="I46" s="82">
        <v>30590.01</v>
      </c>
    </row>
    <row r="47" spans="1:9" x14ac:dyDescent="0.45">
      <c r="A47" s="81">
        <v>49</v>
      </c>
      <c r="B47" s="82">
        <v>75.099999999999994</v>
      </c>
      <c r="C47" s="82">
        <v>151.6</v>
      </c>
      <c r="D47" s="82">
        <v>163</v>
      </c>
      <c r="E47" s="82">
        <v>11385.16</v>
      </c>
      <c r="F47" s="82">
        <v>12241.3</v>
      </c>
      <c r="G47" s="82">
        <v>24710.799999999999</v>
      </c>
      <c r="H47" s="82">
        <v>22982.560000000001</v>
      </c>
      <c r="I47" s="82">
        <v>26569</v>
      </c>
    </row>
    <row r="48" spans="1:9" x14ac:dyDescent="0.45">
      <c r="A48" s="81">
        <v>50</v>
      </c>
      <c r="B48" s="82">
        <v>62</v>
      </c>
      <c r="C48" s="82">
        <v>75.099999999999994</v>
      </c>
      <c r="D48" s="82">
        <v>151.6</v>
      </c>
      <c r="E48" s="82">
        <v>4656.2</v>
      </c>
      <c r="F48" s="82">
        <v>9399.1999999999989</v>
      </c>
      <c r="G48" s="82">
        <v>11385.16</v>
      </c>
      <c r="H48" s="82">
        <v>5640.0099999999993</v>
      </c>
      <c r="I48" s="82">
        <v>22982.560000000001</v>
      </c>
    </row>
    <row r="49" spans="1:9" x14ac:dyDescent="0.45">
      <c r="A49" s="81">
        <v>51</v>
      </c>
      <c r="B49" s="82">
        <v>-17.8</v>
      </c>
      <c r="C49" s="82">
        <v>62</v>
      </c>
      <c r="D49" s="82">
        <v>75.099999999999994</v>
      </c>
      <c r="E49" s="82">
        <v>-1103.5999999999999</v>
      </c>
      <c r="F49" s="82">
        <v>-1336.78</v>
      </c>
      <c r="G49" s="82">
        <v>4656.2</v>
      </c>
      <c r="H49" s="82">
        <v>3844</v>
      </c>
      <c r="I49" s="82">
        <v>5640.0099999999993</v>
      </c>
    </row>
    <row r="50" spans="1:9" x14ac:dyDescent="0.45">
      <c r="A50" s="81">
        <v>52</v>
      </c>
      <c r="B50" s="82">
        <v>-49.5</v>
      </c>
      <c r="C50" s="82">
        <v>-17.8</v>
      </c>
      <c r="D50" s="82">
        <v>62</v>
      </c>
      <c r="E50" s="82">
        <v>881.1</v>
      </c>
      <c r="F50" s="82">
        <v>-3069</v>
      </c>
      <c r="G50" s="82">
        <v>-1103.5999999999999</v>
      </c>
      <c r="H50" s="82">
        <v>316.83999999999997</v>
      </c>
      <c r="I50" s="82">
        <v>3844</v>
      </c>
    </row>
    <row r="51" spans="1:9" x14ac:dyDescent="0.45">
      <c r="A51" s="81">
        <v>53</v>
      </c>
      <c r="B51" s="82">
        <v>-68.400000000000006</v>
      </c>
      <c r="C51" s="82">
        <v>-49.5</v>
      </c>
      <c r="D51" s="82">
        <v>-17.8</v>
      </c>
      <c r="E51" s="82">
        <v>3385.8</v>
      </c>
      <c r="F51" s="82">
        <v>1217.52</v>
      </c>
      <c r="G51" s="82">
        <v>881.1</v>
      </c>
      <c r="H51" s="82">
        <v>2450.25</v>
      </c>
      <c r="I51" s="82">
        <v>316.83999999999997</v>
      </c>
    </row>
    <row r="52" spans="1:9" x14ac:dyDescent="0.45">
      <c r="A52" s="81">
        <v>54</v>
      </c>
      <c r="B52" s="82">
        <v>1.4</v>
      </c>
      <c r="C52" s="82">
        <v>-68.400000000000006</v>
      </c>
      <c r="D52" s="82">
        <v>-49.5</v>
      </c>
      <c r="E52" s="82">
        <v>-95.76</v>
      </c>
      <c r="F52" s="82">
        <v>-69.3</v>
      </c>
      <c r="G52" s="82">
        <v>3385.8</v>
      </c>
      <c r="H52" s="82">
        <v>4678.5600000000004</v>
      </c>
      <c r="I52" s="82">
        <v>2450.25</v>
      </c>
    </row>
    <row r="53" spans="1:9" x14ac:dyDescent="0.45">
      <c r="A53" s="81">
        <v>55</v>
      </c>
      <c r="B53" s="82">
        <v>-14.5</v>
      </c>
      <c r="C53" s="82">
        <v>1.4</v>
      </c>
      <c r="D53" s="82">
        <v>-68.400000000000006</v>
      </c>
      <c r="E53" s="82">
        <v>-20.3</v>
      </c>
      <c r="F53" s="82">
        <v>991.80000000000007</v>
      </c>
      <c r="G53" s="82">
        <v>-95.76</v>
      </c>
      <c r="H53" s="82">
        <v>1.96</v>
      </c>
      <c r="I53" s="82">
        <v>4678.5600000000004</v>
      </c>
    </row>
    <row r="54" spans="1:9" x14ac:dyDescent="0.45">
      <c r="A54" s="81">
        <v>56</v>
      </c>
      <c r="B54" s="82">
        <v>-101.7</v>
      </c>
      <c r="C54" s="82">
        <v>-14.5</v>
      </c>
      <c r="D54" s="82">
        <v>1.4</v>
      </c>
      <c r="E54" s="82">
        <v>1474.65</v>
      </c>
      <c r="F54" s="82">
        <v>-142.38</v>
      </c>
      <c r="G54" s="82">
        <v>-20.3</v>
      </c>
      <c r="H54" s="82">
        <v>210.25</v>
      </c>
      <c r="I54" s="82">
        <v>1.96</v>
      </c>
    </row>
    <row r="55" spans="1:9" x14ac:dyDescent="0.45">
      <c r="A55" s="81">
        <v>57</v>
      </c>
      <c r="B55" s="82">
        <v>-75</v>
      </c>
      <c r="C55" s="82">
        <v>-101.7</v>
      </c>
      <c r="D55" s="82">
        <v>-14.5</v>
      </c>
      <c r="E55" s="82">
        <v>7627.5</v>
      </c>
      <c r="F55" s="82">
        <v>1087.5</v>
      </c>
      <c r="G55" s="82">
        <v>1474.65</v>
      </c>
      <c r="H55" s="82">
        <v>10342.89</v>
      </c>
      <c r="I55" s="82">
        <v>210.25</v>
      </c>
    </row>
    <row r="56" spans="1:9" x14ac:dyDescent="0.45">
      <c r="A56" s="81">
        <v>58</v>
      </c>
      <c r="B56" s="82">
        <v>-55</v>
      </c>
      <c r="C56" s="82">
        <v>-75</v>
      </c>
      <c r="D56" s="82">
        <v>-101.7</v>
      </c>
      <c r="E56" s="82">
        <v>4125</v>
      </c>
      <c r="F56" s="82">
        <v>5593.5</v>
      </c>
      <c r="G56" s="82">
        <v>7627.5</v>
      </c>
      <c r="H56" s="82">
        <v>5625</v>
      </c>
      <c r="I56" s="82">
        <v>10342.89</v>
      </c>
    </row>
    <row r="57" spans="1:9" x14ac:dyDescent="0.45">
      <c r="A57" s="81">
        <v>59</v>
      </c>
      <c r="B57" s="82">
        <v>-115.8</v>
      </c>
      <c r="C57" s="82">
        <v>-55</v>
      </c>
      <c r="D57" s="82">
        <v>-75</v>
      </c>
      <c r="E57" s="82">
        <v>6369</v>
      </c>
      <c r="F57" s="82">
        <v>8685</v>
      </c>
      <c r="G57" s="82">
        <v>4125</v>
      </c>
      <c r="H57" s="82">
        <v>3025</v>
      </c>
      <c r="I57" s="82">
        <v>5625</v>
      </c>
    </row>
    <row r="58" spans="1:9" x14ac:dyDescent="0.45">
      <c r="A58" s="81">
        <v>60</v>
      </c>
      <c r="B58" s="82">
        <v>-11</v>
      </c>
      <c r="C58" s="82">
        <v>-115.8</v>
      </c>
      <c r="D58" s="82">
        <v>-55</v>
      </c>
      <c r="E58" s="82">
        <v>1273.8</v>
      </c>
      <c r="F58" s="82">
        <v>605</v>
      </c>
      <c r="G58" s="82">
        <v>6369</v>
      </c>
      <c r="H58" s="82">
        <v>13409.64</v>
      </c>
      <c r="I58" s="82">
        <v>3025</v>
      </c>
    </row>
    <row r="59" spans="1:9" x14ac:dyDescent="0.45">
      <c r="A59" s="81">
        <v>61</v>
      </c>
      <c r="B59" s="82">
        <v>-36.200000000000003</v>
      </c>
      <c r="C59" s="82">
        <v>-11</v>
      </c>
      <c r="D59" s="82">
        <v>-115.8</v>
      </c>
      <c r="E59" s="82">
        <v>398.2</v>
      </c>
      <c r="F59" s="82">
        <v>4191.96</v>
      </c>
      <c r="G59" s="82">
        <v>1273.8</v>
      </c>
      <c r="H59" s="82">
        <v>121</v>
      </c>
      <c r="I59" s="82">
        <v>13409.64</v>
      </c>
    </row>
    <row r="60" spans="1:9" x14ac:dyDescent="0.45">
      <c r="A60" s="81">
        <v>62</v>
      </c>
      <c r="B60" s="82">
        <v>-296.3</v>
      </c>
      <c r="C60" s="82">
        <v>-36.200000000000003</v>
      </c>
      <c r="D60" s="82">
        <v>-11</v>
      </c>
      <c r="E60" s="82">
        <v>10726.06</v>
      </c>
      <c r="F60" s="82">
        <v>3259.3</v>
      </c>
      <c r="G60" s="82">
        <v>398.2</v>
      </c>
      <c r="H60" s="82">
        <v>1310.44</v>
      </c>
      <c r="I60" s="82">
        <v>121</v>
      </c>
    </row>
    <row r="61" spans="1:9" x14ac:dyDescent="0.45">
      <c r="A61" s="81">
        <v>63</v>
      </c>
      <c r="B61" s="82">
        <v>-186</v>
      </c>
      <c r="C61" s="82">
        <v>-296.3</v>
      </c>
      <c r="D61" s="82">
        <v>-36.200000000000003</v>
      </c>
      <c r="E61" s="82">
        <v>55111.8</v>
      </c>
      <c r="F61" s="82">
        <v>6733.2000000000007</v>
      </c>
      <c r="G61" s="82">
        <v>10726.06</v>
      </c>
      <c r="H61" s="82">
        <v>87793.69</v>
      </c>
      <c r="I61" s="82">
        <v>1310.44</v>
      </c>
    </row>
    <row r="62" spans="1:9" x14ac:dyDescent="0.45">
      <c r="A62" s="81">
        <v>64</v>
      </c>
      <c r="B62" s="82">
        <v>68.2</v>
      </c>
      <c r="C62" s="82">
        <v>-186</v>
      </c>
      <c r="D62" s="82">
        <v>-296.3</v>
      </c>
      <c r="E62" s="82">
        <v>-12685.2</v>
      </c>
      <c r="F62" s="82">
        <v>-20207.66</v>
      </c>
      <c r="G62" s="82">
        <v>55111.8</v>
      </c>
      <c r="H62" s="82">
        <v>34596</v>
      </c>
      <c r="I62" s="82">
        <v>87793.69</v>
      </c>
    </row>
    <row r="63" spans="1:9" x14ac:dyDescent="0.45">
      <c r="A63" s="81">
        <v>65</v>
      </c>
      <c r="B63" s="82">
        <v>-30.2</v>
      </c>
      <c r="C63" s="82">
        <v>68.2</v>
      </c>
      <c r="D63" s="82">
        <v>-186</v>
      </c>
      <c r="E63" s="82">
        <v>-2059.64</v>
      </c>
      <c r="F63" s="82">
        <v>5617.2</v>
      </c>
      <c r="G63" s="82">
        <v>-12685.2</v>
      </c>
      <c r="H63" s="82">
        <v>4651.2400000000007</v>
      </c>
      <c r="I63" s="82">
        <v>34596</v>
      </c>
    </row>
    <row r="64" spans="1:9" x14ac:dyDescent="0.45">
      <c r="A64" s="81">
        <v>66</v>
      </c>
      <c r="B64" s="82">
        <v>-8</v>
      </c>
      <c r="C64" s="82">
        <v>-30.2</v>
      </c>
      <c r="D64" s="82">
        <v>68.2</v>
      </c>
      <c r="E64" s="82">
        <v>241.6</v>
      </c>
      <c r="F64" s="82">
        <v>-545.6</v>
      </c>
      <c r="G64" s="82">
        <v>-2059.64</v>
      </c>
      <c r="H64" s="82">
        <v>912.04</v>
      </c>
      <c r="I64" s="82">
        <v>4651.2400000000007</v>
      </c>
    </row>
    <row r="65" spans="1:9" x14ac:dyDescent="0.45">
      <c r="A65" s="81">
        <v>67</v>
      </c>
      <c r="B65" s="82">
        <v>-13.9</v>
      </c>
      <c r="C65" s="82">
        <v>-8</v>
      </c>
      <c r="D65" s="82">
        <v>-30.2</v>
      </c>
      <c r="E65" s="82">
        <v>111.2</v>
      </c>
      <c r="F65" s="82">
        <v>419.78</v>
      </c>
      <c r="G65" s="82">
        <v>241.6</v>
      </c>
      <c r="H65" s="82">
        <v>64</v>
      </c>
      <c r="I65" s="82">
        <v>912.04</v>
      </c>
    </row>
    <row r="66" spans="1:9" x14ac:dyDescent="0.45">
      <c r="A66" s="81">
        <v>68</v>
      </c>
      <c r="B66" s="82">
        <v>-29.7</v>
      </c>
      <c r="C66" s="82">
        <v>-13.9</v>
      </c>
      <c r="D66" s="82">
        <v>-8</v>
      </c>
      <c r="E66" s="82">
        <v>412.83</v>
      </c>
      <c r="F66" s="82">
        <v>237.6</v>
      </c>
      <c r="G66" s="82">
        <v>111.2</v>
      </c>
      <c r="H66" s="82">
        <v>193.21</v>
      </c>
      <c r="I66" s="82">
        <v>64</v>
      </c>
    </row>
    <row r="67" spans="1:9" x14ac:dyDescent="0.45">
      <c r="A67" s="81">
        <v>69</v>
      </c>
      <c r="B67" s="82">
        <v>-14.9</v>
      </c>
      <c r="C67" s="82">
        <v>-29.7</v>
      </c>
      <c r="D67" s="82">
        <v>-13.9</v>
      </c>
      <c r="E67" s="82">
        <v>442.53</v>
      </c>
      <c r="F67" s="82">
        <v>207.11</v>
      </c>
      <c r="G67" s="82">
        <v>412.83</v>
      </c>
      <c r="H67" s="82">
        <v>882.08999999999992</v>
      </c>
      <c r="I67" s="82">
        <v>193.21</v>
      </c>
    </row>
    <row r="68" spans="1:9" x14ac:dyDescent="0.45">
      <c r="A68" s="81">
        <v>70</v>
      </c>
      <c r="B68" s="82">
        <v>13.5</v>
      </c>
      <c r="C68" s="82">
        <v>-14.9</v>
      </c>
      <c r="D68" s="82">
        <v>-29.7</v>
      </c>
      <c r="E68" s="82">
        <v>-201.15</v>
      </c>
      <c r="F68" s="82">
        <v>-400.95</v>
      </c>
      <c r="G68" s="82">
        <v>442.53</v>
      </c>
      <c r="H68" s="82">
        <v>222.01</v>
      </c>
      <c r="I68" s="82">
        <v>882.08999999999992</v>
      </c>
    </row>
    <row r="69" spans="1:9" x14ac:dyDescent="0.45">
      <c r="A69" s="81">
        <v>71</v>
      </c>
      <c r="B69" s="82">
        <v>31.4</v>
      </c>
      <c r="C69" s="82">
        <v>13.5</v>
      </c>
      <c r="D69" s="82">
        <v>-14.9</v>
      </c>
      <c r="E69" s="82">
        <v>423.9</v>
      </c>
      <c r="F69" s="82">
        <v>-467.86</v>
      </c>
      <c r="G69" s="82">
        <v>-201.15</v>
      </c>
      <c r="H69" s="82">
        <v>182.25</v>
      </c>
      <c r="I69" s="82">
        <v>222.01</v>
      </c>
    </row>
    <row r="70" spans="1:9" x14ac:dyDescent="0.45">
      <c r="A70" s="81">
        <v>72</v>
      </c>
      <c r="B70" s="82">
        <v>65.900000000000006</v>
      </c>
      <c r="C70" s="82">
        <v>31.4</v>
      </c>
      <c r="D70" s="82">
        <v>13.5</v>
      </c>
      <c r="E70" s="82">
        <v>2069.2600000000002</v>
      </c>
      <c r="F70" s="82">
        <v>889.65000000000009</v>
      </c>
      <c r="G70" s="82">
        <v>423.9</v>
      </c>
      <c r="H70" s="82">
        <v>985.95999999999992</v>
      </c>
      <c r="I70" s="82">
        <v>182.25</v>
      </c>
    </row>
    <row r="71" spans="1:9" x14ac:dyDescent="0.45">
      <c r="A71" s="81">
        <v>73</v>
      </c>
      <c r="B71" s="82">
        <v>83.2</v>
      </c>
      <c r="C71" s="82">
        <v>65.900000000000006</v>
      </c>
      <c r="D71" s="82">
        <v>31.4</v>
      </c>
      <c r="E71" s="82">
        <v>5482.880000000001</v>
      </c>
      <c r="F71" s="82">
        <v>2612.48</v>
      </c>
      <c r="G71" s="82">
        <v>2069.2600000000002</v>
      </c>
      <c r="H71" s="82">
        <v>4342.8100000000004</v>
      </c>
      <c r="I71" s="82">
        <v>985.95999999999992</v>
      </c>
    </row>
    <row r="72" spans="1:9" x14ac:dyDescent="0.45">
      <c r="A72" s="81">
        <v>74</v>
      </c>
      <c r="B72" s="82">
        <v>46.3</v>
      </c>
      <c r="C72" s="82">
        <v>83.2</v>
      </c>
      <c r="D72" s="82">
        <v>65.900000000000006</v>
      </c>
      <c r="E72" s="82">
        <v>3852.16</v>
      </c>
      <c r="F72" s="82">
        <v>3051.17</v>
      </c>
      <c r="G72" s="82">
        <v>5482.880000000001</v>
      </c>
      <c r="H72" s="82">
        <v>6922.2400000000007</v>
      </c>
      <c r="I72" s="82">
        <v>4342.8100000000004</v>
      </c>
    </row>
    <row r="73" spans="1:9" x14ac:dyDescent="0.45">
      <c r="A73" s="81">
        <v>75</v>
      </c>
      <c r="B73" s="82">
        <v>-14.4</v>
      </c>
      <c r="C73" s="82">
        <v>46.3</v>
      </c>
      <c r="D73" s="82">
        <v>83.2</v>
      </c>
      <c r="E73" s="82">
        <v>-666.72</v>
      </c>
      <c r="F73" s="82">
        <v>-1198.08</v>
      </c>
      <c r="G73" s="82">
        <v>3852.16</v>
      </c>
      <c r="H73" s="82">
        <v>2143.69</v>
      </c>
      <c r="I73" s="82">
        <v>6922.2400000000007</v>
      </c>
    </row>
    <row r="74" spans="1:9" x14ac:dyDescent="0.45">
      <c r="A74" s="81">
        <v>76</v>
      </c>
      <c r="B74" s="82">
        <v>61.1</v>
      </c>
      <c r="C74" s="82">
        <v>-14.4</v>
      </c>
      <c r="D74" s="82">
        <v>46.3</v>
      </c>
      <c r="E74" s="82">
        <v>-879.84</v>
      </c>
      <c r="F74" s="82">
        <v>2828.93</v>
      </c>
      <c r="G74" s="82">
        <v>-666.72</v>
      </c>
      <c r="H74" s="82">
        <v>207.36</v>
      </c>
      <c r="I74" s="82">
        <v>2143.69</v>
      </c>
    </row>
    <row r="75" spans="1:9" x14ac:dyDescent="0.45">
      <c r="A75" s="81">
        <v>77</v>
      </c>
      <c r="B75" s="82">
        <v>47.8</v>
      </c>
      <c r="C75" s="82">
        <v>61.1</v>
      </c>
      <c r="D75" s="82">
        <v>-14.4</v>
      </c>
      <c r="E75" s="82">
        <v>2920.58</v>
      </c>
      <c r="F75" s="82">
        <v>-688.31999999999994</v>
      </c>
      <c r="G75" s="82">
        <v>-879.84</v>
      </c>
      <c r="H75" s="82">
        <v>3733.21</v>
      </c>
      <c r="I75" s="82">
        <v>207.36</v>
      </c>
    </row>
    <row r="76" spans="1:9" x14ac:dyDescent="0.45">
      <c r="A76" s="81">
        <v>78</v>
      </c>
      <c r="B76" s="82">
        <v>26.7</v>
      </c>
      <c r="C76" s="82">
        <v>47.8</v>
      </c>
      <c r="D76" s="82">
        <v>61.1</v>
      </c>
      <c r="E76" s="82">
        <v>1276.26</v>
      </c>
      <c r="F76" s="82">
        <v>1631.37</v>
      </c>
      <c r="G76" s="82">
        <v>2920.58</v>
      </c>
      <c r="H76" s="82">
        <v>2284.84</v>
      </c>
      <c r="I76" s="82">
        <v>3733.21</v>
      </c>
    </row>
    <row r="77" spans="1:9" x14ac:dyDescent="0.45">
      <c r="A77" s="81">
        <v>79</v>
      </c>
      <c r="B77" s="82">
        <v>91.4</v>
      </c>
      <c r="C77" s="82">
        <v>26.7</v>
      </c>
      <c r="D77" s="82">
        <v>47.8</v>
      </c>
      <c r="E77" s="82">
        <v>2440.38</v>
      </c>
      <c r="F77" s="82">
        <v>4368.92</v>
      </c>
      <c r="G77" s="82">
        <v>1276.26</v>
      </c>
      <c r="H77" s="82">
        <v>712.89</v>
      </c>
      <c r="I77" s="82">
        <v>2284.84</v>
      </c>
    </row>
    <row r="79" spans="1:9" x14ac:dyDescent="0.45">
      <c r="A79" s="87" t="s">
        <v>109</v>
      </c>
      <c r="B79" s="88">
        <f t="shared" ref="B79:I79" si="0">SUM(B2:B77)</f>
        <v>7149.9000000000015</v>
      </c>
      <c r="C79" s="88">
        <f t="shared" si="0"/>
        <v>7081.7000000000025</v>
      </c>
      <c r="D79" s="88">
        <f t="shared" si="0"/>
        <v>7118.4000000000024</v>
      </c>
      <c r="E79" s="88">
        <f t="shared" si="0"/>
        <v>2575756.9399999995</v>
      </c>
      <c r="F79" s="88">
        <f t="shared" si="0"/>
        <v>1731722.0000000002</v>
      </c>
      <c r="G79" s="88">
        <f t="shared" si="0"/>
        <v>2574787.4399999995</v>
      </c>
      <c r="H79" s="88">
        <f t="shared" si="0"/>
        <v>3218860.0099999984</v>
      </c>
      <c r="I79" s="88">
        <f t="shared" si="0"/>
        <v>3222166.6799999983</v>
      </c>
    </row>
    <row r="81" spans="1:2" x14ac:dyDescent="0.45">
      <c r="A81" s="83" t="s">
        <v>110</v>
      </c>
      <c r="B81" s="83">
        <v>76</v>
      </c>
    </row>
    <row r="83" spans="1:2" x14ac:dyDescent="0.45">
      <c r="A83" s="83" t="s">
        <v>111</v>
      </c>
      <c r="B83" s="13">
        <f>B81*(H79*I79-G79^2)-C79*(C79*I79-G79*D79)+D79*(C79*G79-H79*D79)</f>
        <v>219299112540096.53</v>
      </c>
    </row>
    <row r="84" spans="1:2" x14ac:dyDescent="0.45">
      <c r="A84" s="83" t="s">
        <v>112</v>
      </c>
      <c r="B84" s="13">
        <f>B79*(H79*I79-G79^2)-C79*(E79*I79-F79*G79)+D79*(E79*G79-H79*F79)</f>
        <v>7087704835590537</v>
      </c>
    </row>
    <row r="85" spans="1:2" x14ac:dyDescent="0.45">
      <c r="A85" s="83" t="s">
        <v>113</v>
      </c>
      <c r="B85" s="13">
        <f>B81*(E79*I79-F79*G79)-B79*(C79*I79-G79*D79)+D79*(C79*F79-E79*D79)</f>
        <v>216568926674878.44</v>
      </c>
    </row>
    <row r="86" spans="1:2" x14ac:dyDescent="0.45">
      <c r="A86" s="83" t="s">
        <v>114</v>
      </c>
      <c r="B86" s="13">
        <f>B81*(H79*F79-E79*G79)-C79*(C79*F79-E79*D79)+B79*(C79*G79-H79*D79)</f>
        <v>-70855109404912.828</v>
      </c>
    </row>
    <row r="88" spans="1:2" x14ac:dyDescent="0.45">
      <c r="A88" s="89" t="s">
        <v>115</v>
      </c>
      <c r="B88" s="90">
        <f>B84/B83</f>
        <v>32.319806284189248</v>
      </c>
    </row>
    <row r="89" spans="1:2" x14ac:dyDescent="0.45">
      <c r="A89" s="89" t="s">
        <v>116</v>
      </c>
      <c r="B89" s="90">
        <f>B85/B83</f>
        <v>0.98755040167014396</v>
      </c>
    </row>
    <row r="90" spans="1:2" x14ac:dyDescent="0.45">
      <c r="A90" s="89" t="s">
        <v>117</v>
      </c>
      <c r="B90" s="90">
        <f>B86/B83</f>
        <v>-0.32309802162084772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04D9-491B-43CB-ABF0-84D6390EAC48}">
  <dimension ref="A4:F98"/>
  <sheetViews>
    <sheetView topLeftCell="A71" workbookViewId="0">
      <selection activeCell="I12" sqref="I12"/>
    </sheetView>
  </sheetViews>
  <sheetFormatPr defaultRowHeight="14.25" x14ac:dyDescent="0.45"/>
  <cols>
    <col min="1" max="1" width="22.3984375" customWidth="1"/>
    <col min="2" max="4" width="14" customWidth="1"/>
    <col min="5" max="5" width="18" customWidth="1"/>
    <col min="6" max="6" width="16" customWidth="1"/>
  </cols>
  <sheetData>
    <row r="4" spans="1:6" ht="28.5" x14ac:dyDescent="0.45">
      <c r="A4" s="80" t="s">
        <v>64</v>
      </c>
      <c r="B4" s="80" t="s">
        <v>65</v>
      </c>
      <c r="C4" s="80" t="s">
        <v>66</v>
      </c>
      <c r="D4" s="80" t="s">
        <v>88</v>
      </c>
      <c r="E4" s="80" t="s">
        <v>89</v>
      </c>
      <c r="F4" s="80" t="s">
        <v>90</v>
      </c>
    </row>
    <row r="5" spans="1:6" x14ac:dyDescent="0.45">
      <c r="A5" s="81">
        <v>1</v>
      </c>
      <c r="B5" s="82">
        <v>-109.98</v>
      </c>
      <c r="C5" s="82">
        <v>0</v>
      </c>
      <c r="D5" s="81" t="s">
        <v>70</v>
      </c>
      <c r="E5" s="81" t="s">
        <v>70</v>
      </c>
      <c r="F5" s="81" t="s">
        <v>70</v>
      </c>
    </row>
    <row r="6" spans="1:6" x14ac:dyDescent="0.45">
      <c r="A6" s="81">
        <v>2</v>
      </c>
      <c r="B6" s="82">
        <v>-72.959999999999994</v>
      </c>
      <c r="C6" s="82">
        <v>0</v>
      </c>
      <c r="D6" s="81" t="s">
        <v>70</v>
      </c>
      <c r="E6" s="81" t="s">
        <v>70</v>
      </c>
      <c r="F6" s="81" t="s">
        <v>70</v>
      </c>
    </row>
    <row r="7" spans="1:6" x14ac:dyDescent="0.45">
      <c r="A7" s="81">
        <v>3</v>
      </c>
      <c r="B7" s="82">
        <v>7.18</v>
      </c>
      <c r="C7" s="82">
        <v>0</v>
      </c>
      <c r="D7" s="81" t="s">
        <v>70</v>
      </c>
      <c r="E7" s="81" t="s">
        <v>70</v>
      </c>
      <c r="F7" s="81" t="s">
        <v>70</v>
      </c>
    </row>
    <row r="8" spans="1:6" x14ac:dyDescent="0.45">
      <c r="A8" s="81">
        <v>4</v>
      </c>
      <c r="B8" s="82">
        <v>57.22</v>
      </c>
      <c r="C8" s="82">
        <v>0</v>
      </c>
      <c r="D8" s="81" t="s">
        <v>70</v>
      </c>
      <c r="E8" s="81" t="s">
        <v>70</v>
      </c>
      <c r="F8" s="81" t="s">
        <v>70</v>
      </c>
    </row>
    <row r="9" spans="1:6" x14ac:dyDescent="0.45">
      <c r="A9" s="81">
        <v>5</v>
      </c>
      <c r="B9" s="82">
        <v>13.1</v>
      </c>
      <c r="C9" s="82">
        <v>0</v>
      </c>
      <c r="D9" s="81" t="s">
        <v>70</v>
      </c>
      <c r="E9" s="81" t="s">
        <v>70</v>
      </c>
      <c r="F9" s="81" t="s">
        <v>70</v>
      </c>
    </row>
    <row r="10" spans="1:6" x14ac:dyDescent="0.45">
      <c r="A10" s="81">
        <v>6</v>
      </c>
      <c r="B10" s="82">
        <v>97.92</v>
      </c>
      <c r="C10" s="82">
        <v>0</v>
      </c>
      <c r="D10" s="81" t="s">
        <v>70</v>
      </c>
      <c r="E10" s="81" t="s">
        <v>70</v>
      </c>
      <c r="F10" s="81" t="s">
        <v>70</v>
      </c>
    </row>
    <row r="11" spans="1:6" x14ac:dyDescent="0.45">
      <c r="A11" s="81">
        <v>7</v>
      </c>
      <c r="B11" s="82">
        <v>85.23</v>
      </c>
      <c r="C11" s="82">
        <v>0</v>
      </c>
      <c r="D11" s="81" t="s">
        <v>70</v>
      </c>
      <c r="E11" s="81" t="s">
        <v>70</v>
      </c>
      <c r="F11" s="81" t="s">
        <v>70</v>
      </c>
    </row>
    <row r="12" spans="1:6" x14ac:dyDescent="0.45">
      <c r="A12" s="81">
        <v>8</v>
      </c>
      <c r="B12" s="82">
        <v>12.46</v>
      </c>
      <c r="C12" s="82">
        <v>-27.721428</v>
      </c>
      <c r="D12" s="82">
        <f t="shared" ref="D12:D75" si="0">C5</f>
        <v>0</v>
      </c>
      <c r="E12" s="82">
        <f t="shared" ref="E12:E75" si="1">B12*D12</f>
        <v>0</v>
      </c>
      <c r="F12" s="82">
        <f t="shared" ref="F12:F75" si="2">D12^2</f>
        <v>0</v>
      </c>
    </row>
    <row r="13" spans="1:6" x14ac:dyDescent="0.45">
      <c r="A13" s="81">
        <v>9</v>
      </c>
      <c r="B13" s="82">
        <v>-202.24</v>
      </c>
      <c r="C13" s="82">
        <v>-242.42142799999999</v>
      </c>
      <c r="D13" s="82">
        <f t="shared" si="0"/>
        <v>0</v>
      </c>
      <c r="E13" s="82">
        <f t="shared" si="1"/>
        <v>0</v>
      </c>
      <c r="F13" s="82">
        <f t="shared" si="2"/>
        <v>0</v>
      </c>
    </row>
    <row r="14" spans="1:6" x14ac:dyDescent="0.45">
      <c r="A14" s="81">
        <v>10</v>
      </c>
      <c r="B14" s="82">
        <v>48.43</v>
      </c>
      <c r="C14" s="82">
        <v>8.2485719999999993</v>
      </c>
      <c r="D14" s="82">
        <f t="shared" si="0"/>
        <v>0</v>
      </c>
      <c r="E14" s="82">
        <f t="shared" si="1"/>
        <v>0</v>
      </c>
      <c r="F14" s="82">
        <f t="shared" si="2"/>
        <v>0</v>
      </c>
    </row>
    <row r="15" spans="1:6" x14ac:dyDescent="0.45">
      <c r="A15" s="81">
        <v>11</v>
      </c>
      <c r="B15" s="82">
        <v>-253.32</v>
      </c>
      <c r="C15" s="82">
        <v>-293.50142799999998</v>
      </c>
      <c r="D15" s="82">
        <f t="shared" si="0"/>
        <v>0</v>
      </c>
      <c r="E15" s="82">
        <f t="shared" si="1"/>
        <v>0</v>
      </c>
      <c r="F15" s="82">
        <f t="shared" si="2"/>
        <v>0</v>
      </c>
    </row>
    <row r="16" spans="1:6" x14ac:dyDescent="0.45">
      <c r="A16" s="81">
        <v>12</v>
      </c>
      <c r="B16" s="82">
        <v>197.25</v>
      </c>
      <c r="C16" s="82">
        <v>157.06857199999999</v>
      </c>
      <c r="D16" s="82">
        <f t="shared" si="0"/>
        <v>0</v>
      </c>
      <c r="E16" s="82">
        <f t="shared" si="1"/>
        <v>0</v>
      </c>
      <c r="F16" s="82">
        <f t="shared" si="2"/>
        <v>0</v>
      </c>
    </row>
    <row r="17" spans="1:6" x14ac:dyDescent="0.45">
      <c r="A17" s="81">
        <v>13</v>
      </c>
      <c r="B17" s="82">
        <v>80.39</v>
      </c>
      <c r="C17" s="82">
        <v>40.208571999999997</v>
      </c>
      <c r="D17" s="82">
        <f t="shared" si="0"/>
        <v>0</v>
      </c>
      <c r="E17" s="82">
        <f t="shared" si="1"/>
        <v>0</v>
      </c>
      <c r="F17" s="82">
        <f t="shared" si="2"/>
        <v>0</v>
      </c>
    </row>
    <row r="18" spans="1:6" x14ac:dyDescent="0.45">
      <c r="A18" s="81">
        <v>14</v>
      </c>
      <c r="B18" s="82">
        <v>49.91</v>
      </c>
      <c r="C18" s="82">
        <v>9.7285719999999998</v>
      </c>
      <c r="D18" s="82">
        <f t="shared" si="0"/>
        <v>0</v>
      </c>
      <c r="E18" s="82">
        <f t="shared" si="1"/>
        <v>0</v>
      </c>
      <c r="F18" s="82">
        <f t="shared" si="2"/>
        <v>0</v>
      </c>
    </row>
    <row r="19" spans="1:6" x14ac:dyDescent="0.45">
      <c r="A19" s="81">
        <v>15</v>
      </c>
      <c r="B19" s="82">
        <v>111.43</v>
      </c>
      <c r="C19" s="82">
        <v>79.345095999999998</v>
      </c>
      <c r="D19" s="82">
        <f t="shared" si="0"/>
        <v>-27.721428</v>
      </c>
      <c r="E19" s="82">
        <f t="shared" si="1"/>
        <v>-3088.9987220400003</v>
      </c>
      <c r="F19" s="82">
        <f t="shared" si="2"/>
        <v>768.47757035918403</v>
      </c>
    </row>
    <row r="20" spans="1:6" x14ac:dyDescent="0.45">
      <c r="A20" s="81">
        <v>16</v>
      </c>
      <c r="B20" s="82">
        <v>-193.77</v>
      </c>
      <c r="C20" s="82">
        <v>-163.148045</v>
      </c>
      <c r="D20" s="82">
        <f t="shared" si="0"/>
        <v>-242.42142799999999</v>
      </c>
      <c r="E20" s="82">
        <f t="shared" si="1"/>
        <v>46974.00010356</v>
      </c>
      <c r="F20" s="82">
        <f t="shared" si="2"/>
        <v>58768.14875355918</v>
      </c>
    </row>
    <row r="21" spans="1:6" x14ac:dyDescent="0.45">
      <c r="A21" s="81">
        <v>17</v>
      </c>
      <c r="B21" s="82">
        <v>189.7</v>
      </c>
      <c r="C21" s="82">
        <v>147.10943399999999</v>
      </c>
      <c r="D21" s="82">
        <f t="shared" si="0"/>
        <v>8.2485719999999993</v>
      </c>
      <c r="E21" s="82">
        <f t="shared" si="1"/>
        <v>1564.7541083999997</v>
      </c>
      <c r="F21" s="82">
        <f t="shared" si="2"/>
        <v>68.038940039183984</v>
      </c>
    </row>
    <row r="22" spans="1:6" x14ac:dyDescent="0.45">
      <c r="A22" s="81">
        <v>18</v>
      </c>
      <c r="B22" s="82">
        <v>38.619999999999997</v>
      </c>
      <c r="C22" s="82">
        <v>84.160754999999995</v>
      </c>
      <c r="D22" s="82">
        <f t="shared" si="0"/>
        <v>-293.50142799999998</v>
      </c>
      <c r="E22" s="82">
        <f t="shared" si="1"/>
        <v>-11335.025149359999</v>
      </c>
      <c r="F22" s="82">
        <f t="shared" si="2"/>
        <v>86143.08823803917</v>
      </c>
    </row>
    <row r="23" spans="1:6" x14ac:dyDescent="0.45">
      <c r="A23" s="81">
        <v>19</v>
      </c>
      <c r="B23" s="82">
        <v>-53.92</v>
      </c>
      <c r="C23" s="82">
        <v>-139.97602800000001</v>
      </c>
      <c r="D23" s="82">
        <f t="shared" si="0"/>
        <v>157.06857199999999</v>
      </c>
      <c r="E23" s="82">
        <f t="shared" si="1"/>
        <v>-8469.1374022399996</v>
      </c>
      <c r="F23" s="82">
        <f t="shared" si="2"/>
        <v>24670.53631011918</v>
      </c>
    </row>
    <row r="24" spans="1:6" x14ac:dyDescent="0.45">
      <c r="A24" s="81">
        <v>20</v>
      </c>
      <c r="B24" s="82">
        <v>50.28</v>
      </c>
      <c r="C24" s="82">
        <v>-1.645038</v>
      </c>
      <c r="D24" s="82">
        <f t="shared" si="0"/>
        <v>40.208571999999997</v>
      </c>
      <c r="E24" s="82">
        <f t="shared" si="1"/>
        <v>2021.6870001599998</v>
      </c>
      <c r="F24" s="82">
        <f t="shared" si="2"/>
        <v>1616.7292622791838</v>
      </c>
    </row>
    <row r="25" spans="1:6" x14ac:dyDescent="0.45">
      <c r="A25" s="81">
        <v>21</v>
      </c>
      <c r="B25" s="82">
        <v>60.82</v>
      </c>
      <c r="C25" s="82">
        <v>17.797173999999998</v>
      </c>
      <c r="D25" s="82">
        <f t="shared" si="0"/>
        <v>9.7285719999999998</v>
      </c>
      <c r="E25" s="82">
        <f t="shared" si="1"/>
        <v>591.69174903999999</v>
      </c>
      <c r="F25" s="82">
        <f t="shared" si="2"/>
        <v>94.645113159183992</v>
      </c>
    </row>
    <row r="26" spans="1:6" x14ac:dyDescent="0.45">
      <c r="A26" s="81">
        <v>22</v>
      </c>
      <c r="B26" s="82">
        <v>103.42</v>
      </c>
      <c r="C26" s="82">
        <v>40.064461000000001</v>
      </c>
      <c r="D26" s="82">
        <f t="shared" si="0"/>
        <v>79.345095999999998</v>
      </c>
      <c r="E26" s="82">
        <f t="shared" si="1"/>
        <v>8205.8698283199992</v>
      </c>
      <c r="F26" s="82">
        <f t="shared" si="2"/>
        <v>6295.6442592492158</v>
      </c>
    </row>
    <row r="27" spans="1:6" x14ac:dyDescent="0.45">
      <c r="A27" s="81">
        <v>23</v>
      </c>
      <c r="B27" s="82">
        <v>89.8</v>
      </c>
      <c r="C27" s="82">
        <v>97.268788999999998</v>
      </c>
      <c r="D27" s="82">
        <f t="shared" si="0"/>
        <v>-163.148045</v>
      </c>
      <c r="E27" s="82">
        <f t="shared" si="1"/>
        <v>-14650.694441</v>
      </c>
      <c r="F27" s="82">
        <f t="shared" si="2"/>
        <v>26617.284587322025</v>
      </c>
    </row>
    <row r="28" spans="1:6" x14ac:dyDescent="0.45">
      <c r="A28" s="81">
        <v>24</v>
      </c>
      <c r="B28" s="82">
        <v>-5.26</v>
      </c>
      <c r="C28" s="82">
        <v>-88.407289000000006</v>
      </c>
      <c r="D28" s="82">
        <f t="shared" si="0"/>
        <v>147.10943399999999</v>
      </c>
      <c r="E28" s="82">
        <f t="shared" si="1"/>
        <v>-773.79562283999996</v>
      </c>
      <c r="F28" s="82">
        <f t="shared" si="2"/>
        <v>21641.185571800354</v>
      </c>
    </row>
    <row r="29" spans="1:6" x14ac:dyDescent="0.45">
      <c r="A29" s="81">
        <v>25</v>
      </c>
      <c r="B29" s="82">
        <v>-271.3</v>
      </c>
      <c r="C29" s="82">
        <v>-336.06203599999998</v>
      </c>
      <c r="D29" s="82">
        <f t="shared" si="0"/>
        <v>84.160754999999995</v>
      </c>
      <c r="E29" s="82">
        <f t="shared" si="1"/>
        <v>-22832.812831499999</v>
      </c>
      <c r="F29" s="82">
        <f t="shared" si="2"/>
        <v>7083.0326821700237</v>
      </c>
    </row>
    <row r="30" spans="1:6" x14ac:dyDescent="0.45">
      <c r="A30" s="81">
        <v>26</v>
      </c>
      <c r="B30" s="82">
        <v>-369.63</v>
      </c>
      <c r="C30" s="82">
        <v>-368.92900100000003</v>
      </c>
      <c r="D30" s="82">
        <f t="shared" si="0"/>
        <v>-139.97602800000001</v>
      </c>
      <c r="E30" s="82">
        <f t="shared" si="1"/>
        <v>51739.339229640005</v>
      </c>
      <c r="F30" s="82">
        <f t="shared" si="2"/>
        <v>19593.288414656789</v>
      </c>
    </row>
    <row r="31" spans="1:6" x14ac:dyDescent="0.45">
      <c r="A31" s="81">
        <v>27</v>
      </c>
      <c r="B31" s="82">
        <v>327.84</v>
      </c>
      <c r="C31" s="82">
        <v>288.13903399999998</v>
      </c>
      <c r="D31" s="82">
        <f t="shared" si="0"/>
        <v>-1.645038</v>
      </c>
      <c r="E31" s="82">
        <f t="shared" si="1"/>
        <v>-539.30925791999994</v>
      </c>
      <c r="F31" s="82">
        <f t="shared" si="2"/>
        <v>2.706150021444</v>
      </c>
    </row>
    <row r="32" spans="1:6" x14ac:dyDescent="0.45">
      <c r="A32" s="81">
        <v>28</v>
      </c>
      <c r="B32" s="82">
        <v>131.88</v>
      </c>
      <c r="C32" s="82">
        <v>86.500598999999994</v>
      </c>
      <c r="D32" s="82">
        <f t="shared" si="0"/>
        <v>17.797173999999998</v>
      </c>
      <c r="E32" s="82">
        <f t="shared" si="1"/>
        <v>2347.0913071199998</v>
      </c>
      <c r="F32" s="82">
        <f t="shared" si="2"/>
        <v>316.73940238627591</v>
      </c>
    </row>
    <row r="33" spans="1:6" x14ac:dyDescent="0.45">
      <c r="A33" s="81">
        <v>29</v>
      </c>
      <c r="B33" s="82">
        <v>55.98</v>
      </c>
      <c r="C33" s="82">
        <v>4.0970519999999997</v>
      </c>
      <c r="D33" s="82">
        <f t="shared" si="0"/>
        <v>40.064461000000001</v>
      </c>
      <c r="E33" s="82">
        <f t="shared" si="1"/>
        <v>2242.8085267799997</v>
      </c>
      <c r="F33" s="82">
        <f t="shared" si="2"/>
        <v>1605.1610352205212</v>
      </c>
    </row>
    <row r="34" spans="1:6" x14ac:dyDescent="0.45">
      <c r="A34" s="81">
        <v>30</v>
      </c>
      <c r="B34" s="82">
        <v>170.83</v>
      </c>
      <c r="C34" s="82">
        <v>102.239536</v>
      </c>
      <c r="D34" s="82">
        <f t="shared" si="0"/>
        <v>97.268788999999998</v>
      </c>
      <c r="E34" s="82">
        <f t="shared" si="1"/>
        <v>16616.42722487</v>
      </c>
      <c r="F34" s="82">
        <f t="shared" si="2"/>
        <v>9461.2173135265202</v>
      </c>
    </row>
    <row r="35" spans="1:6" x14ac:dyDescent="0.45">
      <c r="A35" s="81">
        <v>31</v>
      </c>
      <c r="B35" s="82">
        <v>229.19</v>
      </c>
      <c r="C35" s="82">
        <v>214.829454</v>
      </c>
      <c r="D35" s="82">
        <f t="shared" si="0"/>
        <v>-88.407289000000006</v>
      </c>
      <c r="E35" s="82">
        <f t="shared" si="1"/>
        <v>-20262.066565910001</v>
      </c>
      <c r="F35" s="82">
        <f t="shared" si="2"/>
        <v>7815.8487483295221</v>
      </c>
    </row>
    <row r="36" spans="1:6" x14ac:dyDescent="0.45">
      <c r="A36" s="81">
        <v>32</v>
      </c>
      <c r="B36" s="82">
        <v>-137.31</v>
      </c>
      <c r="C36" s="82">
        <v>-79.338682000000006</v>
      </c>
      <c r="D36" s="82">
        <f t="shared" si="0"/>
        <v>-336.06203599999998</v>
      </c>
      <c r="E36" s="82">
        <f t="shared" si="1"/>
        <v>46144.678163159995</v>
      </c>
      <c r="F36" s="82">
        <f t="shared" si="2"/>
        <v>112937.69204046528</v>
      </c>
    </row>
    <row r="37" spans="1:6" x14ac:dyDescent="0.45">
      <c r="A37" s="81">
        <v>33</v>
      </c>
      <c r="B37" s="82">
        <v>-93.04</v>
      </c>
      <c r="C37" s="82">
        <v>-25.469314000000001</v>
      </c>
      <c r="D37" s="82">
        <f t="shared" si="0"/>
        <v>-368.92900100000003</v>
      </c>
      <c r="E37" s="82">
        <f t="shared" si="1"/>
        <v>34325.154253040004</v>
      </c>
      <c r="F37" s="82">
        <f t="shared" si="2"/>
        <v>136108.60777885802</v>
      </c>
    </row>
    <row r="38" spans="1:6" x14ac:dyDescent="0.45">
      <c r="A38" s="81">
        <v>34</v>
      </c>
      <c r="B38" s="82">
        <v>351.67</v>
      </c>
      <c r="C38" s="82">
        <v>227.33257</v>
      </c>
      <c r="D38" s="82">
        <f t="shared" si="0"/>
        <v>288.13903399999998</v>
      </c>
      <c r="E38" s="82">
        <f t="shared" si="1"/>
        <v>101329.85408678</v>
      </c>
      <c r="F38" s="82">
        <f t="shared" si="2"/>
        <v>83024.102914453149</v>
      </c>
    </row>
    <row r="39" spans="1:6" x14ac:dyDescent="0.45">
      <c r="A39" s="81">
        <v>35</v>
      </c>
      <c r="B39" s="82">
        <v>134.44</v>
      </c>
      <c r="C39" s="82">
        <v>68.994572000000005</v>
      </c>
      <c r="D39" s="82">
        <f t="shared" si="0"/>
        <v>86.500598999999994</v>
      </c>
      <c r="E39" s="82">
        <f t="shared" si="1"/>
        <v>11629.14052956</v>
      </c>
      <c r="F39" s="82">
        <f t="shared" si="2"/>
        <v>7482.3536273587997</v>
      </c>
    </row>
    <row r="40" spans="1:6" x14ac:dyDescent="0.45">
      <c r="A40" s="81">
        <v>36</v>
      </c>
      <c r="B40" s="82">
        <v>-41.83</v>
      </c>
      <c r="C40" s="82">
        <v>-83.208043000000004</v>
      </c>
      <c r="D40" s="82">
        <f t="shared" si="0"/>
        <v>4.0970519999999997</v>
      </c>
      <c r="E40" s="82">
        <f t="shared" si="1"/>
        <v>-171.37968515999998</v>
      </c>
      <c r="F40" s="82">
        <f t="shared" si="2"/>
        <v>16.785835090703998</v>
      </c>
    </row>
    <row r="41" spans="1:6" x14ac:dyDescent="0.45">
      <c r="A41" s="81">
        <v>37</v>
      </c>
      <c r="B41" s="82">
        <v>96.91</v>
      </c>
      <c r="C41" s="82">
        <v>26.867743000000001</v>
      </c>
      <c r="D41" s="82">
        <f t="shared" si="0"/>
        <v>102.239536</v>
      </c>
      <c r="E41" s="82">
        <f t="shared" si="1"/>
        <v>9908.0334337599998</v>
      </c>
      <c r="F41" s="82">
        <f t="shared" si="2"/>
        <v>10452.922721495297</v>
      </c>
    </row>
    <row r="42" spans="1:6" x14ac:dyDescent="0.45">
      <c r="A42" s="81">
        <v>38</v>
      </c>
      <c r="B42" s="82">
        <v>161.74</v>
      </c>
      <c r="C42" s="82">
        <v>58.813904000000001</v>
      </c>
      <c r="D42" s="82">
        <f t="shared" si="0"/>
        <v>214.829454</v>
      </c>
      <c r="E42" s="82">
        <f t="shared" si="1"/>
        <v>34746.515889959999</v>
      </c>
      <c r="F42" s="82">
        <f t="shared" si="2"/>
        <v>46151.694305938116</v>
      </c>
    </row>
    <row r="43" spans="1:6" x14ac:dyDescent="0.45">
      <c r="A43" s="81">
        <v>39</v>
      </c>
      <c r="B43" s="82">
        <v>208.28</v>
      </c>
      <c r="C43" s="82">
        <v>191.27081000000001</v>
      </c>
      <c r="D43" s="82">
        <f t="shared" si="0"/>
        <v>-79.338682000000006</v>
      </c>
      <c r="E43" s="82">
        <f t="shared" si="1"/>
        <v>-16524.66068696</v>
      </c>
      <c r="F43" s="82">
        <f t="shared" si="2"/>
        <v>6294.6264614971251</v>
      </c>
    </row>
    <row r="44" spans="1:6" x14ac:dyDescent="0.45">
      <c r="A44" s="81">
        <v>40</v>
      </c>
      <c r="B44" s="82">
        <v>22.94</v>
      </c>
      <c r="C44" s="82">
        <v>-9.8026730000000004</v>
      </c>
      <c r="D44" s="82">
        <f t="shared" si="0"/>
        <v>-25.469314000000001</v>
      </c>
      <c r="E44" s="82">
        <f t="shared" si="1"/>
        <v>-584.26606316000004</v>
      </c>
      <c r="F44" s="82">
        <f t="shared" si="2"/>
        <v>648.68595563059603</v>
      </c>
    </row>
    <row r="45" spans="1:6" x14ac:dyDescent="0.45">
      <c r="A45" s="81">
        <v>41</v>
      </c>
      <c r="B45" s="82">
        <v>93.39</v>
      </c>
      <c r="C45" s="82">
        <v>-13.187847</v>
      </c>
      <c r="D45" s="82">
        <f t="shared" si="0"/>
        <v>227.33257</v>
      </c>
      <c r="E45" s="82">
        <f t="shared" si="1"/>
        <v>21230.588712299999</v>
      </c>
      <c r="F45" s="82">
        <f t="shared" si="2"/>
        <v>51680.097382804903</v>
      </c>
    </row>
    <row r="46" spans="1:6" x14ac:dyDescent="0.45">
      <c r="A46" s="81">
        <v>42</v>
      </c>
      <c r="B46" s="82">
        <v>97.76</v>
      </c>
      <c r="C46" s="82">
        <v>37.427511000000003</v>
      </c>
      <c r="D46" s="82">
        <f t="shared" si="0"/>
        <v>68.994572000000005</v>
      </c>
      <c r="E46" s="82">
        <f t="shared" si="1"/>
        <v>6744.9093587200005</v>
      </c>
      <c r="F46" s="82">
        <f t="shared" si="2"/>
        <v>4760.2509654631849</v>
      </c>
    </row>
    <row r="47" spans="1:6" x14ac:dyDescent="0.45">
      <c r="A47" s="81">
        <v>43</v>
      </c>
      <c r="B47" s="82">
        <v>127.42</v>
      </c>
      <c r="C47" s="82">
        <v>111.540924</v>
      </c>
      <c r="D47" s="82">
        <f t="shared" si="0"/>
        <v>-83.208043000000004</v>
      </c>
      <c r="E47" s="82">
        <f t="shared" si="1"/>
        <v>-10602.36883906</v>
      </c>
      <c r="F47" s="82">
        <f t="shared" si="2"/>
        <v>6923.57841988985</v>
      </c>
    </row>
    <row r="48" spans="1:6" x14ac:dyDescent="0.45">
      <c r="A48" s="81">
        <v>44</v>
      </c>
      <c r="B48" s="82">
        <v>-215.14</v>
      </c>
      <c r="C48" s="82">
        <v>-263.16861799999998</v>
      </c>
      <c r="D48" s="82">
        <f t="shared" si="0"/>
        <v>26.867743000000001</v>
      </c>
      <c r="E48" s="82">
        <f t="shared" si="1"/>
        <v>-5780.32622902</v>
      </c>
      <c r="F48" s="82">
        <f t="shared" si="2"/>
        <v>721.87561391404904</v>
      </c>
    </row>
    <row r="49" spans="1:6" x14ac:dyDescent="0.45">
      <c r="A49" s="81">
        <v>45</v>
      </c>
      <c r="B49" s="82">
        <v>297.83999999999997</v>
      </c>
      <c r="C49" s="82">
        <v>240.480952</v>
      </c>
      <c r="D49" s="82">
        <f t="shared" si="0"/>
        <v>58.813904000000001</v>
      </c>
      <c r="E49" s="82">
        <f t="shared" si="1"/>
        <v>17517.13316736</v>
      </c>
      <c r="F49" s="82">
        <f t="shared" si="2"/>
        <v>3459.0753037212162</v>
      </c>
    </row>
    <row r="50" spans="1:6" x14ac:dyDescent="0.45">
      <c r="A50" s="81">
        <v>46</v>
      </c>
      <c r="B50" s="82">
        <v>-38.380000000000003</v>
      </c>
      <c r="C50" s="82">
        <v>-134.42538500000001</v>
      </c>
      <c r="D50" s="82">
        <f t="shared" si="0"/>
        <v>191.27081000000001</v>
      </c>
      <c r="E50" s="82">
        <f t="shared" si="1"/>
        <v>-7340.9736878000012</v>
      </c>
      <c r="F50" s="82">
        <f t="shared" si="2"/>
        <v>36584.522758056104</v>
      </c>
    </row>
    <row r="51" spans="1:6" x14ac:dyDescent="0.45">
      <c r="A51" s="81">
        <v>47</v>
      </c>
      <c r="B51" s="82">
        <v>199.18</v>
      </c>
      <c r="C51" s="82">
        <v>161.86161300000001</v>
      </c>
      <c r="D51" s="82">
        <f t="shared" si="0"/>
        <v>-9.8026730000000004</v>
      </c>
      <c r="E51" s="82">
        <f t="shared" si="1"/>
        <v>-1952.4964081400001</v>
      </c>
      <c r="F51" s="82">
        <f t="shared" si="2"/>
        <v>96.092397944929004</v>
      </c>
    </row>
    <row r="52" spans="1:6" x14ac:dyDescent="0.45">
      <c r="A52" s="81">
        <v>48</v>
      </c>
      <c r="B52" s="82">
        <v>-250.63</v>
      </c>
      <c r="C52" s="82">
        <v>-286.95968800000003</v>
      </c>
      <c r="D52" s="82">
        <f t="shared" si="0"/>
        <v>-13.187847</v>
      </c>
      <c r="E52" s="82">
        <f t="shared" si="1"/>
        <v>3305.27009361</v>
      </c>
      <c r="F52" s="82">
        <f t="shared" si="2"/>
        <v>173.91930849540898</v>
      </c>
    </row>
    <row r="53" spans="1:6" x14ac:dyDescent="0.45">
      <c r="A53" s="81">
        <v>49</v>
      </c>
      <c r="B53" s="82">
        <v>-141.61000000000001</v>
      </c>
      <c r="C53" s="82">
        <v>-192.722781</v>
      </c>
      <c r="D53" s="82">
        <f t="shared" si="0"/>
        <v>37.427511000000003</v>
      </c>
      <c r="E53" s="82">
        <f t="shared" si="1"/>
        <v>-5300.1098327100008</v>
      </c>
      <c r="F53" s="82">
        <f t="shared" si="2"/>
        <v>1400.8185796551211</v>
      </c>
    </row>
    <row r="54" spans="1:6" x14ac:dyDescent="0.45">
      <c r="A54" s="81">
        <v>50</v>
      </c>
      <c r="B54" s="82">
        <v>156.47</v>
      </c>
      <c r="C54" s="82">
        <v>83.711111000000002</v>
      </c>
      <c r="D54" s="82">
        <f t="shared" si="0"/>
        <v>111.540924</v>
      </c>
      <c r="E54" s="82">
        <f t="shared" si="1"/>
        <v>17452.808378280002</v>
      </c>
      <c r="F54" s="82">
        <f t="shared" si="2"/>
        <v>12441.377726773777</v>
      </c>
    </row>
    <row r="55" spans="1:6" x14ac:dyDescent="0.45">
      <c r="A55" s="81">
        <v>51</v>
      </c>
      <c r="B55" s="82">
        <v>-398.48</v>
      </c>
      <c r="C55" s="82">
        <v>-361.79846900000001</v>
      </c>
      <c r="D55" s="82">
        <f t="shared" si="0"/>
        <v>-263.16861799999998</v>
      </c>
      <c r="E55" s="82">
        <f t="shared" si="1"/>
        <v>104867.43090064</v>
      </c>
      <c r="F55" s="82">
        <f t="shared" si="2"/>
        <v>69257.721500029918</v>
      </c>
    </row>
    <row r="56" spans="1:6" x14ac:dyDescent="0.45">
      <c r="A56" s="81">
        <v>52</v>
      </c>
      <c r="B56" s="82">
        <v>0.22</v>
      </c>
      <c r="C56" s="82">
        <v>-110.19806</v>
      </c>
      <c r="D56" s="82">
        <f t="shared" si="0"/>
        <v>240.480952</v>
      </c>
      <c r="E56" s="82">
        <f t="shared" si="1"/>
        <v>52.905809439999999</v>
      </c>
      <c r="F56" s="82">
        <f t="shared" si="2"/>
        <v>57831.088274826303</v>
      </c>
    </row>
    <row r="57" spans="1:6" x14ac:dyDescent="0.45">
      <c r="A57" s="81">
        <v>53</v>
      </c>
      <c r="B57" s="82">
        <v>-346.77</v>
      </c>
      <c r="C57" s="82">
        <v>-347.69016199999999</v>
      </c>
      <c r="D57" s="82">
        <f t="shared" si="0"/>
        <v>-134.42538500000001</v>
      </c>
      <c r="E57" s="82">
        <f t="shared" si="1"/>
        <v>46614.69075645</v>
      </c>
      <c r="F57" s="82">
        <f t="shared" si="2"/>
        <v>18070.184132398226</v>
      </c>
    </row>
    <row r="58" spans="1:6" x14ac:dyDescent="0.45">
      <c r="A58" s="81">
        <v>54</v>
      </c>
      <c r="B58" s="82">
        <v>344.91</v>
      </c>
      <c r="C58" s="82">
        <v>257.45408099999997</v>
      </c>
      <c r="D58" s="82">
        <f t="shared" si="0"/>
        <v>161.86161300000001</v>
      </c>
      <c r="E58" s="82">
        <f t="shared" si="1"/>
        <v>55827.688939830005</v>
      </c>
      <c r="F58" s="82">
        <f t="shared" si="2"/>
        <v>26199.181762961769</v>
      </c>
    </row>
    <row r="59" spans="1:6" x14ac:dyDescent="0.45">
      <c r="A59" s="81">
        <v>55</v>
      </c>
      <c r="B59" s="82">
        <v>-175.29</v>
      </c>
      <c r="C59" s="82">
        <v>-131.659874</v>
      </c>
      <c r="D59" s="82">
        <f t="shared" si="0"/>
        <v>-286.95968800000003</v>
      </c>
      <c r="E59" s="82">
        <f t="shared" si="1"/>
        <v>50301.163709520006</v>
      </c>
      <c r="F59" s="82">
        <f t="shared" si="2"/>
        <v>82345.862537057357</v>
      </c>
    </row>
    <row r="60" spans="1:6" x14ac:dyDescent="0.45">
      <c r="A60" s="81">
        <v>56</v>
      </c>
      <c r="B60" s="82">
        <v>-369.38</v>
      </c>
      <c r="C60" s="82">
        <v>-353.27339699999999</v>
      </c>
      <c r="D60" s="82">
        <f t="shared" si="0"/>
        <v>-192.722781</v>
      </c>
      <c r="E60" s="82">
        <f t="shared" si="1"/>
        <v>71187.940845780002</v>
      </c>
      <c r="F60" s="82">
        <f t="shared" si="2"/>
        <v>37142.07031637396</v>
      </c>
    </row>
    <row r="61" spans="1:6" x14ac:dyDescent="0.45">
      <c r="A61" s="81">
        <v>57</v>
      </c>
      <c r="B61" s="82">
        <v>286.36</v>
      </c>
      <c r="C61" s="82">
        <v>221.72929099999999</v>
      </c>
      <c r="D61" s="82">
        <f t="shared" si="0"/>
        <v>83.711111000000002</v>
      </c>
      <c r="E61" s="82">
        <f t="shared" si="1"/>
        <v>23971.513745960001</v>
      </c>
      <c r="F61" s="82">
        <f t="shared" si="2"/>
        <v>7007.550104854321</v>
      </c>
    </row>
    <row r="62" spans="1:6" x14ac:dyDescent="0.45">
      <c r="A62" s="81">
        <v>58</v>
      </c>
      <c r="B62" s="82">
        <v>208.13</v>
      </c>
      <c r="C62" s="82">
        <v>273.61809</v>
      </c>
      <c r="D62" s="82">
        <f t="shared" si="0"/>
        <v>-361.79846900000001</v>
      </c>
      <c r="E62" s="82">
        <f t="shared" si="1"/>
        <v>-75301.115352969995</v>
      </c>
      <c r="F62" s="82">
        <f t="shared" si="2"/>
        <v>130898.13217074396</v>
      </c>
    </row>
    <row r="63" spans="1:6" x14ac:dyDescent="0.45">
      <c r="A63" s="81">
        <v>59</v>
      </c>
      <c r="B63" s="82">
        <v>-240.61</v>
      </c>
      <c r="C63" s="82">
        <v>-248.60617300000001</v>
      </c>
      <c r="D63" s="82">
        <f t="shared" si="0"/>
        <v>-110.19806</v>
      </c>
      <c r="E63" s="82">
        <f t="shared" si="1"/>
        <v>26514.755216600002</v>
      </c>
      <c r="F63" s="82">
        <f t="shared" si="2"/>
        <v>12143.612427763599</v>
      </c>
    </row>
    <row r="64" spans="1:6" x14ac:dyDescent="0.45">
      <c r="A64" s="81">
        <v>60</v>
      </c>
      <c r="B64" s="82">
        <v>237.1</v>
      </c>
      <c r="C64" s="82">
        <v>298.46751399999999</v>
      </c>
      <c r="D64" s="82">
        <f t="shared" si="0"/>
        <v>-347.69016199999999</v>
      </c>
      <c r="E64" s="82">
        <f t="shared" si="1"/>
        <v>-82437.337410199994</v>
      </c>
      <c r="F64" s="82">
        <f t="shared" si="2"/>
        <v>120888.44875158623</v>
      </c>
    </row>
    <row r="65" spans="1:6" x14ac:dyDescent="0.45">
      <c r="A65" s="81">
        <v>61</v>
      </c>
      <c r="B65" s="82">
        <v>-106.45</v>
      </c>
      <c r="C65" s="82">
        <v>-221.825357</v>
      </c>
      <c r="D65" s="82">
        <f t="shared" si="0"/>
        <v>257.45408099999997</v>
      </c>
      <c r="E65" s="82">
        <f t="shared" si="1"/>
        <v>-27405.986922449996</v>
      </c>
      <c r="F65" s="82">
        <f t="shared" si="2"/>
        <v>66282.603823554542</v>
      </c>
    </row>
    <row r="66" spans="1:6" x14ac:dyDescent="0.45">
      <c r="A66" s="81">
        <v>62</v>
      </c>
      <c r="B66" s="82">
        <v>139.16</v>
      </c>
      <c r="C66" s="82">
        <v>137.43212199999999</v>
      </c>
      <c r="D66" s="82">
        <f t="shared" si="0"/>
        <v>-131.659874</v>
      </c>
      <c r="E66" s="82">
        <f t="shared" si="1"/>
        <v>-18321.788065839999</v>
      </c>
      <c r="F66" s="82">
        <f t="shared" si="2"/>
        <v>17334.322421695877</v>
      </c>
    </row>
    <row r="67" spans="1:6" x14ac:dyDescent="0.45">
      <c r="A67" s="81">
        <v>63</v>
      </c>
      <c r="B67" s="82">
        <v>60.17</v>
      </c>
      <c r="C67" s="82">
        <v>123.168195</v>
      </c>
      <c r="D67" s="82">
        <f t="shared" si="0"/>
        <v>-353.27339699999999</v>
      </c>
      <c r="E67" s="82">
        <f t="shared" si="1"/>
        <v>-21256.460297490001</v>
      </c>
      <c r="F67" s="82">
        <f t="shared" si="2"/>
        <v>124802.0930279196</v>
      </c>
    </row>
    <row r="68" spans="1:6" x14ac:dyDescent="0.45">
      <c r="A68" s="81">
        <v>64</v>
      </c>
      <c r="B68" s="82">
        <v>10.35</v>
      </c>
      <c r="C68" s="82">
        <v>-94.591312000000002</v>
      </c>
      <c r="D68" s="82">
        <f t="shared" si="0"/>
        <v>221.72929099999999</v>
      </c>
      <c r="E68" s="82">
        <f t="shared" si="1"/>
        <v>2294.8981618499997</v>
      </c>
      <c r="F68" s="82">
        <f t="shared" si="2"/>
        <v>49163.878487362679</v>
      </c>
    </row>
    <row r="69" spans="1:6" x14ac:dyDescent="0.45">
      <c r="A69" s="81">
        <v>65</v>
      </c>
      <c r="B69" s="82">
        <v>270.55</v>
      </c>
      <c r="C69" s="82">
        <v>150.453664</v>
      </c>
      <c r="D69" s="82">
        <f t="shared" si="0"/>
        <v>273.61809</v>
      </c>
      <c r="E69" s="82">
        <f t="shared" si="1"/>
        <v>74027.374249500004</v>
      </c>
      <c r="F69" s="82">
        <f t="shared" si="2"/>
        <v>74866.859175248101</v>
      </c>
    </row>
    <row r="70" spans="1:6" x14ac:dyDescent="0.45">
      <c r="A70" s="81">
        <v>66</v>
      </c>
      <c r="B70" s="82">
        <v>138.58000000000001</v>
      </c>
      <c r="C70" s="82">
        <v>171.00831700000001</v>
      </c>
      <c r="D70" s="82">
        <f t="shared" si="0"/>
        <v>-248.60617300000001</v>
      </c>
      <c r="E70" s="82">
        <f t="shared" si="1"/>
        <v>-34451.843454340007</v>
      </c>
      <c r="F70" s="82">
        <f t="shared" si="2"/>
        <v>61805.029253705936</v>
      </c>
    </row>
    <row r="71" spans="1:6" x14ac:dyDescent="0.45">
      <c r="A71" s="81">
        <v>67</v>
      </c>
      <c r="B71" s="82">
        <v>-81.3</v>
      </c>
      <c r="C71" s="82">
        <v>-208.654042</v>
      </c>
      <c r="D71" s="82">
        <f t="shared" si="0"/>
        <v>298.46751399999999</v>
      </c>
      <c r="E71" s="82">
        <f t="shared" si="1"/>
        <v>-24265.4088882</v>
      </c>
      <c r="F71" s="82">
        <f t="shared" si="2"/>
        <v>89082.856913340191</v>
      </c>
    </row>
    <row r="72" spans="1:6" x14ac:dyDescent="0.45">
      <c r="A72" s="81">
        <v>68</v>
      </c>
      <c r="B72" s="82">
        <v>-219.61</v>
      </c>
      <c r="C72" s="82">
        <v>-195.00348500000001</v>
      </c>
      <c r="D72" s="82">
        <f t="shared" si="0"/>
        <v>-221.825357</v>
      </c>
      <c r="E72" s="82">
        <f t="shared" si="1"/>
        <v>48715.066650770001</v>
      </c>
      <c r="F72" s="82">
        <f t="shared" si="2"/>
        <v>49206.48900817745</v>
      </c>
    </row>
    <row r="73" spans="1:6" x14ac:dyDescent="0.45">
      <c r="A73" s="81">
        <v>69</v>
      </c>
      <c r="B73" s="82">
        <v>-94.25</v>
      </c>
      <c r="C73" s="82">
        <v>-174.57086200000001</v>
      </c>
      <c r="D73" s="82">
        <f t="shared" si="0"/>
        <v>137.43212199999999</v>
      </c>
      <c r="E73" s="82">
        <f t="shared" si="1"/>
        <v>-12952.977498499999</v>
      </c>
      <c r="F73" s="82">
        <f t="shared" si="2"/>
        <v>18887.588157422881</v>
      </c>
    </row>
    <row r="74" spans="1:6" x14ac:dyDescent="0.45">
      <c r="A74" s="81">
        <v>70</v>
      </c>
      <c r="B74" s="82">
        <v>374</v>
      </c>
      <c r="C74" s="82">
        <v>297.84516500000001</v>
      </c>
      <c r="D74" s="82">
        <f t="shared" si="0"/>
        <v>123.168195</v>
      </c>
      <c r="E74" s="82">
        <f t="shared" si="1"/>
        <v>46064.904929999997</v>
      </c>
      <c r="F74" s="82">
        <f t="shared" si="2"/>
        <v>15170.404259558025</v>
      </c>
    </row>
    <row r="75" spans="1:6" x14ac:dyDescent="0.45">
      <c r="A75" s="81">
        <v>71</v>
      </c>
      <c r="B75" s="82">
        <v>202.03</v>
      </c>
      <c r="C75" s="82">
        <v>189.475606</v>
      </c>
      <c r="D75" s="82">
        <f t="shared" si="0"/>
        <v>-94.591312000000002</v>
      </c>
      <c r="E75" s="82">
        <f t="shared" si="1"/>
        <v>-19110.282763359999</v>
      </c>
      <c r="F75" s="82">
        <f t="shared" si="2"/>
        <v>8947.516305881345</v>
      </c>
    </row>
    <row r="76" spans="1:6" x14ac:dyDescent="0.45">
      <c r="A76" s="81">
        <v>72</v>
      </c>
      <c r="B76" s="82">
        <v>75.819999999999993</v>
      </c>
      <c r="C76" s="82">
        <v>-8.3040289999999999</v>
      </c>
      <c r="D76" s="82">
        <f t="shared" ref="D76:D83" si="3">C69</f>
        <v>150.453664</v>
      </c>
      <c r="E76" s="82">
        <f t="shared" ref="E76:E83" si="4">B76*D76</f>
        <v>11407.396804479999</v>
      </c>
      <c r="F76" s="82">
        <f t="shared" ref="F76:F83" si="5">D76^2</f>
        <v>22636.305011024899</v>
      </c>
    </row>
    <row r="77" spans="1:6" x14ac:dyDescent="0.45">
      <c r="A77" s="81">
        <v>73</v>
      </c>
      <c r="B77" s="82">
        <v>250.62</v>
      </c>
      <c r="C77" s="82">
        <v>160.492628</v>
      </c>
      <c r="D77" s="82">
        <f t="shared" si="3"/>
        <v>171.00831700000001</v>
      </c>
      <c r="E77" s="82">
        <f t="shared" si="4"/>
        <v>42858.104406540006</v>
      </c>
      <c r="F77" s="82">
        <f t="shared" si="5"/>
        <v>29243.844483172492</v>
      </c>
    </row>
    <row r="78" spans="1:6" x14ac:dyDescent="0.45">
      <c r="A78" s="81">
        <v>74</v>
      </c>
      <c r="B78" s="82">
        <v>158.08000000000001</v>
      </c>
      <c r="C78" s="82">
        <v>178.83960400000001</v>
      </c>
      <c r="D78" s="82">
        <f t="shared" si="3"/>
        <v>-208.654042</v>
      </c>
      <c r="E78" s="82">
        <f t="shared" si="4"/>
        <v>-32984.030959360003</v>
      </c>
      <c r="F78" s="82">
        <f t="shared" si="5"/>
        <v>43536.509242937769</v>
      </c>
    </row>
    <row r="79" spans="1:6" x14ac:dyDescent="0.45">
      <c r="A79" s="81">
        <v>75</v>
      </c>
      <c r="B79" s="82">
        <v>-218.66</v>
      </c>
      <c r="C79" s="82">
        <v>-201.88727800000001</v>
      </c>
      <c r="D79" s="82">
        <f t="shared" si="3"/>
        <v>-195.00348500000001</v>
      </c>
      <c r="E79" s="82">
        <f t="shared" si="4"/>
        <v>42639.462030100003</v>
      </c>
      <c r="F79" s="82">
        <f t="shared" si="5"/>
        <v>38026.359162145229</v>
      </c>
    </row>
    <row r="80" spans="1:6" x14ac:dyDescent="0.45">
      <c r="A80" s="81">
        <v>76</v>
      </c>
      <c r="B80" s="82">
        <v>241.82</v>
      </c>
      <c r="C80" s="82">
        <v>252.62502000000001</v>
      </c>
      <c r="D80" s="82">
        <f t="shared" si="3"/>
        <v>-174.57086200000001</v>
      </c>
      <c r="E80" s="82">
        <f t="shared" si="4"/>
        <v>-42214.725848839997</v>
      </c>
      <c r="F80" s="82">
        <f t="shared" si="5"/>
        <v>30474.985859423046</v>
      </c>
    </row>
    <row r="81" spans="1:6" x14ac:dyDescent="0.45">
      <c r="A81" s="81">
        <v>77</v>
      </c>
      <c r="B81" s="82">
        <v>182.97</v>
      </c>
      <c r="C81" s="82">
        <v>55.797725999999997</v>
      </c>
      <c r="D81" s="82">
        <f t="shared" si="3"/>
        <v>297.84516500000001</v>
      </c>
      <c r="E81" s="82">
        <f t="shared" si="4"/>
        <v>54496.72984005</v>
      </c>
      <c r="F81" s="82">
        <f t="shared" si="5"/>
        <v>88711.742313877228</v>
      </c>
    </row>
    <row r="82" spans="1:6" x14ac:dyDescent="0.45">
      <c r="A82" s="81">
        <v>78</v>
      </c>
      <c r="B82" s="82">
        <v>61.82</v>
      </c>
      <c r="C82" s="82">
        <v>-33.701064000000002</v>
      </c>
      <c r="D82" s="82">
        <f t="shared" si="3"/>
        <v>189.475606</v>
      </c>
      <c r="E82" s="82">
        <f t="shared" si="4"/>
        <v>11713.381962920001</v>
      </c>
      <c r="F82" s="82">
        <f t="shared" si="5"/>
        <v>35901.005269067238</v>
      </c>
    </row>
    <row r="83" spans="1:6" x14ac:dyDescent="0.45">
      <c r="A83" s="81">
        <v>79</v>
      </c>
      <c r="B83" s="82">
        <v>126.1</v>
      </c>
      <c r="C83" s="82">
        <v>88.343907999999999</v>
      </c>
      <c r="D83" s="82">
        <f t="shared" si="3"/>
        <v>-8.3040289999999999</v>
      </c>
      <c r="E83" s="82">
        <f t="shared" si="4"/>
        <v>-1047.1380569</v>
      </c>
      <c r="F83" s="82">
        <f t="shared" si="5"/>
        <v>68.956897632840992</v>
      </c>
    </row>
    <row r="85" spans="1:6" x14ac:dyDescent="0.45">
      <c r="A85" s="83" t="s">
        <v>71</v>
      </c>
      <c r="B85" s="84">
        <f>SUM(B12:B83)</f>
        <v>2746.8799999999997</v>
      </c>
      <c r="D85" s="84">
        <f>SUM(D12:D83)</f>
        <v>-500.51054699999997</v>
      </c>
      <c r="E85" s="84">
        <f>SUM(E12:E83)</f>
        <v>628235.64716158004</v>
      </c>
      <c r="F85" s="84">
        <f>SUM(F12:F83)</f>
        <v>2219854.0535014858</v>
      </c>
    </row>
    <row r="86" spans="1:6" x14ac:dyDescent="0.45">
      <c r="A86" t="s">
        <v>72</v>
      </c>
      <c r="B86" t="s">
        <v>91</v>
      </c>
      <c r="D86" t="s">
        <v>92</v>
      </c>
      <c r="E86" t="s">
        <v>93</v>
      </c>
      <c r="F86" t="s">
        <v>94</v>
      </c>
    </row>
    <row r="88" spans="1:6" x14ac:dyDescent="0.45">
      <c r="A88" s="83" t="s">
        <v>95</v>
      </c>
      <c r="B88">
        <v>72</v>
      </c>
    </row>
    <row r="89" spans="1:6" x14ac:dyDescent="0.45">
      <c r="A89" s="83" t="s">
        <v>96</v>
      </c>
      <c r="B89" s="13">
        <f>B88*F85-D85^2</f>
        <v>159578981.04444876</v>
      </c>
    </row>
    <row r="91" spans="1:6" x14ac:dyDescent="0.45">
      <c r="A91" s="83" t="s">
        <v>97</v>
      </c>
      <c r="B91" s="85">
        <f>(F85*B85-D85*E85)/B89</f>
        <v>40.181427578497242</v>
      </c>
      <c r="D91" t="s">
        <v>98</v>
      </c>
    </row>
    <row r="92" spans="1:6" x14ac:dyDescent="0.45">
      <c r="A92" s="83" t="s">
        <v>99</v>
      </c>
      <c r="B92" s="85">
        <f>(D85*B85-B88*E85)/B89</f>
        <v>-0.29206734309197707</v>
      </c>
      <c r="D92" t="s">
        <v>100</v>
      </c>
    </row>
    <row r="94" spans="1:6" x14ac:dyDescent="0.45">
      <c r="A94" s="144"/>
      <c r="B94" s="145"/>
      <c r="C94" s="145"/>
      <c r="D94" s="145"/>
      <c r="E94" s="145"/>
      <c r="F94" s="145"/>
    </row>
    <row r="95" spans="1:6" x14ac:dyDescent="0.45">
      <c r="A95" s="144"/>
      <c r="B95" s="145"/>
      <c r="C95" s="145"/>
      <c r="D95" s="145"/>
      <c r="E95" s="145"/>
      <c r="F95" s="145"/>
    </row>
    <row r="96" spans="1:6" x14ac:dyDescent="0.45">
      <c r="A96" s="144"/>
      <c r="B96" s="145"/>
      <c r="C96" s="145"/>
      <c r="D96" s="145"/>
      <c r="E96" s="145"/>
      <c r="F96" s="145"/>
    </row>
    <row r="97" spans="1:6" x14ac:dyDescent="0.45">
      <c r="A97" s="144"/>
      <c r="B97" s="145"/>
      <c r="C97" s="145"/>
      <c r="D97" s="145"/>
      <c r="E97" s="145"/>
      <c r="F97" s="145"/>
    </row>
    <row r="98" spans="1:6" x14ac:dyDescent="0.45">
      <c r="A98" s="144"/>
      <c r="B98" s="145"/>
      <c r="C98" s="145"/>
      <c r="D98" s="145"/>
      <c r="E98" s="145"/>
      <c r="F98" s="145"/>
    </row>
  </sheetData>
  <mergeCells count="5">
    <mergeCell ref="A94:F94"/>
    <mergeCell ref="A95:F95"/>
    <mergeCell ref="A96:F96"/>
    <mergeCell ref="A97:F97"/>
    <mergeCell ref="A98:F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38F6-A19B-407F-ADCD-A3180F46F644}">
  <dimension ref="A1:G81"/>
  <sheetViews>
    <sheetView zoomScale="70" workbookViewId="0">
      <selection activeCell="G1" sqref="G1:G1048576"/>
    </sheetView>
  </sheetViews>
  <sheetFormatPr defaultRowHeight="14.25" x14ac:dyDescent="0.45"/>
  <cols>
    <col min="4" max="4" width="14.73046875" customWidth="1"/>
    <col min="5" max="5" width="16.19921875" customWidth="1"/>
    <col min="6" max="6" width="19.796875" customWidth="1"/>
    <col min="7" max="7" width="21.3984375" customWidth="1"/>
  </cols>
  <sheetData>
    <row r="1" spans="1:7" x14ac:dyDescent="0.45">
      <c r="A1" s="74" t="s">
        <v>0</v>
      </c>
      <c r="B1" s="74" t="s">
        <v>1</v>
      </c>
      <c r="C1" s="74" t="s">
        <v>2</v>
      </c>
      <c r="D1" s="74" t="s">
        <v>24</v>
      </c>
      <c r="E1" s="74" t="s">
        <v>25</v>
      </c>
      <c r="F1" s="74" t="s">
        <v>27</v>
      </c>
      <c r="G1" s="74" t="s">
        <v>26</v>
      </c>
    </row>
    <row r="2" spans="1:7" x14ac:dyDescent="0.45">
      <c r="A2" s="54">
        <v>49</v>
      </c>
      <c r="B2" s="54">
        <v>-109.98000000000002</v>
      </c>
      <c r="C2" s="54">
        <v>-27.039999999999964</v>
      </c>
      <c r="D2" s="55">
        <v>0</v>
      </c>
      <c r="E2" s="55">
        <v>0</v>
      </c>
      <c r="F2" s="55">
        <v>0</v>
      </c>
      <c r="G2" s="55">
        <v>0</v>
      </c>
    </row>
    <row r="3" spans="1:7" x14ac:dyDescent="0.45">
      <c r="A3" s="54">
        <v>63.400000000001455</v>
      </c>
      <c r="B3" s="54">
        <v>-72.960000000000036</v>
      </c>
      <c r="C3" s="54">
        <v>6.3399999999999181</v>
      </c>
      <c r="D3" s="55">
        <v>0</v>
      </c>
      <c r="E3" s="55">
        <v>0</v>
      </c>
      <c r="F3" s="55">
        <v>0</v>
      </c>
      <c r="G3" s="55">
        <v>0</v>
      </c>
    </row>
    <row r="4" spans="1:7" x14ac:dyDescent="0.45">
      <c r="A4" s="54">
        <v>23.199999999998909</v>
      </c>
      <c r="B4" s="54">
        <v>7.180000000000291</v>
      </c>
      <c r="C4" s="54">
        <v>-9.0499999999999545</v>
      </c>
      <c r="D4" s="55">
        <v>0</v>
      </c>
      <c r="E4" s="55">
        <v>0</v>
      </c>
      <c r="F4" s="55">
        <v>0</v>
      </c>
      <c r="G4" s="55">
        <v>0</v>
      </c>
    </row>
    <row r="5" spans="1:7" x14ac:dyDescent="0.45">
      <c r="A5" s="54">
        <v>56.5</v>
      </c>
      <c r="B5" s="54">
        <v>57.2199999999998</v>
      </c>
      <c r="C5" s="54">
        <v>-17.029999999999973</v>
      </c>
      <c r="D5" s="55">
        <v>0</v>
      </c>
      <c r="E5" s="55">
        <v>0</v>
      </c>
      <c r="F5" s="55">
        <v>0</v>
      </c>
      <c r="G5" s="55">
        <v>0</v>
      </c>
    </row>
    <row r="6" spans="1:7" x14ac:dyDescent="0.45">
      <c r="A6" s="54">
        <v>44.800000000001091</v>
      </c>
      <c r="B6" s="54">
        <v>13.099999999999909</v>
      </c>
      <c r="C6" s="54">
        <v>-45.670000000000073</v>
      </c>
      <c r="D6" s="55">
        <v>0</v>
      </c>
      <c r="E6" s="55">
        <v>0</v>
      </c>
      <c r="F6" s="55">
        <v>0</v>
      </c>
      <c r="G6" s="55">
        <f>C6-0.20011*A3+0.19098*A2-0.08492*B6-15.17-11.6</f>
        <v>-76.881406000000354</v>
      </c>
    </row>
    <row r="7" spans="1:7" x14ac:dyDescent="0.45">
      <c r="A7" s="54">
        <v>37.399999999999636</v>
      </c>
      <c r="B7" s="54">
        <v>97.920000000000073</v>
      </c>
      <c r="C7" s="54">
        <v>-28.839999999999918</v>
      </c>
      <c r="D7" s="55">
        <v>0</v>
      </c>
      <c r="E7" s="55">
        <v>0</v>
      </c>
      <c r="F7" s="55">
        <v>0</v>
      </c>
      <c r="G7" s="55">
        <f t="shared" ref="G7:G70" si="0">C7-0.20011*A4+0.19098*A3-0.08492*B7-15.17-11.6</f>
        <v>-56.45978639999943</v>
      </c>
    </row>
    <row r="8" spans="1:7" x14ac:dyDescent="0.45">
      <c r="A8" s="54">
        <v>48.600000000000364</v>
      </c>
      <c r="B8" s="54">
        <v>85.230000000000018</v>
      </c>
      <c r="C8" s="54">
        <v>-22.700000000000045</v>
      </c>
      <c r="D8" s="55">
        <v>0</v>
      </c>
      <c r="E8" s="55">
        <v>0</v>
      </c>
      <c r="F8" s="55">
        <v>0</v>
      </c>
      <c r="G8" s="55">
        <f t="shared" si="0"/>
        <v>-63.583210600000264</v>
      </c>
    </row>
    <row r="9" spans="1:7" x14ac:dyDescent="0.45">
      <c r="A9" s="54">
        <v>22.299999999999272</v>
      </c>
      <c r="B9" s="54">
        <v>12.460000000000036</v>
      </c>
      <c r="C9" s="54">
        <v>-9.0199999999999818</v>
      </c>
      <c r="D9" s="55">
        <v>0</v>
      </c>
      <c r="E9" s="55">
        <v>0</v>
      </c>
      <c r="F9" s="55">
        <v>0</v>
      </c>
      <c r="G9" s="55">
        <f t="shared" si="0"/>
        <v>-35.022661200000208</v>
      </c>
    </row>
    <row r="10" spans="1:7" x14ac:dyDescent="0.45">
      <c r="A10" s="54">
        <v>11.100000000000364</v>
      </c>
      <c r="B10" s="54">
        <v>-202.24000000000024</v>
      </c>
      <c r="C10" s="54">
        <v>22.450000000000045</v>
      </c>
      <c r="D10" s="55">
        <v>0</v>
      </c>
      <c r="E10" s="55">
        <v>0</v>
      </c>
      <c r="F10" s="55">
        <v>0</v>
      </c>
      <c r="G10" s="55">
        <f t="shared" si="0"/>
        <v>13.92601080000035</v>
      </c>
    </row>
    <row r="11" spans="1:7" x14ac:dyDescent="0.45">
      <c r="A11" s="54">
        <v>26.199999999998909</v>
      </c>
      <c r="B11" s="54">
        <v>48.430000000000291</v>
      </c>
      <c r="C11" s="54">
        <v>7.7400000000000091</v>
      </c>
      <c r="D11" s="55">
        <v>0</v>
      </c>
      <c r="E11" s="55">
        <v>0</v>
      </c>
      <c r="F11" s="55">
        <v>0</v>
      </c>
      <c r="G11" s="55">
        <f t="shared" si="0"/>
        <v>-25.725369600000157</v>
      </c>
    </row>
    <row r="12" spans="1:7" x14ac:dyDescent="0.45">
      <c r="A12" s="54">
        <v>104</v>
      </c>
      <c r="B12" s="54">
        <v>-253.32000000000016</v>
      </c>
      <c r="C12" s="54">
        <v>60.849999999999909</v>
      </c>
      <c r="D12" s="55">
        <v>0</v>
      </c>
      <c r="E12" s="55">
        <v>0</v>
      </c>
      <c r="F12" s="55">
        <v>0</v>
      </c>
      <c r="G12" s="55">
        <f t="shared" si="0"/>
        <v>60.411109400000136</v>
      </c>
    </row>
    <row r="13" spans="1:7" x14ac:dyDescent="0.45">
      <c r="A13" s="54">
        <v>72.900000000001455</v>
      </c>
      <c r="B13" s="54">
        <v>197.25</v>
      </c>
      <c r="C13" s="54">
        <v>37.829999999999927</v>
      </c>
      <c r="D13" s="55">
        <v>0</v>
      </c>
      <c r="E13" s="55">
        <v>0</v>
      </c>
      <c r="F13" s="55">
        <v>0</v>
      </c>
      <c r="G13" s="55">
        <f t="shared" si="0"/>
        <v>-3.6528370000002859</v>
      </c>
    </row>
    <row r="14" spans="1:7" x14ac:dyDescent="0.45">
      <c r="A14" s="54">
        <v>46.599999999998545</v>
      </c>
      <c r="B14" s="54">
        <v>80.389999999999873</v>
      </c>
      <c r="C14" s="54">
        <v>-7.8999999999998636</v>
      </c>
      <c r="D14" s="55">
        <v>0</v>
      </c>
      <c r="E14" s="55">
        <f>C14-0.20011*A11+0.19098*A10-0.10445*B2-15.1-15</f>
        <v>-29.635592999999574</v>
      </c>
      <c r="F14" s="55">
        <v>0</v>
      </c>
      <c r="G14" s="55">
        <f t="shared" si="0"/>
        <v>-44.619722799999565</v>
      </c>
    </row>
    <row r="15" spans="1:7" x14ac:dyDescent="0.45">
      <c r="A15" s="54">
        <v>51.200000000000728</v>
      </c>
      <c r="B15" s="54">
        <v>49.910000000000309</v>
      </c>
      <c r="C15" s="54">
        <v>-20.759999999999991</v>
      </c>
      <c r="D15" s="55">
        <v>0</v>
      </c>
      <c r="E15" s="55">
        <f t="shared" ref="E15:E78" si="1">C15-0.20011*A12+0.19098*A11-0.10445*B3-15.1-15</f>
        <v>-59.047092000000198</v>
      </c>
      <c r="F15" s="55">
        <v>0</v>
      </c>
      <c r="G15" s="55">
        <f t="shared" si="0"/>
        <v>-67.57612120000023</v>
      </c>
    </row>
    <row r="16" spans="1:7" x14ac:dyDescent="0.45">
      <c r="A16" s="54">
        <v>37.200000000000728</v>
      </c>
      <c r="B16" s="54">
        <v>111.42999999999984</v>
      </c>
      <c r="C16" s="54">
        <v>-8.5500000000001819</v>
      </c>
      <c r="D16" s="55">
        <v>0</v>
      </c>
      <c r="E16" s="55">
        <f t="shared" si="1"/>
        <v>-34.126050000000504</v>
      </c>
      <c r="F16" s="55">
        <v>0</v>
      </c>
      <c r="G16" s="55">
        <f t="shared" si="0"/>
        <v>-39.508734600000459</v>
      </c>
    </row>
    <row r="17" spans="1:7" x14ac:dyDescent="0.45">
      <c r="A17" s="54">
        <v>109.69999999999891</v>
      </c>
      <c r="B17" s="54">
        <v>-193.76999999999998</v>
      </c>
      <c r="C17" s="54">
        <v>21.900000000000091</v>
      </c>
      <c r="D17" s="55">
        <v>0</v>
      </c>
      <c r="E17" s="55">
        <f t="shared" si="1"/>
        <v>-9.5793129999993223</v>
      </c>
      <c r="F17" s="55">
        <v>0</v>
      </c>
      <c r="G17" s="55">
        <f t="shared" si="0"/>
        <v>16.182264400000655</v>
      </c>
    </row>
    <row r="18" spans="1:7" x14ac:dyDescent="0.45">
      <c r="A18" s="54">
        <v>98.399999999999636</v>
      </c>
      <c r="B18" s="54">
        <v>189.70000000000027</v>
      </c>
      <c r="C18" s="54">
        <v>103.84999999999991</v>
      </c>
      <c r="D18" s="55">
        <v>0</v>
      </c>
      <c r="E18" s="55">
        <f t="shared" si="1"/>
        <v>71.035740999999504</v>
      </c>
      <c r="F18" s="55">
        <v>0</v>
      </c>
      <c r="G18" s="55">
        <f t="shared" si="0"/>
        <v>59.624711999999455</v>
      </c>
    </row>
    <row r="19" spans="1:7" x14ac:dyDescent="0.45">
      <c r="A19" s="54">
        <v>84</v>
      </c>
      <c r="B19" s="54">
        <v>38.619999999999891</v>
      </c>
      <c r="C19" s="54">
        <v>4.4500000000000455</v>
      </c>
      <c r="D19" s="55">
        <v>0</v>
      </c>
      <c r="E19" s="55">
        <f t="shared" si="1"/>
        <v>-33.543659999999974</v>
      </c>
      <c r="F19" s="55">
        <v>0</v>
      </c>
      <c r="G19" s="55">
        <f t="shared" si="0"/>
        <v>-23.265526399999949</v>
      </c>
    </row>
    <row r="20" spans="1:7" x14ac:dyDescent="0.45">
      <c r="A20" s="54">
        <v>87.600000000000364</v>
      </c>
      <c r="B20" s="54">
        <v>-53.920000000000073</v>
      </c>
      <c r="C20" s="54">
        <v>106.29999999999995</v>
      </c>
      <c r="D20" s="55">
        <v>0</v>
      </c>
      <c r="E20" s="55">
        <f t="shared" si="1"/>
        <v>52.450115500000308</v>
      </c>
      <c r="F20" s="55">
        <v>0</v>
      </c>
      <c r="G20" s="55">
        <f t="shared" si="0"/>
        <v>69.261275400000315</v>
      </c>
    </row>
    <row r="21" spans="1:7" x14ac:dyDescent="0.45">
      <c r="A21" s="54">
        <v>72.600000000000364</v>
      </c>
      <c r="B21" s="54">
        <v>50.279999999999745</v>
      </c>
      <c r="C21" s="54">
        <v>-47.849999999999909</v>
      </c>
      <c r="D21" s="55">
        <v>0</v>
      </c>
      <c r="E21" s="55">
        <f t="shared" si="1"/>
        <v>-77.991765000000058</v>
      </c>
      <c r="F21" s="55">
        <v>0</v>
      </c>
      <c r="G21" s="55">
        <f t="shared" si="0"/>
        <v>-77.630095600000018</v>
      </c>
    </row>
    <row r="22" spans="1:7" x14ac:dyDescent="0.45">
      <c r="A22" s="54">
        <v>137.10000000000036</v>
      </c>
      <c r="B22" s="54">
        <v>60.820000000000164</v>
      </c>
      <c r="C22" s="54">
        <v>41.160000000000082</v>
      </c>
      <c r="D22" s="55">
        <v>0</v>
      </c>
      <c r="E22" s="55">
        <f t="shared" si="1"/>
        <v>34.167160000000045</v>
      </c>
      <c r="F22" s="55">
        <v>0</v>
      </c>
      <c r="G22" s="55">
        <f t="shared" si="0"/>
        <v>11.208357600000001</v>
      </c>
    </row>
    <row r="23" spans="1:7" x14ac:dyDescent="0.45">
      <c r="A23" s="54">
        <v>111.89999999999964</v>
      </c>
      <c r="B23" s="54">
        <v>103.42000000000007</v>
      </c>
      <c r="C23" s="54">
        <v>-49.259999999999991</v>
      </c>
      <c r="D23" s="55">
        <v>0</v>
      </c>
      <c r="E23" s="55">
        <f t="shared" si="1"/>
        <v>-85.905829500000081</v>
      </c>
      <c r="F23" s="55">
        <v>0</v>
      </c>
      <c r="G23" s="55">
        <f t="shared" si="0"/>
        <v>-86.299742400000056</v>
      </c>
    </row>
    <row r="24" spans="1:7" x14ac:dyDescent="0.45">
      <c r="A24" s="54">
        <v>51.5</v>
      </c>
      <c r="B24" s="54">
        <v>89.800000000000182</v>
      </c>
      <c r="C24" s="54">
        <v>53.1099999999999</v>
      </c>
      <c r="D24" s="55">
        <v>0</v>
      </c>
      <c r="E24" s="55">
        <f t="shared" si="1"/>
        <v>51.671135999999933</v>
      </c>
      <c r="F24" s="55">
        <v>0</v>
      </c>
      <c r="G24" s="55">
        <f t="shared" si="0"/>
        <v>20.916045999999888</v>
      </c>
    </row>
    <row r="25" spans="1:7" x14ac:dyDescent="0.45">
      <c r="A25" s="54">
        <v>79.600000000000364</v>
      </c>
      <c r="B25" s="54">
        <v>-5.2600000000002183</v>
      </c>
      <c r="C25" s="54">
        <v>72.799999999999955</v>
      </c>
      <c r="D25" s="55">
        <v>0</v>
      </c>
      <c r="E25" s="55">
        <f t="shared" si="1"/>
        <v>8.5273044999999499</v>
      </c>
      <c r="F25" s="55">
        <v>0</v>
      </c>
      <c r="G25" s="55">
        <f t="shared" si="0"/>
        <v>32.906746199999965</v>
      </c>
    </row>
    <row r="26" spans="1:7" x14ac:dyDescent="0.45">
      <c r="A26" s="54">
        <v>66.299999999999272</v>
      </c>
      <c r="B26" s="54">
        <v>-271.30000000000018</v>
      </c>
      <c r="C26" s="54">
        <v>-5.0699999999999363</v>
      </c>
      <c r="D26" s="55">
        <v>0</v>
      </c>
      <c r="E26" s="55">
        <f t="shared" si="1"/>
        <v>-39.775686499999779</v>
      </c>
      <c r="F26" s="55">
        <v>0</v>
      </c>
      <c r="G26" s="55">
        <f t="shared" si="0"/>
        <v>-5.0101549999997808</v>
      </c>
    </row>
    <row r="27" spans="1:7" x14ac:dyDescent="0.45">
      <c r="A27" s="54">
        <v>539.60000000000036</v>
      </c>
      <c r="B27" s="54">
        <v>-369.62999999999965</v>
      </c>
      <c r="C27" s="54">
        <v>-13.690000000000055</v>
      </c>
      <c r="D27" s="55">
        <v>0</v>
      </c>
      <c r="E27" s="55">
        <f t="shared" si="1"/>
        <v>-37.938102500000156</v>
      </c>
      <c r="F27" s="55">
        <v>0</v>
      </c>
      <c r="G27" s="55">
        <f t="shared" si="0"/>
        <v>1.9939765999998471</v>
      </c>
    </row>
    <row r="28" spans="1:7" x14ac:dyDescent="0.45">
      <c r="A28" s="54">
        <v>1032.2999999999993</v>
      </c>
      <c r="B28" s="54">
        <v>327.83999999999969</v>
      </c>
      <c r="C28" s="54">
        <v>109.03999999999996</v>
      </c>
      <c r="D28" s="55">
        <v>0</v>
      </c>
      <c r="E28" s="55">
        <f t="shared" si="1"/>
        <v>61.207850499999907</v>
      </c>
      <c r="F28" s="55">
        <v>0</v>
      </c>
      <c r="G28" s="55">
        <f t="shared" si="0"/>
        <v>48.336541199999907</v>
      </c>
    </row>
    <row r="29" spans="1:7" x14ac:dyDescent="0.45">
      <c r="A29" s="54">
        <v>867.60000000000218</v>
      </c>
      <c r="B29" s="54">
        <v>131.88000000000011</v>
      </c>
      <c r="C29" s="54">
        <v>46.210000000000036</v>
      </c>
      <c r="D29" s="55">
        <f>C29+0.20174*(A4)-0.21001*A3+0.17069*A2-0.10445*B17-55</f>
        <v>11.178820499999517</v>
      </c>
      <c r="E29" s="55">
        <f t="shared" si="1"/>
        <v>38.283991500000248</v>
      </c>
      <c r="F29" s="55">
        <f>C29+0.20174*(A4)-0.21001*A3+0.17069*A2-0.08492*(B29)-11.6-40</f>
        <v>-16.859705600000495</v>
      </c>
      <c r="G29" s="55">
        <f t="shared" si="0"/>
        <v>10.175465400000244</v>
      </c>
    </row>
    <row r="30" spans="1:7" x14ac:dyDescent="0.45">
      <c r="A30" s="54">
        <v>251.39999999999782</v>
      </c>
      <c r="B30" s="54">
        <v>55.980000000000018</v>
      </c>
      <c r="C30" s="54">
        <v>54.370000000000118</v>
      </c>
      <c r="D30" s="55">
        <f t="shared" ref="D30:D80" si="2">C30+0.20174*(A5)-0.21001*A4+0.17069*A3-0.10445*B18-55</f>
        <v>-3.0963409999994411</v>
      </c>
      <c r="E30" s="55">
        <f t="shared" si="1"/>
        <v>-90.86154700000013</v>
      </c>
      <c r="F30" s="55">
        <f t="shared" ref="F30:F80" si="3">C30+0.20174*(A5)-0.21001*A4+0.17069*A3-0.08492*(B30)-11.6-40</f>
        <v>15.364002400000594</v>
      </c>
      <c r="G30" s="55">
        <f t="shared" si="0"/>
        <v>-72.471203600000109</v>
      </c>
    </row>
    <row r="31" spans="1:7" x14ac:dyDescent="0.45">
      <c r="A31" s="54">
        <v>151.10000000000218</v>
      </c>
      <c r="B31" s="54">
        <v>170.82999999999993</v>
      </c>
      <c r="C31" s="54">
        <v>194.01999999999998</v>
      </c>
      <c r="D31" s="55">
        <f t="shared" si="2"/>
        <v>136.11853600000003</v>
      </c>
      <c r="E31" s="55">
        <f t="shared" si="1"/>
        <v>56.365396000000203</v>
      </c>
      <c r="F31" s="55">
        <f t="shared" si="3"/>
        <v>129.04551140000004</v>
      </c>
      <c r="G31" s="55">
        <f t="shared" si="0"/>
        <v>49.222371400000192</v>
      </c>
    </row>
    <row r="32" spans="1:7" x14ac:dyDescent="0.45">
      <c r="A32" s="54">
        <v>75.799999999999272</v>
      </c>
      <c r="B32" s="54">
        <v>229.19000000000005</v>
      </c>
      <c r="C32" s="54">
        <v>-4.9400000000000546</v>
      </c>
      <c r="D32" s="55">
        <f t="shared" si="2"/>
        <v>-46.527443000000346</v>
      </c>
      <c r="E32" s="55">
        <f t="shared" si="1"/>
        <v>-5.8748380000006097</v>
      </c>
      <c r="F32" s="55">
        <f t="shared" si="3"/>
        <v>-68.222201800000363</v>
      </c>
      <c r="G32" s="55">
        <f t="shared" si="0"/>
        <v>-27.639596800000625</v>
      </c>
    </row>
    <row r="33" spans="1:7" x14ac:dyDescent="0.45">
      <c r="A33" s="54">
        <v>191.29999999999927</v>
      </c>
      <c r="B33" s="54">
        <v>-137.30999999999995</v>
      </c>
      <c r="C33" s="54">
        <v>-84.309999999999945</v>
      </c>
      <c r="D33" s="55">
        <f t="shared" si="2"/>
        <v>-134.96464399999957</v>
      </c>
      <c r="E33" s="55">
        <f t="shared" si="1"/>
        <v>-4.2751519999990624</v>
      </c>
      <c r="F33" s="55">
        <f t="shared" si="3"/>
        <v>-114.65253279999962</v>
      </c>
      <c r="G33" s="55">
        <f t="shared" si="0"/>
        <v>15.966959200000902</v>
      </c>
    </row>
    <row r="34" spans="1:7" x14ac:dyDescent="0.45">
      <c r="A34" s="54">
        <v>155.09999999999854</v>
      </c>
      <c r="B34" s="54">
        <v>-93.039999999999964</v>
      </c>
      <c r="C34" s="54">
        <v>-7.4900000000000091</v>
      </c>
      <c r="D34" s="55">
        <f t="shared" si="2"/>
        <v>-68.166527000000315</v>
      </c>
      <c r="E34" s="55">
        <f t="shared" si="1"/>
        <v>-26.166898000000877</v>
      </c>
      <c r="F34" s="55">
        <f t="shared" si="3"/>
        <v>-50.512921200000299</v>
      </c>
      <c r="G34" s="55">
        <f t="shared" si="0"/>
        <v>-8.5832922000008658</v>
      </c>
    </row>
    <row r="35" spans="1:7" x14ac:dyDescent="0.45">
      <c r="A35" s="54">
        <v>239.40000000000146</v>
      </c>
      <c r="B35" s="54">
        <v>351.67000000000007</v>
      </c>
      <c r="C35" s="54">
        <v>-100.93000000000006</v>
      </c>
      <c r="D35" s="55">
        <f t="shared" si="2"/>
        <v>-160.88059399999977</v>
      </c>
      <c r="E35" s="55">
        <f t="shared" si="1"/>
        <v>-128.1434789999995</v>
      </c>
      <c r="F35" s="55">
        <f t="shared" si="3"/>
        <v>-176.54219139999978</v>
      </c>
      <c r="G35" s="55">
        <f t="shared" si="0"/>
        <v>-143.8750763999995</v>
      </c>
    </row>
    <row r="36" spans="1:7" x14ac:dyDescent="0.45">
      <c r="A36" s="54">
        <v>118.70000000000073</v>
      </c>
      <c r="B36" s="54">
        <v>134.44000000000005</v>
      </c>
      <c r="C36" s="54">
        <v>119.47000000000003</v>
      </c>
      <c r="D36" s="55">
        <f t="shared" si="2"/>
        <v>61.851253999999585</v>
      </c>
      <c r="E36" s="55">
        <f t="shared" si="1"/>
        <v>56.185631000000029</v>
      </c>
      <c r="F36" s="55">
        <f t="shared" si="3"/>
        <v>63.214219199999604</v>
      </c>
      <c r="G36" s="55">
        <f t="shared" si="0"/>
        <v>57.478596200000034</v>
      </c>
    </row>
    <row r="37" spans="1:7" x14ac:dyDescent="0.45">
      <c r="A37" s="54">
        <v>263.29999999999927</v>
      </c>
      <c r="B37" s="54">
        <v>-41.830000000000382</v>
      </c>
      <c r="C37" s="54">
        <v>-50.400000000000091</v>
      </c>
      <c r="D37" s="55">
        <f t="shared" si="2"/>
        <v>-87.477235999999778</v>
      </c>
      <c r="E37" s="55">
        <f t="shared" si="1"/>
        <v>-74.453179999999918</v>
      </c>
      <c r="F37" s="55">
        <f t="shared" si="3"/>
        <v>-81.074439399999761</v>
      </c>
      <c r="G37" s="55">
        <f t="shared" si="0"/>
        <v>-68.120383399999909</v>
      </c>
    </row>
    <row r="38" spans="1:7" x14ac:dyDescent="0.45">
      <c r="A38" s="54">
        <v>262.79999999999927</v>
      </c>
      <c r="B38" s="54">
        <v>96.910000000000309</v>
      </c>
      <c r="C38" s="54">
        <v>-112.59999999999991</v>
      </c>
      <c r="D38" s="55">
        <f t="shared" si="2"/>
        <v>-141.92483099999976</v>
      </c>
      <c r="E38" s="55">
        <f t="shared" si="1"/>
        <v>-132.64805100000046</v>
      </c>
      <c r="F38" s="55">
        <f t="shared" si="3"/>
        <v>-175.09171319999982</v>
      </c>
      <c r="G38" s="55">
        <f t="shared" si="0"/>
        <v>-165.88493320000049</v>
      </c>
    </row>
    <row r="39" spans="1:7" x14ac:dyDescent="0.45">
      <c r="A39" s="54">
        <v>231.40000000000146</v>
      </c>
      <c r="B39" s="54">
        <v>161.73999999999978</v>
      </c>
      <c r="C39" s="54">
        <v>-26.480000000000018</v>
      </c>
      <c r="D39" s="55">
        <f t="shared" si="2"/>
        <v>-31.029031500000659</v>
      </c>
      <c r="E39" s="55">
        <f t="shared" si="1"/>
        <v>3.9954085000000745</v>
      </c>
      <c r="F39" s="55">
        <f t="shared" si="3"/>
        <v>-79.971845800000608</v>
      </c>
      <c r="G39" s="55">
        <f t="shared" si="0"/>
        <v>-45.017405799999871</v>
      </c>
    </row>
    <row r="40" spans="1:7" x14ac:dyDescent="0.45">
      <c r="A40" s="54">
        <v>303.70000000000073</v>
      </c>
      <c r="B40" s="54">
        <v>208.2800000000002</v>
      </c>
      <c r="C40" s="54">
        <v>61.579999999999927</v>
      </c>
      <c r="D40" s="55">
        <f t="shared" si="2"/>
        <v>-14.676964999999342</v>
      </c>
      <c r="E40" s="55">
        <f t="shared" si="1"/>
        <v>-32.782524999999758</v>
      </c>
      <c r="F40" s="55">
        <f t="shared" si="3"/>
        <v>5.2787854000006078</v>
      </c>
      <c r="G40" s="55">
        <f t="shared" si="0"/>
        <v>-12.896774599999809</v>
      </c>
    </row>
    <row r="41" spans="1:7" x14ac:dyDescent="0.45">
      <c r="A41" s="54">
        <v>283.5</v>
      </c>
      <c r="B41" s="54">
        <v>22.9399999999996</v>
      </c>
      <c r="C41" s="54">
        <v>137.76999999999998</v>
      </c>
      <c r="D41" s="55">
        <f t="shared" si="2"/>
        <v>73.701503999999716</v>
      </c>
      <c r="E41" s="55">
        <f t="shared" si="1"/>
        <v>91.591259999999963</v>
      </c>
      <c r="F41" s="55">
        <f t="shared" si="3"/>
        <v>88.928305199999755</v>
      </c>
      <c r="G41" s="55">
        <f t="shared" si="0"/>
        <v>106.74806120000001</v>
      </c>
    </row>
    <row r="42" spans="1:7" x14ac:dyDescent="0.45">
      <c r="A42" s="54">
        <v>17.399999999997817</v>
      </c>
      <c r="B42" s="54">
        <v>93.390000000000327</v>
      </c>
      <c r="C42" s="54">
        <v>-136.55999999999995</v>
      </c>
      <c r="D42" s="55">
        <f t="shared" si="2"/>
        <v>-174.3492770000002</v>
      </c>
      <c r="E42" s="55">
        <f t="shared" si="1"/>
        <v>-168.62302100000036</v>
      </c>
      <c r="F42" s="55">
        <f t="shared" si="3"/>
        <v>-173.03284480000022</v>
      </c>
      <c r="G42" s="55">
        <f t="shared" si="0"/>
        <v>-167.37658880000038</v>
      </c>
    </row>
    <row r="43" spans="1:7" x14ac:dyDescent="0.45">
      <c r="A43" s="54">
        <v>155.5</v>
      </c>
      <c r="B43" s="54">
        <v>97.760000000000218</v>
      </c>
      <c r="C43" s="54">
        <v>43.779999999999973</v>
      </c>
      <c r="D43" s="55">
        <f t="shared" si="2"/>
        <v>-25.90040649999974</v>
      </c>
      <c r="E43" s="55">
        <f t="shared" si="1"/>
        <v>-20.743828499999886</v>
      </c>
      <c r="F43" s="55">
        <f t="shared" si="3"/>
        <v>-12.95899219999977</v>
      </c>
      <c r="G43" s="55">
        <f t="shared" si="0"/>
        <v>-7.8724141999999127</v>
      </c>
    </row>
    <row r="44" spans="1:7" x14ac:dyDescent="0.45">
      <c r="A44" s="54">
        <v>207.60000000000218</v>
      </c>
      <c r="B44" s="54">
        <v>127.42000000000007</v>
      </c>
      <c r="C44" s="54">
        <v>-0.14999999999986358</v>
      </c>
      <c r="D44" s="55">
        <f t="shared" si="2"/>
        <v>-64.083026499999974</v>
      </c>
      <c r="E44" s="55">
        <f t="shared" si="1"/>
        <v>-52.919454499999731</v>
      </c>
      <c r="F44" s="55">
        <f t="shared" si="3"/>
        <v>-47.564637399999981</v>
      </c>
      <c r="G44" s="55">
        <f t="shared" si="0"/>
        <v>-36.471065399999738</v>
      </c>
    </row>
    <row r="45" spans="1:7" x14ac:dyDescent="0.45">
      <c r="A45" s="54">
        <v>140.09999999999854</v>
      </c>
      <c r="B45" s="54">
        <v>-215.14000000000033</v>
      </c>
      <c r="C45" s="54">
        <v>-56.769999999999982</v>
      </c>
      <c r="D45" s="55">
        <f t="shared" si="2"/>
        <v>-80.600490499999964</v>
      </c>
      <c r="E45" s="55">
        <f t="shared" si="1"/>
        <v>-21.867054499999547</v>
      </c>
      <c r="F45" s="55">
        <f t="shared" si="3"/>
        <v>-73.272831199999928</v>
      </c>
      <c r="G45" s="55">
        <f t="shared" si="0"/>
        <v>-14.609395199999515</v>
      </c>
    </row>
    <row r="46" spans="1:7" x14ac:dyDescent="0.45">
      <c r="A46" s="54">
        <v>179.59999999999854</v>
      </c>
      <c r="B46" s="54">
        <v>297.84000000000015</v>
      </c>
      <c r="C46" s="54">
        <v>26.149999999999864</v>
      </c>
      <c r="D46" s="55">
        <f t="shared" si="2"/>
        <v>-8.5445640000001433</v>
      </c>
      <c r="E46" s="55">
        <f t="shared" si="1"/>
        <v>-22.026025000000558</v>
      </c>
      <c r="F46" s="55">
        <f t="shared" si="3"/>
        <v>-40.155164800000151</v>
      </c>
      <c r="G46" s="55">
        <f t="shared" si="0"/>
        <v>-53.706625800000573</v>
      </c>
    </row>
    <row r="47" spans="1:7" x14ac:dyDescent="0.45">
      <c r="A47" s="54">
        <v>174.90000000000146</v>
      </c>
      <c r="B47" s="54">
        <v>-38.380000000000109</v>
      </c>
      <c r="C47" s="54">
        <v>-9.0299999999999727</v>
      </c>
      <c r="D47" s="55">
        <f t="shared" si="2"/>
        <v>-73.397659499999918</v>
      </c>
      <c r="E47" s="55">
        <f t="shared" si="1"/>
        <v>-87.707377500000419</v>
      </c>
      <c r="F47" s="55">
        <f t="shared" si="3"/>
        <v>-30.006498399999906</v>
      </c>
      <c r="G47" s="55">
        <f t="shared" si="0"/>
        <v>-44.386216400000407</v>
      </c>
    </row>
    <row r="48" spans="1:7" x14ac:dyDescent="0.45">
      <c r="A48" s="54">
        <v>163</v>
      </c>
      <c r="B48" s="54">
        <v>199.18000000000029</v>
      </c>
      <c r="C48" s="54">
        <v>54.610000000000127</v>
      </c>
      <c r="D48" s="55">
        <f t="shared" si="2"/>
        <v>-8.2578289999999512</v>
      </c>
      <c r="E48" s="55">
        <f t="shared" si="1"/>
        <v>22.079779000000833</v>
      </c>
      <c r="F48" s="55">
        <f t="shared" si="3"/>
        <v>-7.7299365999999736</v>
      </c>
      <c r="G48" s="55">
        <f t="shared" si="0"/>
        <v>22.537671400000811</v>
      </c>
    </row>
    <row r="49" spans="1:7" x14ac:dyDescent="0.45">
      <c r="A49" s="54">
        <v>151.59999999999854</v>
      </c>
      <c r="B49" s="54">
        <v>-250.63000000000011</v>
      </c>
      <c r="C49" s="54">
        <v>-31.920000000000073</v>
      </c>
      <c r="D49" s="55">
        <f t="shared" si="2"/>
        <v>-72.259766499999898</v>
      </c>
      <c r="E49" s="55">
        <f t="shared" si="1"/>
        <v>-66.834314500000005</v>
      </c>
      <c r="F49" s="55">
        <f t="shared" si="3"/>
        <v>-51.945410399999922</v>
      </c>
      <c r="G49" s="55">
        <f t="shared" si="0"/>
        <v>-46.589958400000043</v>
      </c>
    </row>
    <row r="50" spans="1:7" x14ac:dyDescent="0.45">
      <c r="A50" s="54">
        <v>75.100000000002183</v>
      </c>
      <c r="B50" s="54">
        <v>-141.61000000000058</v>
      </c>
      <c r="C50" s="54">
        <v>111.43000000000006</v>
      </c>
      <c r="D50" s="55">
        <f t="shared" si="2"/>
        <v>70.650950500000022</v>
      </c>
      <c r="E50" s="55">
        <f t="shared" si="1"/>
        <v>70.508519499999451</v>
      </c>
      <c r="F50" s="55">
        <f t="shared" si="3"/>
        <v>96.198721200000108</v>
      </c>
      <c r="G50" s="55">
        <f t="shared" si="0"/>
        <v>95.98629019999953</v>
      </c>
    </row>
    <row r="51" spans="1:7" x14ac:dyDescent="0.45">
      <c r="A51" s="54">
        <v>62</v>
      </c>
      <c r="B51" s="54">
        <v>156.47000000000025</v>
      </c>
      <c r="C51" s="54">
        <v>29.329999999999927</v>
      </c>
      <c r="D51" s="55">
        <f t="shared" si="2"/>
        <v>-37.114642000000273</v>
      </c>
      <c r="E51" s="55">
        <f t="shared" si="1"/>
        <v>-16.879270999999768</v>
      </c>
      <c r="F51" s="55">
        <f t="shared" si="3"/>
        <v>-30.108331400000317</v>
      </c>
      <c r="G51" s="55">
        <f t="shared" si="0"/>
        <v>-9.9429603999998157</v>
      </c>
    </row>
    <row r="52" spans="1:7" x14ac:dyDescent="0.45">
      <c r="A52" s="54">
        <v>-17.799999999999272</v>
      </c>
      <c r="B52" s="54">
        <v>-398.47999999999956</v>
      </c>
      <c r="C52" s="54">
        <v>-40.829999999999927</v>
      </c>
      <c r="D52" s="55">
        <f t="shared" si="2"/>
        <v>-9.0626809999996496</v>
      </c>
      <c r="E52" s="55">
        <f t="shared" si="1"/>
        <v>-91.891781999999665</v>
      </c>
      <c r="F52" s="55">
        <f t="shared" si="3"/>
        <v>49.931086600000341</v>
      </c>
      <c r="G52" s="55">
        <f t="shared" si="0"/>
        <v>-32.968014399999682</v>
      </c>
    </row>
    <row r="53" spans="1:7" x14ac:dyDescent="0.45">
      <c r="A53" s="54">
        <v>-49.5</v>
      </c>
      <c r="B53" s="54">
        <v>0.21999999999934516</v>
      </c>
      <c r="C53" s="54">
        <v>-59.310000000000173</v>
      </c>
      <c r="D53" s="55">
        <f t="shared" si="2"/>
        <v>-10.454530000000474</v>
      </c>
      <c r="E53" s="55">
        <f t="shared" si="1"/>
        <v>-77.881776000000855</v>
      </c>
      <c r="F53" s="55">
        <f t="shared" si="3"/>
        <v>-4.6771294000004602</v>
      </c>
      <c r="G53" s="55">
        <f t="shared" si="0"/>
        <v>-72.174375400000841</v>
      </c>
    </row>
    <row r="54" spans="1:7" x14ac:dyDescent="0.45">
      <c r="A54" s="54">
        <v>-68.400000000001455</v>
      </c>
      <c r="B54" s="54">
        <v>-346.76999999999953</v>
      </c>
      <c r="C54" s="54">
        <v>-30.199999999999818</v>
      </c>
      <c r="D54" s="55">
        <f t="shared" si="2"/>
        <v>-44.613960499999195</v>
      </c>
      <c r="E54" s="55">
        <f t="shared" si="1"/>
        <v>-68.118807499999434</v>
      </c>
      <c r="F54" s="55">
        <f t="shared" si="3"/>
        <v>-2.0116665999992094</v>
      </c>
      <c r="G54" s="55">
        <f t="shared" si="0"/>
        <v>-25.586513599999439</v>
      </c>
    </row>
    <row r="55" spans="1:7" x14ac:dyDescent="0.45">
      <c r="A55" s="54">
        <v>1.4000000000014552</v>
      </c>
      <c r="B55" s="54">
        <v>344.90999999999985</v>
      </c>
      <c r="C55" s="54">
        <v>-41.670000000000073</v>
      </c>
      <c r="D55" s="55">
        <f t="shared" si="2"/>
        <v>-62.164985000001117</v>
      </c>
      <c r="E55" s="55">
        <f t="shared" si="1"/>
        <v>-66.578314000000233</v>
      </c>
      <c r="F55" s="55">
        <f t="shared" si="3"/>
        <v>-77.843710200001084</v>
      </c>
      <c r="G55" s="55">
        <f t="shared" si="0"/>
        <v>-82.3270392000002</v>
      </c>
    </row>
    <row r="56" spans="1:7" x14ac:dyDescent="0.45">
      <c r="A56" s="54">
        <v>-14.5</v>
      </c>
      <c r="B56" s="54">
        <v>-175.28999999999996</v>
      </c>
      <c r="C56" s="54">
        <v>-54.519999999999982</v>
      </c>
      <c r="D56" s="55">
        <f t="shared" si="2"/>
        <v>2.9480250000012802</v>
      </c>
      <c r="E56" s="55">
        <f t="shared" si="1"/>
        <v>-91.423017999999843</v>
      </c>
      <c r="F56" s="55">
        <f t="shared" si="3"/>
        <v>34.542670800001289</v>
      </c>
      <c r="G56" s="55">
        <f t="shared" si="0"/>
        <v>-59.898372199999848</v>
      </c>
    </row>
    <row r="57" spans="1:7" x14ac:dyDescent="0.45">
      <c r="A57" s="54">
        <v>-101.70000000000073</v>
      </c>
      <c r="B57" s="54">
        <v>-369.38000000000011</v>
      </c>
      <c r="C57" s="54">
        <v>-51.029999999999973</v>
      </c>
      <c r="D57" s="55">
        <f t="shared" si="2"/>
        <v>-57.087780000000905</v>
      </c>
      <c r="E57" s="55">
        <f t="shared" si="1"/>
        <v>-54.424612999999646</v>
      </c>
      <c r="F57" s="55">
        <f t="shared" si="3"/>
        <v>-44.791403400000931</v>
      </c>
      <c r="G57" s="55">
        <f t="shared" si="0"/>
        <v>-42.198236399999672</v>
      </c>
    </row>
    <row r="58" spans="1:7" x14ac:dyDescent="0.45">
      <c r="A58" s="54">
        <v>-75</v>
      </c>
      <c r="B58" s="54">
        <v>286.36000000000013</v>
      </c>
      <c r="C58" s="54">
        <v>-26.550000000000182</v>
      </c>
      <c r="D58" s="55">
        <f t="shared" si="2"/>
        <v>-64.194024999999812</v>
      </c>
      <c r="E58" s="55">
        <f t="shared" si="1"/>
        <v>-101.10257400000077</v>
      </c>
      <c r="F58" s="55">
        <f t="shared" si="3"/>
        <v>-54.002328199999809</v>
      </c>
      <c r="G58" s="55">
        <f t="shared" si="0"/>
        <v>-90.980877200000762</v>
      </c>
    </row>
    <row r="59" spans="1:7" x14ac:dyDescent="0.45">
      <c r="A59" s="54">
        <v>-55</v>
      </c>
      <c r="B59" s="54">
        <v>208.13000000000011</v>
      </c>
      <c r="C59" s="54">
        <v>135.33000000000015</v>
      </c>
      <c r="D59" s="55">
        <f t="shared" si="2"/>
        <v>88.392053999999888</v>
      </c>
      <c r="E59" s="55">
        <f t="shared" si="1"/>
        <v>112.40775800000043</v>
      </c>
      <c r="F59" s="55">
        <f t="shared" si="3"/>
        <v>70.108863399999876</v>
      </c>
      <c r="G59" s="55">
        <f t="shared" si="0"/>
        <v>94.054567400000408</v>
      </c>
    </row>
    <row r="60" spans="1:7" x14ac:dyDescent="0.45">
      <c r="A60" s="54">
        <v>-115.79999999999927</v>
      </c>
      <c r="B60" s="54">
        <v>-240.61000000000013</v>
      </c>
      <c r="C60" s="54">
        <v>55.950000000000045</v>
      </c>
      <c r="D60" s="55">
        <f t="shared" si="2"/>
        <v>28.522651000000508</v>
      </c>
      <c r="E60" s="55">
        <f t="shared" si="1"/>
        <v>22.62762600000017</v>
      </c>
      <c r="F60" s="55">
        <f t="shared" si="3"/>
        <v>73.159603200000547</v>
      </c>
      <c r="G60" s="55">
        <f t="shared" si="0"/>
        <v>67.194578200000208</v>
      </c>
    </row>
    <row r="61" spans="1:7" x14ac:dyDescent="0.45">
      <c r="A61" s="54">
        <v>-11</v>
      </c>
      <c r="B61" s="54">
        <v>237.09999999999991</v>
      </c>
      <c r="C61" s="54">
        <v>103.48000000000002</v>
      </c>
      <c r="D61" s="55">
        <f t="shared" si="2"/>
        <v>74.802466499999639</v>
      </c>
      <c r="E61" s="55">
        <f t="shared" si="1"/>
        <v>95.143887499999906</v>
      </c>
      <c r="F61" s="55">
        <f t="shared" si="3"/>
        <v>31.889630999999625</v>
      </c>
      <c r="G61" s="55">
        <f t="shared" si="0"/>
        <v>52.161051999999891</v>
      </c>
    </row>
    <row r="62" spans="1:7" x14ac:dyDescent="0.45">
      <c r="A62" s="54">
        <v>-36.200000000000728</v>
      </c>
      <c r="B62" s="54">
        <v>-106.44999999999982</v>
      </c>
      <c r="C62" s="54">
        <v>-100.73000000000002</v>
      </c>
      <c r="D62" s="55">
        <f t="shared" si="2"/>
        <v>-71.885694500000014</v>
      </c>
      <c r="E62" s="55">
        <f t="shared" si="1"/>
        <v>-119.35628549999994</v>
      </c>
      <c r="F62" s="55">
        <f t="shared" si="3"/>
        <v>-74.237125000000091</v>
      </c>
      <c r="G62" s="55">
        <f t="shared" si="0"/>
        <v>-121.77771600000003</v>
      </c>
    </row>
    <row r="63" spans="1:7" x14ac:dyDescent="0.45">
      <c r="A63" s="54">
        <v>-296.29999999999927</v>
      </c>
      <c r="B63" s="54">
        <v>139.16000000000031</v>
      </c>
      <c r="C63" s="54">
        <v>140.75</v>
      </c>
      <c r="D63" s="55">
        <f t="shared" si="2"/>
        <v>87.389250500000117</v>
      </c>
      <c r="E63" s="55">
        <f t="shared" si="1"/>
        <v>106.97554649999987</v>
      </c>
      <c r="F63" s="55">
        <f t="shared" si="3"/>
        <v>95.315074800000104</v>
      </c>
      <c r="G63" s="55">
        <f t="shared" si="0"/>
        <v>114.83137079999985</v>
      </c>
    </row>
    <row r="64" spans="1:7" x14ac:dyDescent="0.45">
      <c r="A64" s="54">
        <v>-186</v>
      </c>
      <c r="B64" s="54">
        <v>60.169999999999163</v>
      </c>
      <c r="C64" s="54">
        <v>21.75</v>
      </c>
      <c r="D64" s="55">
        <f t="shared" si="2"/>
        <v>44.805921000000268</v>
      </c>
      <c r="E64" s="55">
        <f t="shared" si="1"/>
        <v>13.356962000000088</v>
      </c>
      <c r="F64" s="55">
        <f t="shared" si="3"/>
        <v>1.4750486000003846</v>
      </c>
      <c r="G64" s="55">
        <f t="shared" si="0"/>
        <v>-30.043910399999795</v>
      </c>
    </row>
    <row r="65" spans="1:7" x14ac:dyDescent="0.45">
      <c r="A65" s="54">
        <v>68.19999999999709</v>
      </c>
      <c r="B65" s="54">
        <v>10.350000000000364</v>
      </c>
      <c r="C65" s="54">
        <v>-27.350000000000136</v>
      </c>
      <c r="D65" s="55">
        <f t="shared" si="2"/>
        <v>-24.843523000000349</v>
      </c>
      <c r="E65" s="55">
        <f t="shared" si="1"/>
        <v>-52.329776999999922</v>
      </c>
      <c r="F65" s="55">
        <f t="shared" si="3"/>
        <v>-22.29946600000045</v>
      </c>
      <c r="G65" s="55">
        <f t="shared" si="0"/>
        <v>-49.855720000000026</v>
      </c>
    </row>
    <row r="66" spans="1:7" x14ac:dyDescent="0.45">
      <c r="A66" s="54">
        <v>-30.19999999999709</v>
      </c>
      <c r="B66" s="54">
        <v>270.55000000000018</v>
      </c>
      <c r="C66" s="54">
        <v>-42.730000000000018</v>
      </c>
      <c r="D66" s="55">
        <f t="shared" si="2"/>
        <v>-28.598954499999977</v>
      </c>
      <c r="E66" s="55">
        <f t="shared" si="1"/>
        <v>15.769243499999646</v>
      </c>
      <c r="F66" s="55">
        <f t="shared" si="3"/>
        <v>-84.394186999999931</v>
      </c>
      <c r="G66" s="55">
        <f t="shared" si="0"/>
        <v>-40.095989000000316</v>
      </c>
    </row>
    <row r="67" spans="1:7" x14ac:dyDescent="0.45">
      <c r="A67" s="54">
        <v>-8</v>
      </c>
      <c r="B67" s="54">
        <v>138.57999999999993</v>
      </c>
      <c r="C67" s="54">
        <v>44.620000000000118</v>
      </c>
      <c r="D67" s="55">
        <f t="shared" si="2"/>
        <v>-50.594855500000186</v>
      </c>
      <c r="E67" s="55">
        <f t="shared" si="1"/>
        <v>-40.872763499999728</v>
      </c>
      <c r="F67" s="55">
        <f t="shared" si="3"/>
        <v>-22.937219600000198</v>
      </c>
      <c r="G67" s="55">
        <f t="shared" si="0"/>
        <v>-13.285127599999734</v>
      </c>
    </row>
    <row r="68" spans="1:7" x14ac:dyDescent="0.45">
      <c r="A68" s="54">
        <v>-13.900000000001455</v>
      </c>
      <c r="B68" s="54">
        <v>-81.300000000000182</v>
      </c>
      <c r="C68" s="54">
        <v>-24.450000000000045</v>
      </c>
      <c r="D68" s="55">
        <f t="shared" si="2"/>
        <v>14.966051500000418</v>
      </c>
      <c r="E68" s="55">
        <f t="shared" si="1"/>
        <v>-85.410741499999475</v>
      </c>
      <c r="F68" s="55">
        <f t="shared" si="3"/>
        <v>6.9610070000004285</v>
      </c>
      <c r="G68" s="55">
        <f t="shared" si="0"/>
        <v>-93.48578599999945</v>
      </c>
    </row>
    <row r="69" spans="1:7" x14ac:dyDescent="0.45">
      <c r="A69" s="54">
        <v>-29.700000000000728</v>
      </c>
      <c r="B69" s="54">
        <v>-219.60999999999967</v>
      </c>
      <c r="C69" s="54">
        <v>-91.430000000000064</v>
      </c>
      <c r="D69" s="55">
        <f t="shared" si="2"/>
        <v>-95.653583999999967</v>
      </c>
      <c r="E69" s="55">
        <f t="shared" si="1"/>
        <v>-63.88010100000119</v>
      </c>
      <c r="F69" s="55">
        <f t="shared" si="3"/>
        <v>-112.18604380000001</v>
      </c>
      <c r="G69" s="55">
        <f t="shared" si="0"/>
        <v>-80.482560800001224</v>
      </c>
    </row>
    <row r="70" spans="1:7" x14ac:dyDescent="0.45">
      <c r="A70" s="54">
        <v>-14.899999999997817</v>
      </c>
      <c r="B70" s="54">
        <v>-94.25</v>
      </c>
      <c r="C70" s="54">
        <v>134.3900000000001</v>
      </c>
      <c r="D70" s="55">
        <f t="shared" si="2"/>
        <v>60.687690999999333</v>
      </c>
      <c r="E70" s="55">
        <f t="shared" si="1"/>
        <v>70.212982000000622</v>
      </c>
      <c r="F70" s="55">
        <f t="shared" si="3"/>
        <v>102.00170299999937</v>
      </c>
      <c r="G70" s="55">
        <f t="shared" si="0"/>
        <v>111.45699400000065</v>
      </c>
    </row>
    <row r="71" spans="1:7" x14ac:dyDescent="0.45">
      <c r="A71" s="54">
        <v>13.5</v>
      </c>
      <c r="B71" s="54">
        <v>374</v>
      </c>
      <c r="C71" s="54">
        <v>53.049999999999955</v>
      </c>
      <c r="D71" s="55">
        <f t="shared" si="2"/>
        <v>18.556168500000325</v>
      </c>
      <c r="E71" s="55">
        <f t="shared" si="1"/>
        <v>2.4645105000002374</v>
      </c>
      <c r="F71" s="55">
        <f t="shared" si="3"/>
        <v>11.93526700000033</v>
      </c>
      <c r="G71" s="55">
        <f t="shared" ref="G71:G80" si="4">C71-0.20011*A68+0.19098*A67-0.08492*B71-15.17-11.6</f>
        <v>-4.2263909999997509</v>
      </c>
    </row>
    <row r="72" spans="1:7" x14ac:dyDescent="0.45">
      <c r="A72" s="54">
        <v>31.399999999997817</v>
      </c>
      <c r="B72" s="54">
        <v>202.02999999999975</v>
      </c>
      <c r="C72" s="54">
        <v>26.840000000000146</v>
      </c>
      <c r="D72" s="55">
        <f t="shared" si="2"/>
        <v>18.451913500000515</v>
      </c>
      <c r="E72" s="55">
        <f t="shared" si="1"/>
        <v>25.160359500000034</v>
      </c>
      <c r="F72" s="55">
        <f t="shared" si="3"/>
        <v>-20.436188599999475</v>
      </c>
      <c r="G72" s="55">
        <f t="shared" si="4"/>
        <v>-13.79774259999996</v>
      </c>
    </row>
    <row r="73" spans="1:7" x14ac:dyDescent="0.45">
      <c r="A73" s="54">
        <v>65.900000000001455</v>
      </c>
      <c r="B73" s="54">
        <v>75.819999999999709</v>
      </c>
      <c r="C73" s="54">
        <v>-25.400000000000091</v>
      </c>
      <c r="D73" s="55">
        <f t="shared" si="2"/>
        <v>-78.35630000000063</v>
      </c>
      <c r="E73" s="55">
        <f t="shared" si="1"/>
        <v>-82.955562000000654</v>
      </c>
      <c r="F73" s="55">
        <f t="shared" si="3"/>
        <v>-56.62983940000062</v>
      </c>
      <c r="G73" s="55">
        <f t="shared" si="4"/>
        <v>-61.299101400000644</v>
      </c>
    </row>
    <row r="74" spans="1:7" x14ac:dyDescent="0.45">
      <c r="A74" s="54">
        <v>83.200000000000728</v>
      </c>
      <c r="B74" s="54">
        <v>250.6200000000008</v>
      </c>
      <c r="C74" s="54">
        <v>6.0499999999999545</v>
      </c>
      <c r="D74" s="55">
        <f t="shared" si="2"/>
        <v>-11.625462500000104</v>
      </c>
      <c r="E74" s="55">
        <f t="shared" si="1"/>
        <v>-18.478384499999649</v>
      </c>
      <c r="F74" s="55">
        <f t="shared" si="3"/>
        <v>-40.626815400000154</v>
      </c>
      <c r="G74" s="55">
        <f t="shared" si="4"/>
        <v>-47.549737399999692</v>
      </c>
    </row>
    <row r="75" spans="1:7" x14ac:dyDescent="0.45">
      <c r="A75" s="54">
        <v>46.299999999999272</v>
      </c>
      <c r="B75" s="54">
        <v>158.07999999999993</v>
      </c>
      <c r="C75" s="54">
        <v>189.1400000000001</v>
      </c>
      <c r="D75" s="55">
        <f t="shared" si="2"/>
        <v>130.74036600000079</v>
      </c>
      <c r="E75" s="55">
        <f t="shared" si="1"/>
        <v>140.7995140000005</v>
      </c>
      <c r="F75" s="55">
        <f t="shared" si="3"/>
        <v>135.25147440000086</v>
      </c>
      <c r="G75" s="55">
        <f t="shared" si="4"/>
        <v>145.24062240000057</v>
      </c>
    </row>
    <row r="76" spans="1:7" x14ac:dyDescent="0.45">
      <c r="A76" s="54">
        <v>-14.400000000001455</v>
      </c>
      <c r="B76" s="54">
        <v>-218.66000000000076</v>
      </c>
      <c r="C76" s="54">
        <v>53.190000000000055</v>
      </c>
      <c r="D76" s="55">
        <f t="shared" si="2"/>
        <v>14.517976499999435</v>
      </c>
      <c r="E76" s="55">
        <f t="shared" si="1"/>
        <v>9.6147664999994262</v>
      </c>
      <c r="F76" s="55">
        <f t="shared" si="3"/>
        <v>42.771340199999415</v>
      </c>
      <c r="G76" s="55">
        <f t="shared" si="4"/>
        <v>37.798130199999399</v>
      </c>
    </row>
    <row r="77" spans="1:7" x14ac:dyDescent="0.45">
      <c r="A77" s="54">
        <v>61.100000000002183</v>
      </c>
      <c r="B77" s="54">
        <v>241.82000000000062</v>
      </c>
      <c r="C77" s="54">
        <v>41.399999999999636</v>
      </c>
      <c r="D77" s="55">
        <f t="shared" si="2"/>
        <v>-18.473830499999877</v>
      </c>
      <c r="E77" s="55">
        <f t="shared" si="1"/>
        <v>6.1553724999997286</v>
      </c>
      <c r="F77" s="55">
        <f t="shared" si="3"/>
        <v>-34.528127399999896</v>
      </c>
      <c r="G77" s="55">
        <f t="shared" si="4"/>
        <v>-9.9689244000002866</v>
      </c>
    </row>
    <row r="78" spans="1:7" x14ac:dyDescent="0.45">
      <c r="A78" s="54">
        <v>47.799999999999272</v>
      </c>
      <c r="B78" s="54">
        <v>182.96999999999935</v>
      </c>
      <c r="C78" s="54">
        <v>-1.2599999999997635</v>
      </c>
      <c r="D78" s="55">
        <f t="shared" si="2"/>
        <v>-80.184119499999937</v>
      </c>
      <c r="E78" s="55">
        <f t="shared" si="1"/>
        <v>-52.994504499999501</v>
      </c>
      <c r="F78" s="55">
        <f t="shared" si="3"/>
        <v>-64.062984399999863</v>
      </c>
      <c r="G78" s="55">
        <f t="shared" si="4"/>
        <v>-36.943369399999419</v>
      </c>
    </row>
    <row r="79" spans="1:7" x14ac:dyDescent="0.45">
      <c r="A79" s="54">
        <v>26.700000000000728</v>
      </c>
      <c r="B79" s="54">
        <v>61.820000000000618</v>
      </c>
      <c r="C79" s="54">
        <v>122.38999999999987</v>
      </c>
      <c r="D79" s="55">
        <f t="shared" si="2"/>
        <v>46.473515999999705</v>
      </c>
      <c r="E79" s="55">
        <f t="shared" ref="E79:E80" si="5">C79-0.20011*A76+0.19098*A75-0.10445*B67-15.1-15</f>
        <v>89.539277000000041</v>
      </c>
      <c r="F79" s="55">
        <f t="shared" si="3"/>
        <v>59.098442599999643</v>
      </c>
      <c r="G79" s="55">
        <f t="shared" si="4"/>
        <v>102.09420359999997</v>
      </c>
    </row>
    <row r="80" spans="1:7" x14ac:dyDescent="0.45">
      <c r="A80" s="54">
        <v>91.399999999997817</v>
      </c>
      <c r="B80" s="54">
        <v>126.09999999999945</v>
      </c>
      <c r="C80" s="54">
        <v>54.930000000000291</v>
      </c>
      <c r="D80" s="55">
        <f t="shared" si="2"/>
        <v>14.619750000000906</v>
      </c>
      <c r="E80" s="55">
        <f t="shared" si="5"/>
        <v>18.344951999999594</v>
      </c>
      <c r="F80" s="55">
        <f t="shared" si="3"/>
        <v>-1.1804469999990701</v>
      </c>
      <c r="G80" s="55">
        <f t="shared" si="4"/>
        <v>2.4747549999996217</v>
      </c>
    </row>
    <row r="81" spans="4:7" x14ac:dyDescent="0.45">
      <c r="D81" s="92">
        <f>AVERAGE(D2:D80)</f>
        <v>-11.919882196202522</v>
      </c>
      <c r="E81" s="92">
        <f t="shared" ref="E81:G81" si="6">AVERAGE(E2:E80)</f>
        <v>-13.688684322784809</v>
      </c>
      <c r="F81" s="92">
        <f t="shared" si="6"/>
        <v>-10.557925599999994</v>
      </c>
      <c r="G81" s="92">
        <f t="shared" si="6"/>
        <v>-14.170076400000003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867A-7D7F-46AB-AE16-BC7619807748}">
  <dimension ref="A1:I91"/>
  <sheetViews>
    <sheetView topLeftCell="C1" workbookViewId="0">
      <selection activeCell="I87" sqref="I87"/>
    </sheetView>
  </sheetViews>
  <sheetFormatPr defaultRowHeight="14.25" x14ac:dyDescent="0.45"/>
  <cols>
    <col min="1" max="1" width="6" customWidth="1"/>
    <col min="2" max="4" width="16" customWidth="1"/>
    <col min="5" max="6" width="14" customWidth="1"/>
    <col min="7" max="7" width="16" customWidth="1"/>
    <col min="8" max="8" width="18" customWidth="1"/>
    <col min="9" max="9" width="14" customWidth="1"/>
  </cols>
  <sheetData>
    <row r="1" spans="1:9" ht="16.899999999999999" x14ac:dyDescent="0.45">
      <c r="A1" s="147" t="s">
        <v>119</v>
      </c>
      <c r="B1" s="147"/>
      <c r="C1" s="147"/>
      <c r="D1" s="147"/>
      <c r="E1" s="147"/>
      <c r="F1" s="147"/>
      <c r="G1" s="147"/>
      <c r="H1" s="147"/>
      <c r="I1" s="147"/>
    </row>
    <row r="2" spans="1:9" x14ac:dyDescent="0.45">
      <c r="A2" s="148" t="s">
        <v>120</v>
      </c>
      <c r="B2" s="148"/>
      <c r="C2" s="148"/>
      <c r="D2" s="148"/>
      <c r="E2" s="148"/>
      <c r="F2" s="148"/>
      <c r="G2" s="148"/>
      <c r="H2" s="149">
        <f>COUNTA('[1]Data Residual'!B3:B81)</f>
        <v>79</v>
      </c>
      <c r="I2" s="149"/>
    </row>
    <row r="3" spans="1:9" x14ac:dyDescent="0.45">
      <c r="A3" s="148" t="s">
        <v>121</v>
      </c>
      <c r="B3" s="148"/>
      <c r="C3" s="148"/>
      <c r="D3" s="148"/>
      <c r="E3" s="148"/>
      <c r="F3" s="148"/>
      <c r="G3" s="148"/>
      <c r="H3" s="149">
        <f>AVERAGE('[1]Data Residual'!B3:B81)</f>
        <v>0.37184810126582035</v>
      </c>
      <c r="I3" s="149"/>
    </row>
    <row r="4" spans="1:9" x14ac:dyDescent="0.45">
      <c r="A4" s="148" t="s">
        <v>122</v>
      </c>
      <c r="B4" s="148"/>
      <c r="C4" s="148"/>
      <c r="D4" s="148"/>
      <c r="E4" s="148"/>
      <c r="F4" s="148"/>
      <c r="G4" s="148"/>
      <c r="H4" s="149">
        <f>STDEV('[1]Data Residual'!B3:B81)</f>
        <v>105.7224260772942</v>
      </c>
      <c r="I4" s="149"/>
    </row>
    <row r="5" spans="1:9" x14ac:dyDescent="0.45">
      <c r="A5" s="112" t="s">
        <v>123</v>
      </c>
      <c r="B5" s="112" t="s">
        <v>124</v>
      </c>
      <c r="C5" s="112" t="s">
        <v>125</v>
      </c>
      <c r="D5" s="112" t="s">
        <v>126</v>
      </c>
      <c r="E5" s="112" t="s">
        <v>127</v>
      </c>
      <c r="F5" s="112" t="s">
        <v>128</v>
      </c>
      <c r="G5" s="112" t="s">
        <v>129</v>
      </c>
      <c r="H5" s="112" t="s">
        <v>130</v>
      </c>
      <c r="I5" s="112" t="s">
        <v>131</v>
      </c>
    </row>
    <row r="6" spans="1:9" x14ac:dyDescent="0.45">
      <c r="A6" s="106">
        <v>1</v>
      </c>
      <c r="B6" s="107">
        <f>SMALL('[1]Data Residual'!$B$3:$B$81,1)</f>
        <v>-251.71</v>
      </c>
      <c r="C6" s="108">
        <f t="shared" ref="C6:C69" si="0">(B6-$H$3)/$H$4</f>
        <v>-2.3843744175617716</v>
      </c>
      <c r="D6" s="108">
        <f t="shared" ref="D6:D69" si="1">NORMSDIST(C6)</f>
        <v>8.5540930400439374E-3</v>
      </c>
      <c r="E6" s="108">
        <f>1/$H$2</f>
        <v>1.2658227848101266E-2</v>
      </c>
      <c r="F6" s="108">
        <f>0/$H$2</f>
        <v>0</v>
      </c>
      <c r="G6" s="108">
        <f t="shared" ref="G6:G69" si="2">ABS(E6-D6)</f>
        <v>4.1041348080573282E-3</v>
      </c>
      <c r="H6" s="108">
        <f t="shared" ref="H6:H69" si="3">ABS(F6-D6)</f>
        <v>8.5540930400439374E-3</v>
      </c>
      <c r="I6" s="108">
        <f t="shared" ref="I6:I69" si="4">MAX(G6,H6)</f>
        <v>8.5540930400439374E-3</v>
      </c>
    </row>
    <row r="7" spans="1:9" x14ac:dyDescent="0.45">
      <c r="A7" s="109">
        <v>2</v>
      </c>
      <c r="B7" s="110">
        <f>SMALL('[1]Data Residual'!$B$3:$B$81,2)</f>
        <v>-251.60499999999999</v>
      </c>
      <c r="C7" s="111">
        <f t="shared" si="0"/>
        <v>-2.3833812507957797</v>
      </c>
      <c r="D7" s="111">
        <f t="shared" si="1"/>
        <v>8.5772090046345329E-3</v>
      </c>
      <c r="E7" s="111">
        <f>2/$H$2</f>
        <v>2.5316455696202531E-2</v>
      </c>
      <c r="F7" s="111">
        <f>1/$H$2</f>
        <v>1.2658227848101266E-2</v>
      </c>
      <c r="G7" s="111">
        <f t="shared" si="2"/>
        <v>1.6739246691567997E-2</v>
      </c>
      <c r="H7" s="111">
        <f t="shared" si="3"/>
        <v>4.0810188434667327E-3</v>
      </c>
      <c r="I7" s="111">
        <f t="shared" si="4"/>
        <v>1.6739246691567997E-2</v>
      </c>
    </row>
    <row r="8" spans="1:9" x14ac:dyDescent="0.45">
      <c r="A8" s="106">
        <v>3</v>
      </c>
      <c r="B8" s="107">
        <f>SMALL('[1]Data Residual'!$B$3:$B$81,3)</f>
        <v>-143.173</v>
      </c>
      <c r="C8" s="108">
        <f t="shared" si="0"/>
        <v>-1.3577521196526408</v>
      </c>
      <c r="D8" s="108">
        <f t="shared" si="1"/>
        <v>8.7271176261098649E-2</v>
      </c>
      <c r="E8" s="108">
        <f>3/$H$2</f>
        <v>3.7974683544303799E-2</v>
      </c>
      <c r="F8" s="108">
        <f>2/$H$2</f>
        <v>2.5316455696202531E-2</v>
      </c>
      <c r="G8" s="108">
        <f t="shared" si="2"/>
        <v>4.929649271679485E-2</v>
      </c>
      <c r="H8" s="108">
        <f t="shared" si="3"/>
        <v>6.1954720564896121E-2</v>
      </c>
      <c r="I8" s="108">
        <f t="shared" si="4"/>
        <v>6.1954720564896121E-2</v>
      </c>
    </row>
    <row r="9" spans="1:9" x14ac:dyDescent="0.45">
      <c r="A9" s="109">
        <v>4</v>
      </c>
      <c r="B9" s="110">
        <f>SMALL('[1]Data Residual'!$B$3:$B$81,4)</f>
        <v>-116.61799999999999</v>
      </c>
      <c r="C9" s="111">
        <f t="shared" si="0"/>
        <v>-1.1065755151677463</v>
      </c>
      <c r="D9" s="111">
        <f t="shared" si="1"/>
        <v>0.13423874909973976</v>
      </c>
      <c r="E9" s="111">
        <f>4/$H$2</f>
        <v>5.0632911392405063E-2</v>
      </c>
      <c r="F9" s="111">
        <f>3/$H$2</f>
        <v>3.7974683544303799E-2</v>
      </c>
      <c r="G9" s="111">
        <f t="shared" si="2"/>
        <v>8.3605837707334707E-2</v>
      </c>
      <c r="H9" s="111">
        <f t="shared" si="3"/>
        <v>9.6264065555435957E-2</v>
      </c>
      <c r="I9" s="111">
        <f t="shared" si="4"/>
        <v>9.6264065555435957E-2</v>
      </c>
    </row>
    <row r="10" spans="1:9" x14ac:dyDescent="0.45">
      <c r="A10" s="106">
        <v>5</v>
      </c>
      <c r="B10" s="107">
        <f>SMALL('[1]Data Residual'!$B$3:$B$81,5)</f>
        <v>-114.625</v>
      </c>
      <c r="C10" s="108">
        <f t="shared" si="0"/>
        <v>-1.0877242640761104</v>
      </c>
      <c r="D10" s="108">
        <f t="shared" si="1"/>
        <v>0.13835842636171555</v>
      </c>
      <c r="E10" s="108">
        <f>5/$H$2</f>
        <v>6.3291139240506333E-2</v>
      </c>
      <c r="F10" s="108">
        <f>4/$H$2</f>
        <v>5.0632911392405063E-2</v>
      </c>
      <c r="G10" s="108">
        <f t="shared" si="2"/>
        <v>7.506728712120922E-2</v>
      </c>
      <c r="H10" s="108">
        <f t="shared" si="3"/>
        <v>8.7725514969310497E-2</v>
      </c>
      <c r="I10" s="108">
        <f t="shared" si="4"/>
        <v>8.7725514969310497E-2</v>
      </c>
    </row>
    <row r="11" spans="1:9" x14ac:dyDescent="0.45">
      <c r="A11" s="109">
        <v>6</v>
      </c>
      <c r="B11" s="110">
        <f>SMALL('[1]Data Residual'!$B$3:$B$81,6)</f>
        <v>-106.86199999999999</v>
      </c>
      <c r="C11" s="111">
        <f t="shared" si="0"/>
        <v>-1.0142961345104453</v>
      </c>
      <c r="D11" s="111">
        <f t="shared" si="1"/>
        <v>0.15522073398952888</v>
      </c>
      <c r="E11" s="111">
        <f>6/$H$2</f>
        <v>7.5949367088607597E-2</v>
      </c>
      <c r="F11" s="111">
        <f>5/$H$2</f>
        <v>6.3291139240506333E-2</v>
      </c>
      <c r="G11" s="111">
        <f t="shared" si="2"/>
        <v>7.9271366900921278E-2</v>
      </c>
      <c r="H11" s="111">
        <f t="shared" si="3"/>
        <v>9.1929594749022542E-2</v>
      </c>
      <c r="I11" s="111">
        <f t="shared" si="4"/>
        <v>9.1929594749022542E-2</v>
      </c>
    </row>
    <row r="12" spans="1:9" x14ac:dyDescent="0.45">
      <c r="A12" s="106">
        <v>7</v>
      </c>
      <c r="B12" s="107">
        <f>SMALL('[1]Data Residual'!$B$3:$B$81,7)</f>
        <v>-100.02500000000001</v>
      </c>
      <c r="C12" s="108">
        <f t="shared" si="0"/>
        <v>-0.94962678994771821</v>
      </c>
      <c r="D12" s="108">
        <f t="shared" si="1"/>
        <v>0.17115096051074641</v>
      </c>
      <c r="E12" s="108">
        <f>7/$H$2</f>
        <v>8.8607594936708861E-2</v>
      </c>
      <c r="F12" s="108">
        <f>6/$H$2</f>
        <v>7.5949367088607597E-2</v>
      </c>
      <c r="G12" s="108">
        <f t="shared" si="2"/>
        <v>8.2543365574037547E-2</v>
      </c>
      <c r="H12" s="108">
        <f t="shared" si="3"/>
        <v>9.5201593422138811E-2</v>
      </c>
      <c r="I12" s="108">
        <f t="shared" si="4"/>
        <v>9.5201593422138811E-2</v>
      </c>
    </row>
    <row r="13" spans="1:9" x14ac:dyDescent="0.45">
      <c r="A13" s="109">
        <v>8</v>
      </c>
      <c r="B13" s="110">
        <f>SMALL('[1]Data Residual'!$B$3:$B$81,8)</f>
        <v>-99.721000000000004</v>
      </c>
      <c r="C13" s="111">
        <f t="shared" si="0"/>
        <v>-0.94675133569189418</v>
      </c>
      <c r="D13" s="111">
        <f t="shared" si="1"/>
        <v>0.17188275236789721</v>
      </c>
      <c r="E13" s="111">
        <f>8/$H$2</f>
        <v>0.10126582278481013</v>
      </c>
      <c r="F13" s="111">
        <f>7/$H$2</f>
        <v>8.8607594936708861E-2</v>
      </c>
      <c r="G13" s="111">
        <f t="shared" si="2"/>
        <v>7.0616929583087087E-2</v>
      </c>
      <c r="H13" s="111">
        <f t="shared" si="3"/>
        <v>8.3275157431188351E-2</v>
      </c>
      <c r="I13" s="111">
        <f t="shared" si="4"/>
        <v>8.3275157431188351E-2</v>
      </c>
    </row>
    <row r="14" spans="1:9" x14ac:dyDescent="0.45">
      <c r="A14" s="106">
        <v>9</v>
      </c>
      <c r="B14" s="107">
        <f>SMALL('[1]Data Residual'!$B$3:$B$81,9)</f>
        <v>-92.328000000000003</v>
      </c>
      <c r="C14" s="108">
        <f t="shared" si="0"/>
        <v>-0.87682293663496236</v>
      </c>
      <c r="D14" s="108">
        <f t="shared" si="1"/>
        <v>0.19029140942199288</v>
      </c>
      <c r="E14" s="108">
        <f>9/$H$2</f>
        <v>0.11392405063291139</v>
      </c>
      <c r="F14" s="108">
        <f>8/$H$2</f>
        <v>0.10126582278481013</v>
      </c>
      <c r="G14" s="108">
        <f t="shared" si="2"/>
        <v>7.6367358789081491E-2</v>
      </c>
      <c r="H14" s="108">
        <f t="shared" si="3"/>
        <v>8.9025586637182755E-2</v>
      </c>
      <c r="I14" s="108">
        <f t="shared" si="4"/>
        <v>8.9025586637182755E-2</v>
      </c>
    </row>
    <row r="15" spans="1:9" x14ac:dyDescent="0.45">
      <c r="A15" s="109">
        <v>10</v>
      </c>
      <c r="B15" s="110">
        <f>SMALL('[1]Data Residual'!$B$3:$B$81,10)</f>
        <v>-84.515000000000001</v>
      </c>
      <c r="C15" s="111">
        <f t="shared" si="0"/>
        <v>-0.80292187051406316</v>
      </c>
      <c r="D15" s="111">
        <f t="shared" si="1"/>
        <v>0.21100994708577056</v>
      </c>
      <c r="E15" s="111">
        <f>10/$H$2</f>
        <v>0.12658227848101267</v>
      </c>
      <c r="F15" s="111">
        <f>9/$H$2</f>
        <v>0.11392405063291139</v>
      </c>
      <c r="G15" s="111">
        <f t="shared" si="2"/>
        <v>8.4427668604757894E-2</v>
      </c>
      <c r="H15" s="111">
        <f t="shared" si="3"/>
        <v>9.7085896452859172E-2</v>
      </c>
      <c r="I15" s="111">
        <f t="shared" si="4"/>
        <v>9.7085896452859172E-2</v>
      </c>
    </row>
    <row r="16" spans="1:9" x14ac:dyDescent="0.45">
      <c r="A16" s="106">
        <v>11</v>
      </c>
      <c r="B16" s="107">
        <f>SMALL('[1]Data Residual'!$B$3:$B$81,11)</f>
        <v>-84.436000000000007</v>
      </c>
      <c r="C16" s="108">
        <f t="shared" si="0"/>
        <v>-0.80217463075679307</v>
      </c>
      <c r="D16" s="108">
        <f t="shared" si="1"/>
        <v>0.21122597458375245</v>
      </c>
      <c r="E16" s="108">
        <f>11/$H$2</f>
        <v>0.13924050632911392</v>
      </c>
      <c r="F16" s="108">
        <f>10/$H$2</f>
        <v>0.12658227848101267</v>
      </c>
      <c r="G16" s="108">
        <f t="shared" si="2"/>
        <v>7.1985468254638529E-2</v>
      </c>
      <c r="H16" s="108">
        <f t="shared" si="3"/>
        <v>8.4643696102739779E-2</v>
      </c>
      <c r="I16" s="108">
        <f t="shared" si="4"/>
        <v>8.4643696102739779E-2</v>
      </c>
    </row>
    <row r="17" spans="1:9" x14ac:dyDescent="0.45">
      <c r="A17" s="109">
        <v>12</v>
      </c>
      <c r="B17" s="110">
        <f>SMALL('[1]Data Residual'!$B$3:$B$81,12)</f>
        <v>-81.400999999999996</v>
      </c>
      <c r="C17" s="111">
        <f t="shared" si="0"/>
        <v>-0.77346738185407582</v>
      </c>
      <c r="D17" s="111">
        <f t="shared" si="1"/>
        <v>0.21962291277084914</v>
      </c>
      <c r="E17" s="111">
        <f>12/$H$2</f>
        <v>0.15189873417721519</v>
      </c>
      <c r="F17" s="111">
        <f>11/$H$2</f>
        <v>0.13924050632911392</v>
      </c>
      <c r="G17" s="111">
        <f t="shared" si="2"/>
        <v>6.7724178593633944E-2</v>
      </c>
      <c r="H17" s="111">
        <f t="shared" si="3"/>
        <v>8.0382406441735221E-2</v>
      </c>
      <c r="I17" s="111">
        <f t="shared" si="4"/>
        <v>8.0382406441735221E-2</v>
      </c>
    </row>
    <row r="18" spans="1:9" x14ac:dyDescent="0.45">
      <c r="A18" s="106">
        <v>13</v>
      </c>
      <c r="B18" s="107">
        <f>SMALL('[1]Data Residual'!$B$3:$B$81,13)</f>
        <v>-79.876999999999995</v>
      </c>
      <c r="C18" s="108">
        <f t="shared" si="0"/>
        <v>-0.75905227565053679</v>
      </c>
      <c r="D18" s="108">
        <f t="shared" si="1"/>
        <v>0.22391064308383357</v>
      </c>
      <c r="E18" s="108">
        <f>13/$H$2</f>
        <v>0.16455696202531644</v>
      </c>
      <c r="F18" s="108">
        <f>12/$H$2</f>
        <v>0.15189873417721519</v>
      </c>
      <c r="G18" s="108">
        <f t="shared" si="2"/>
        <v>5.9353681058517127E-2</v>
      </c>
      <c r="H18" s="108">
        <f t="shared" si="3"/>
        <v>7.2011908906618377E-2</v>
      </c>
      <c r="I18" s="108">
        <f t="shared" si="4"/>
        <v>7.2011908906618377E-2</v>
      </c>
    </row>
    <row r="19" spans="1:9" x14ac:dyDescent="0.45">
      <c r="A19" s="109">
        <v>14</v>
      </c>
      <c r="B19" s="110">
        <f>SMALL('[1]Data Residual'!$B$3:$B$81,14)</f>
        <v>-75.141000000000005</v>
      </c>
      <c r="C19" s="111">
        <f t="shared" si="0"/>
        <v>-0.71425572513875157</v>
      </c>
      <c r="D19" s="111">
        <f t="shared" si="1"/>
        <v>0.23753453223374588</v>
      </c>
      <c r="E19" s="111">
        <f>14/$H$2</f>
        <v>0.17721518987341772</v>
      </c>
      <c r="F19" s="111">
        <f>13/$H$2</f>
        <v>0.16455696202531644</v>
      </c>
      <c r="G19" s="111">
        <f t="shared" si="2"/>
        <v>6.0319342360328154E-2</v>
      </c>
      <c r="H19" s="111">
        <f t="shared" si="3"/>
        <v>7.2977570208429432E-2</v>
      </c>
      <c r="I19" s="111">
        <f t="shared" si="4"/>
        <v>7.2977570208429432E-2</v>
      </c>
    </row>
    <row r="20" spans="1:9" x14ac:dyDescent="0.45">
      <c r="A20" s="106">
        <v>15</v>
      </c>
      <c r="B20" s="107">
        <f>SMALL('[1]Data Residual'!$B$3:$B$81,15)</f>
        <v>-73.596999999999994</v>
      </c>
      <c r="C20" s="108">
        <f t="shared" si="0"/>
        <v>-0.69965144431311876</v>
      </c>
      <c r="D20" s="108">
        <f t="shared" si="1"/>
        <v>0.24207250338379693</v>
      </c>
      <c r="E20" s="108">
        <f>15/$H$2</f>
        <v>0.189873417721519</v>
      </c>
      <c r="F20" s="108">
        <f>14/$H$2</f>
        <v>0.17721518987341772</v>
      </c>
      <c r="G20" s="108">
        <f t="shared" si="2"/>
        <v>5.2199085662277933E-2</v>
      </c>
      <c r="H20" s="108">
        <f t="shared" si="3"/>
        <v>6.4857313510379211E-2</v>
      </c>
      <c r="I20" s="108">
        <f t="shared" si="4"/>
        <v>6.4857313510379211E-2</v>
      </c>
    </row>
    <row r="21" spans="1:9" x14ac:dyDescent="0.45">
      <c r="A21" s="109">
        <v>16</v>
      </c>
      <c r="B21" s="110">
        <f>SMALL('[1]Data Residual'!$B$3:$B$81,16)</f>
        <v>-65.623000000000005</v>
      </c>
      <c r="C21" s="111">
        <f t="shared" si="0"/>
        <v>-0.62422752248436542</v>
      </c>
      <c r="D21" s="111">
        <f t="shared" si="1"/>
        <v>0.26623908719701522</v>
      </c>
      <c r="E21" s="111">
        <f>16/$H$2</f>
        <v>0.20253164556962025</v>
      </c>
      <c r="F21" s="111">
        <f>15/$H$2</f>
        <v>0.189873417721519</v>
      </c>
      <c r="G21" s="111">
        <f t="shared" si="2"/>
        <v>6.3707441627394973E-2</v>
      </c>
      <c r="H21" s="111">
        <f t="shared" si="3"/>
        <v>7.6365669475496223E-2</v>
      </c>
      <c r="I21" s="111">
        <f t="shared" si="4"/>
        <v>7.6365669475496223E-2</v>
      </c>
    </row>
    <row r="22" spans="1:9" x14ac:dyDescent="0.45">
      <c r="A22" s="106">
        <v>17</v>
      </c>
      <c r="B22" s="107">
        <f>SMALL('[1]Data Residual'!$B$3:$B$81,17)</f>
        <v>-65.137</v>
      </c>
      <c r="C22" s="108">
        <f t="shared" si="0"/>
        <v>-0.61963057916748876</v>
      </c>
      <c r="D22" s="108">
        <f t="shared" si="1"/>
        <v>0.26775051480665368</v>
      </c>
      <c r="E22" s="108">
        <f>17/$H$2</f>
        <v>0.21518987341772153</v>
      </c>
      <c r="F22" s="108">
        <f>16/$H$2</f>
        <v>0.20253164556962025</v>
      </c>
      <c r="G22" s="108">
        <f t="shared" si="2"/>
        <v>5.2560641388932156E-2</v>
      </c>
      <c r="H22" s="108">
        <f t="shared" si="3"/>
        <v>6.5218869237033433E-2</v>
      </c>
      <c r="I22" s="108">
        <f t="shared" si="4"/>
        <v>6.5218869237033433E-2</v>
      </c>
    </row>
    <row r="23" spans="1:9" x14ac:dyDescent="0.45">
      <c r="A23" s="109">
        <v>18</v>
      </c>
      <c r="B23" s="110">
        <f>SMALL('[1]Data Residual'!$B$3:$B$81,18)</f>
        <v>-62.719000000000001</v>
      </c>
      <c r="C23" s="111">
        <f t="shared" si="0"/>
        <v>-0.59675936735636181</v>
      </c>
      <c r="D23" s="111">
        <f t="shared" si="1"/>
        <v>0.27533402489124292</v>
      </c>
      <c r="E23" s="111">
        <f>18/$H$2</f>
        <v>0.22784810126582278</v>
      </c>
      <c r="F23" s="111">
        <f>17/$H$2</f>
        <v>0.21518987341772153</v>
      </c>
      <c r="G23" s="111">
        <f t="shared" si="2"/>
        <v>4.7485923625420146E-2</v>
      </c>
      <c r="H23" s="111">
        <f t="shared" si="3"/>
        <v>6.0144151473521396E-2</v>
      </c>
      <c r="I23" s="111">
        <f t="shared" si="4"/>
        <v>6.0144151473521396E-2</v>
      </c>
    </row>
    <row r="24" spans="1:9" x14ac:dyDescent="0.45">
      <c r="A24" s="106">
        <v>19</v>
      </c>
      <c r="B24" s="107">
        <f>SMALL('[1]Data Residual'!$B$3:$B$81,19)</f>
        <v>-61.715000000000003</v>
      </c>
      <c r="C24" s="108">
        <f t="shared" si="0"/>
        <v>-0.58726280132725872</v>
      </c>
      <c r="D24" s="108">
        <f t="shared" si="1"/>
        <v>0.27851361002352015</v>
      </c>
      <c r="E24" s="108">
        <f>19/$H$2</f>
        <v>0.24050632911392406</v>
      </c>
      <c r="F24" s="108">
        <f>18/$H$2</f>
        <v>0.22784810126582278</v>
      </c>
      <c r="G24" s="108">
        <f t="shared" si="2"/>
        <v>3.8007280909596097E-2</v>
      </c>
      <c r="H24" s="108">
        <f t="shared" si="3"/>
        <v>5.0665508757697375E-2</v>
      </c>
      <c r="I24" s="108">
        <f t="shared" si="4"/>
        <v>5.0665508757697375E-2</v>
      </c>
    </row>
    <row r="25" spans="1:9" x14ac:dyDescent="0.45">
      <c r="A25" s="109">
        <v>20</v>
      </c>
      <c r="B25" s="110">
        <f>SMALL('[1]Data Residual'!$B$3:$B$81,20)</f>
        <v>-60.823</v>
      </c>
      <c r="C25" s="111">
        <f t="shared" si="0"/>
        <v>-0.57882561318188019</v>
      </c>
      <c r="D25" s="111">
        <f t="shared" si="1"/>
        <v>0.28135342337914282</v>
      </c>
      <c r="E25" s="111">
        <f>20/$H$2</f>
        <v>0.25316455696202533</v>
      </c>
      <c r="F25" s="111">
        <f>19/$H$2</f>
        <v>0.24050632911392406</v>
      </c>
      <c r="G25" s="111">
        <f t="shared" si="2"/>
        <v>2.8188866417117486E-2</v>
      </c>
      <c r="H25" s="111">
        <f t="shared" si="3"/>
        <v>4.0847094265218764E-2</v>
      </c>
      <c r="I25" s="111">
        <f t="shared" si="4"/>
        <v>4.0847094265218764E-2</v>
      </c>
    </row>
    <row r="26" spans="1:9" x14ac:dyDescent="0.45">
      <c r="A26" s="106">
        <v>21</v>
      </c>
      <c r="B26" s="107">
        <f>SMALL('[1]Data Residual'!$B$3:$B$81,21)</f>
        <v>-55.558999999999997</v>
      </c>
      <c r="C26" s="108">
        <f t="shared" si="0"/>
        <v>-0.52903485264682149</v>
      </c>
      <c r="D26" s="108">
        <f t="shared" si="1"/>
        <v>0.29839063636610957</v>
      </c>
      <c r="E26" s="108">
        <f>21/$H$2</f>
        <v>0.26582278481012656</v>
      </c>
      <c r="F26" s="108">
        <f>20/$H$2</f>
        <v>0.25316455696202533</v>
      </c>
      <c r="G26" s="108">
        <f t="shared" si="2"/>
        <v>3.2567851555983018E-2</v>
      </c>
      <c r="H26" s="108">
        <f t="shared" si="3"/>
        <v>4.5226079404084241E-2</v>
      </c>
      <c r="I26" s="108">
        <f t="shared" si="4"/>
        <v>4.5226079404084241E-2</v>
      </c>
    </row>
    <row r="27" spans="1:9" x14ac:dyDescent="0.45">
      <c r="A27" s="109">
        <v>22</v>
      </c>
      <c r="B27" s="110">
        <f>SMALL('[1]Data Residual'!$B$3:$B$81,22)</f>
        <v>-54.511000000000003</v>
      </c>
      <c r="C27" s="111">
        <f t="shared" si="0"/>
        <v>-0.51912210244911228</v>
      </c>
      <c r="D27" s="111">
        <f t="shared" si="1"/>
        <v>0.30183779807373479</v>
      </c>
      <c r="E27" s="111">
        <f>22/$H$2</f>
        <v>0.27848101265822783</v>
      </c>
      <c r="F27" s="111">
        <f>21/$H$2</f>
        <v>0.26582278481012656</v>
      </c>
      <c r="G27" s="111">
        <f t="shared" si="2"/>
        <v>2.3356785415506953E-2</v>
      </c>
      <c r="H27" s="111">
        <f t="shared" si="3"/>
        <v>3.6015013263608231E-2</v>
      </c>
      <c r="I27" s="111">
        <f t="shared" si="4"/>
        <v>3.6015013263608231E-2</v>
      </c>
    </row>
    <row r="28" spans="1:9" x14ac:dyDescent="0.45">
      <c r="A28" s="106">
        <v>23</v>
      </c>
      <c r="B28" s="107">
        <f>SMALL('[1]Data Residual'!$B$3:$B$81,23)</f>
        <v>-52.56</v>
      </c>
      <c r="C28" s="108">
        <f t="shared" si="0"/>
        <v>-0.50066811806387301</v>
      </c>
      <c r="D28" s="108">
        <f t="shared" si="1"/>
        <v>0.30830235682351703</v>
      </c>
      <c r="E28" s="108">
        <f>23/$H$2</f>
        <v>0.29113924050632911</v>
      </c>
      <c r="F28" s="108">
        <f>22/$H$2</f>
        <v>0.27848101265822783</v>
      </c>
      <c r="G28" s="108">
        <f t="shared" si="2"/>
        <v>1.7163116317187921E-2</v>
      </c>
      <c r="H28" s="108">
        <f t="shared" si="3"/>
        <v>2.9821344165289199E-2</v>
      </c>
      <c r="I28" s="108">
        <f t="shared" si="4"/>
        <v>2.9821344165289199E-2</v>
      </c>
    </row>
    <row r="29" spans="1:9" x14ac:dyDescent="0.45">
      <c r="A29" s="109">
        <v>24</v>
      </c>
      <c r="B29" s="110">
        <f>SMALL('[1]Data Residual'!$B$3:$B$81,24)</f>
        <v>-44.293999999999997</v>
      </c>
      <c r="C29" s="111">
        <f t="shared" si="0"/>
        <v>-0.42248224675255169</v>
      </c>
      <c r="D29" s="111">
        <f t="shared" si="1"/>
        <v>0.3363365281540649</v>
      </c>
      <c r="E29" s="111">
        <f>24/$H$2</f>
        <v>0.30379746835443039</v>
      </c>
      <c r="F29" s="111">
        <f>23/$H$2</f>
        <v>0.29113924050632911</v>
      </c>
      <c r="G29" s="111">
        <f t="shared" si="2"/>
        <v>3.2539059799634507E-2</v>
      </c>
      <c r="H29" s="111">
        <f t="shared" si="3"/>
        <v>4.5197287647735784E-2</v>
      </c>
      <c r="I29" s="111">
        <f t="shared" si="4"/>
        <v>4.5197287647735784E-2</v>
      </c>
    </row>
    <row r="30" spans="1:9" x14ac:dyDescent="0.45">
      <c r="A30" s="106">
        <v>25</v>
      </c>
      <c r="B30" s="107">
        <f>SMALL('[1]Data Residual'!$B$3:$B$81,25)</f>
        <v>-41.771999999999998</v>
      </c>
      <c r="C30" s="108">
        <f t="shared" si="0"/>
        <v>-0.39862732690653768</v>
      </c>
      <c r="D30" s="108">
        <f t="shared" si="1"/>
        <v>0.345083911550217</v>
      </c>
      <c r="E30" s="108">
        <f>25/$H$2</f>
        <v>0.31645569620253167</v>
      </c>
      <c r="F30" s="108">
        <f>24/$H$2</f>
        <v>0.30379746835443039</v>
      </c>
      <c r="G30" s="108">
        <f t="shared" si="2"/>
        <v>2.8628215347685337E-2</v>
      </c>
      <c r="H30" s="108">
        <f t="shared" si="3"/>
        <v>4.1286443195786615E-2</v>
      </c>
      <c r="I30" s="108">
        <f t="shared" si="4"/>
        <v>4.1286443195786615E-2</v>
      </c>
    </row>
    <row r="31" spans="1:9" x14ac:dyDescent="0.45">
      <c r="A31" s="109">
        <v>26</v>
      </c>
      <c r="B31" s="110">
        <f>SMALL('[1]Data Residual'!$B$3:$B$81,26)</f>
        <v>-38.801000000000002</v>
      </c>
      <c r="C31" s="111">
        <f t="shared" si="0"/>
        <v>-0.37052543679452032</v>
      </c>
      <c r="D31" s="111">
        <f t="shared" si="1"/>
        <v>0.35549551364059856</v>
      </c>
      <c r="E31" s="111">
        <f>26/$H$2</f>
        <v>0.32911392405063289</v>
      </c>
      <c r="F31" s="111">
        <f>25/$H$2</f>
        <v>0.31645569620253167</v>
      </c>
      <c r="G31" s="111">
        <f t="shared" si="2"/>
        <v>2.638158958996567E-2</v>
      </c>
      <c r="H31" s="111">
        <f t="shared" si="3"/>
        <v>3.9039817438066893E-2</v>
      </c>
      <c r="I31" s="111">
        <f t="shared" si="4"/>
        <v>3.9039817438066893E-2</v>
      </c>
    </row>
    <row r="32" spans="1:9" x14ac:dyDescent="0.45">
      <c r="A32" s="106">
        <v>27</v>
      </c>
      <c r="B32" s="107">
        <f>SMALL('[1]Data Residual'!$B$3:$B$81,27)</f>
        <v>-38.488</v>
      </c>
      <c r="C32" s="108">
        <f t="shared" si="0"/>
        <v>-0.3675648539587541</v>
      </c>
      <c r="D32" s="108">
        <f t="shared" si="1"/>
        <v>0.35659886268977881</v>
      </c>
      <c r="E32" s="108">
        <f>27/$H$2</f>
        <v>0.34177215189873417</v>
      </c>
      <c r="F32" s="108">
        <f>26/$H$2</f>
        <v>0.32911392405063289</v>
      </c>
      <c r="G32" s="108">
        <f t="shared" si="2"/>
        <v>1.4826710791044639E-2</v>
      </c>
      <c r="H32" s="108">
        <f t="shared" si="3"/>
        <v>2.7484938639145917E-2</v>
      </c>
      <c r="I32" s="108">
        <f t="shared" si="4"/>
        <v>2.7484938639145917E-2</v>
      </c>
    </row>
    <row r="33" spans="1:9" x14ac:dyDescent="0.45">
      <c r="A33" s="109">
        <v>28</v>
      </c>
      <c r="B33" s="110">
        <f>SMALL('[1]Data Residual'!$B$3:$B$81,28)</f>
        <v>-35.820999999999998</v>
      </c>
      <c r="C33" s="111">
        <f t="shared" si="0"/>
        <v>-0.34233841810256077</v>
      </c>
      <c r="D33" s="111">
        <f t="shared" si="1"/>
        <v>0.36604811338432541</v>
      </c>
      <c r="E33" s="111">
        <f>28/$H$2</f>
        <v>0.35443037974683544</v>
      </c>
      <c r="F33" s="111">
        <f>27/$H$2</f>
        <v>0.34177215189873417</v>
      </c>
      <c r="G33" s="111">
        <f t="shared" si="2"/>
        <v>1.1617733637489969E-2</v>
      </c>
      <c r="H33" s="111">
        <f t="shared" si="3"/>
        <v>2.4275961485591246E-2</v>
      </c>
      <c r="I33" s="111">
        <f t="shared" si="4"/>
        <v>2.4275961485591246E-2</v>
      </c>
    </row>
    <row r="34" spans="1:9" x14ac:dyDescent="0.45">
      <c r="A34" s="106">
        <v>29</v>
      </c>
      <c r="B34" s="107">
        <f>SMALL('[1]Data Residual'!$B$3:$B$81,29)</f>
        <v>-26.497</v>
      </c>
      <c r="C34" s="108">
        <f t="shared" si="0"/>
        <v>-0.25414520928248341</v>
      </c>
      <c r="D34" s="108">
        <f t="shared" si="1"/>
        <v>0.3996916888530041</v>
      </c>
      <c r="E34" s="108">
        <f>29/$H$2</f>
        <v>0.36708860759493672</v>
      </c>
      <c r="F34" s="108">
        <f>28/$H$2</f>
        <v>0.35443037974683544</v>
      </c>
      <c r="G34" s="108">
        <f t="shared" si="2"/>
        <v>3.2603081258067379E-2</v>
      </c>
      <c r="H34" s="108">
        <f t="shared" si="3"/>
        <v>4.5261309106168657E-2</v>
      </c>
      <c r="I34" s="108">
        <f t="shared" si="4"/>
        <v>4.5261309106168657E-2</v>
      </c>
    </row>
    <row r="35" spans="1:9" x14ac:dyDescent="0.45">
      <c r="A35" s="109">
        <v>30</v>
      </c>
      <c r="B35" s="110">
        <f>SMALL('[1]Data Residual'!$B$3:$B$81,30)</f>
        <v>-26.122</v>
      </c>
      <c r="C35" s="111">
        <f t="shared" si="0"/>
        <v>-0.25059818511822679</v>
      </c>
      <c r="D35" s="111">
        <f t="shared" si="1"/>
        <v>0.40106239251180342</v>
      </c>
      <c r="E35" s="111">
        <f>30/$H$2</f>
        <v>0.379746835443038</v>
      </c>
      <c r="F35" s="111">
        <f>29/$H$2</f>
        <v>0.36708860759493672</v>
      </c>
      <c r="G35" s="111">
        <f t="shared" si="2"/>
        <v>2.1315557068765423E-2</v>
      </c>
      <c r="H35" s="111">
        <f t="shared" si="3"/>
        <v>3.3973784916866701E-2</v>
      </c>
      <c r="I35" s="111">
        <f t="shared" si="4"/>
        <v>3.3973784916866701E-2</v>
      </c>
    </row>
    <row r="36" spans="1:9" x14ac:dyDescent="0.45">
      <c r="A36" s="106">
        <v>31</v>
      </c>
      <c r="B36" s="107">
        <f>SMALL('[1]Data Residual'!$B$3:$B$81,31)</f>
        <v>-25.170999999999999</v>
      </c>
      <c r="C36" s="108">
        <f t="shared" si="0"/>
        <v>-0.2416029318376719</v>
      </c>
      <c r="D36" s="108">
        <f t="shared" si="1"/>
        <v>0.40454392505229153</v>
      </c>
      <c r="E36" s="108">
        <f>31/$H$2</f>
        <v>0.39240506329113922</v>
      </c>
      <c r="F36" s="108">
        <f>30/$H$2</f>
        <v>0.379746835443038</v>
      </c>
      <c r="G36" s="108">
        <f t="shared" si="2"/>
        <v>1.2138861761152309E-2</v>
      </c>
      <c r="H36" s="108">
        <f t="shared" si="3"/>
        <v>2.4797089609253531E-2</v>
      </c>
      <c r="I36" s="108">
        <f t="shared" si="4"/>
        <v>2.4797089609253531E-2</v>
      </c>
    </row>
    <row r="37" spans="1:9" x14ac:dyDescent="0.45">
      <c r="A37" s="109">
        <v>32</v>
      </c>
      <c r="B37" s="110">
        <f>SMALL('[1]Data Residual'!$B$3:$B$81,32)</f>
        <v>-23.664000000000001</v>
      </c>
      <c r="C37" s="111">
        <f t="shared" si="0"/>
        <v>-0.22734862406291254</v>
      </c>
      <c r="D37" s="111">
        <f t="shared" si="1"/>
        <v>0.41007633315308384</v>
      </c>
      <c r="E37" s="111">
        <f>32/$H$2</f>
        <v>0.4050632911392405</v>
      </c>
      <c r="F37" s="111">
        <f>31/$H$2</f>
        <v>0.39240506329113922</v>
      </c>
      <c r="G37" s="111">
        <f t="shared" si="2"/>
        <v>5.0130420138433385E-3</v>
      </c>
      <c r="H37" s="111">
        <f t="shared" si="3"/>
        <v>1.7671269861944616E-2</v>
      </c>
      <c r="I37" s="111">
        <f t="shared" si="4"/>
        <v>1.7671269861944616E-2</v>
      </c>
    </row>
    <row r="38" spans="1:9" x14ac:dyDescent="0.45">
      <c r="A38" s="106">
        <v>33</v>
      </c>
      <c r="B38" s="107">
        <f>SMALL('[1]Data Residual'!$B$3:$B$81,33)</f>
        <v>-23.370999999999999</v>
      </c>
      <c r="C38" s="108">
        <f t="shared" si="0"/>
        <v>-0.22457721584923998</v>
      </c>
      <c r="D38" s="108">
        <f t="shared" si="1"/>
        <v>0.41115409563271305</v>
      </c>
      <c r="E38" s="108">
        <f>33/$H$2</f>
        <v>0.41772151898734178</v>
      </c>
      <c r="F38" s="108">
        <f>32/$H$2</f>
        <v>0.4050632911392405</v>
      </c>
      <c r="G38" s="108">
        <f t="shared" si="2"/>
        <v>6.5674233546287319E-3</v>
      </c>
      <c r="H38" s="108">
        <f t="shared" si="3"/>
        <v>6.0908044934725458E-3</v>
      </c>
      <c r="I38" s="108">
        <f t="shared" si="4"/>
        <v>6.5674233546287319E-3</v>
      </c>
    </row>
    <row r="39" spans="1:9" x14ac:dyDescent="0.45">
      <c r="A39" s="109">
        <v>34</v>
      </c>
      <c r="B39" s="110">
        <f>SMALL('[1]Data Residual'!$B$3:$B$81,34)</f>
        <v>-20.367000000000001</v>
      </c>
      <c r="C39" s="111">
        <f t="shared" si="0"/>
        <v>-0.19616318761076806</v>
      </c>
      <c r="D39" s="111">
        <f t="shared" si="1"/>
        <v>0.42224122013687121</v>
      </c>
      <c r="E39" s="111">
        <f>34/$H$2</f>
        <v>0.43037974683544306</v>
      </c>
      <c r="F39" s="111">
        <f>33/$H$2</f>
        <v>0.41772151898734178</v>
      </c>
      <c r="G39" s="111">
        <f t="shared" si="2"/>
        <v>8.1385266985718463E-3</v>
      </c>
      <c r="H39" s="111">
        <f t="shared" si="3"/>
        <v>4.5197011495294315E-3</v>
      </c>
      <c r="I39" s="111">
        <f t="shared" si="4"/>
        <v>8.1385266985718463E-3</v>
      </c>
    </row>
    <row r="40" spans="1:9" x14ac:dyDescent="0.45">
      <c r="A40" s="106">
        <v>35</v>
      </c>
      <c r="B40" s="107">
        <f>SMALL('[1]Data Residual'!$B$3:$B$81,35)</f>
        <v>-17.353999999999999</v>
      </c>
      <c r="C40" s="108">
        <f t="shared" si="0"/>
        <v>-0.16766403079235395</v>
      </c>
      <c r="D40" s="108">
        <f t="shared" si="1"/>
        <v>0.43342379740790449</v>
      </c>
      <c r="E40" s="108">
        <f>35/$H$2</f>
        <v>0.44303797468354428</v>
      </c>
      <c r="F40" s="108">
        <f>34/$H$2</f>
        <v>0.43037974683544306</v>
      </c>
      <c r="G40" s="108">
        <f t="shared" si="2"/>
        <v>9.6141772756397903E-3</v>
      </c>
      <c r="H40" s="108">
        <f t="shared" si="3"/>
        <v>3.044050572461432E-3</v>
      </c>
      <c r="I40" s="108">
        <f t="shared" si="4"/>
        <v>9.6141772756397903E-3</v>
      </c>
    </row>
    <row r="41" spans="1:9" x14ac:dyDescent="0.45">
      <c r="A41" s="109">
        <v>36</v>
      </c>
      <c r="B41" s="110">
        <f>SMALL('[1]Data Residual'!$B$3:$B$81,36)</f>
        <v>-14.648</v>
      </c>
      <c r="C41" s="111">
        <f t="shared" si="0"/>
        <v>-0.14206870442307798</v>
      </c>
      <c r="D41" s="111">
        <f t="shared" si="1"/>
        <v>0.44351286882656393</v>
      </c>
      <c r="E41" s="111">
        <f>36/$H$2</f>
        <v>0.45569620253164556</v>
      </c>
      <c r="F41" s="111">
        <f>35/$H$2</f>
        <v>0.44303797468354428</v>
      </c>
      <c r="G41" s="111">
        <f t="shared" si="2"/>
        <v>1.2183333705081623E-2</v>
      </c>
      <c r="H41" s="111">
        <f t="shared" si="3"/>
        <v>4.7489414301965516E-4</v>
      </c>
      <c r="I41" s="111">
        <f t="shared" si="4"/>
        <v>1.2183333705081623E-2</v>
      </c>
    </row>
    <row r="42" spans="1:9" x14ac:dyDescent="0.45">
      <c r="A42" s="106">
        <v>37</v>
      </c>
      <c r="B42" s="107">
        <f>SMALL('[1]Data Residual'!$B$3:$B$81,37)</f>
        <v>-13.635</v>
      </c>
      <c r="C42" s="108">
        <f t="shared" si="0"/>
        <v>-0.13248700981403266</v>
      </c>
      <c r="D42" s="108">
        <f t="shared" si="1"/>
        <v>0.44729954855916659</v>
      </c>
      <c r="E42" s="108">
        <f>37/$H$2</f>
        <v>0.46835443037974683</v>
      </c>
      <c r="F42" s="108">
        <f>36/$H$2</f>
        <v>0.45569620253164556</v>
      </c>
      <c r="G42" s="108">
        <f t="shared" si="2"/>
        <v>2.105488182058024E-2</v>
      </c>
      <c r="H42" s="108">
        <f t="shared" si="3"/>
        <v>8.3966539724789624E-3</v>
      </c>
      <c r="I42" s="108">
        <f t="shared" si="4"/>
        <v>2.105488182058024E-2</v>
      </c>
    </row>
    <row r="43" spans="1:9" x14ac:dyDescent="0.45">
      <c r="A43" s="109">
        <v>38</v>
      </c>
      <c r="B43" s="110">
        <f>SMALL('[1]Data Residual'!$B$3:$B$81,38)</f>
        <v>-13.212999999999999</v>
      </c>
      <c r="C43" s="111">
        <f t="shared" si="0"/>
        <v>-0.12849542528785585</v>
      </c>
      <c r="D43" s="111">
        <f t="shared" si="1"/>
        <v>0.44887845915312297</v>
      </c>
      <c r="E43" s="111">
        <f>38/$H$2</f>
        <v>0.48101265822784811</v>
      </c>
      <c r="F43" s="111">
        <f>37/$H$2</f>
        <v>0.46835443037974683</v>
      </c>
      <c r="G43" s="111">
        <f t="shared" si="2"/>
        <v>3.2134199074725145E-2</v>
      </c>
      <c r="H43" s="111">
        <f t="shared" si="3"/>
        <v>1.9475971226623867E-2</v>
      </c>
      <c r="I43" s="111">
        <f t="shared" si="4"/>
        <v>3.2134199074725145E-2</v>
      </c>
    </row>
    <row r="44" spans="1:9" x14ac:dyDescent="0.45">
      <c r="A44" s="106">
        <v>39</v>
      </c>
      <c r="B44" s="107">
        <f>SMALL('[1]Data Residual'!$B$3:$B$81,39)</f>
        <v>-10.276999999999999</v>
      </c>
      <c r="C44" s="108">
        <f t="shared" si="0"/>
        <v>-0.10072459076450245</v>
      </c>
      <c r="D44" s="108">
        <f t="shared" si="1"/>
        <v>0.45988454501867443</v>
      </c>
      <c r="E44" s="108">
        <f>39/$H$2</f>
        <v>0.49367088607594939</v>
      </c>
      <c r="F44" s="108">
        <f>38/$H$2</f>
        <v>0.48101265822784811</v>
      </c>
      <c r="G44" s="108">
        <f t="shared" si="2"/>
        <v>3.378634105727496E-2</v>
      </c>
      <c r="H44" s="108">
        <f t="shared" si="3"/>
        <v>2.1128113209173682E-2</v>
      </c>
      <c r="I44" s="108">
        <f t="shared" si="4"/>
        <v>3.378634105727496E-2</v>
      </c>
    </row>
    <row r="45" spans="1:9" x14ac:dyDescent="0.45">
      <c r="A45" s="109">
        <v>40</v>
      </c>
      <c r="B45" s="110">
        <f>SMALL('[1]Data Residual'!$B$3:$B$81,40)</f>
        <v>-9.4309999999999992</v>
      </c>
      <c r="C45" s="111">
        <f t="shared" si="0"/>
        <v>-9.2722504249939441E-2</v>
      </c>
      <c r="D45" s="111">
        <f t="shared" si="1"/>
        <v>0.46306200911087936</v>
      </c>
      <c r="E45" s="111">
        <f>40/$H$2</f>
        <v>0.50632911392405067</v>
      </c>
      <c r="F45" s="111">
        <f>39/$H$2</f>
        <v>0.49367088607594939</v>
      </c>
      <c r="G45" s="111">
        <f t="shared" si="2"/>
        <v>4.3267104813171309E-2</v>
      </c>
      <c r="H45" s="111">
        <f t="shared" si="3"/>
        <v>3.0608876965070031E-2</v>
      </c>
      <c r="I45" s="111">
        <f t="shared" si="4"/>
        <v>4.3267104813171309E-2</v>
      </c>
    </row>
    <row r="46" spans="1:9" x14ac:dyDescent="0.45">
      <c r="A46" s="106">
        <v>41</v>
      </c>
      <c r="B46" s="107">
        <f>SMALL('[1]Data Residual'!$B$3:$B$81,41)</f>
        <v>-8.4649999999999999</v>
      </c>
      <c r="C46" s="108">
        <f t="shared" si="0"/>
        <v>-8.358537000281431E-2</v>
      </c>
      <c r="D46" s="108">
        <f t="shared" si="1"/>
        <v>0.46669304963688324</v>
      </c>
      <c r="E46" s="108">
        <f>41/$H$2</f>
        <v>0.51898734177215189</v>
      </c>
      <c r="F46" s="108">
        <f>40/$H$2</f>
        <v>0.50632911392405067</v>
      </c>
      <c r="G46" s="108">
        <f t="shared" si="2"/>
        <v>5.229429213526865E-2</v>
      </c>
      <c r="H46" s="108">
        <f t="shared" si="3"/>
        <v>3.9636064287167427E-2</v>
      </c>
      <c r="I46" s="108">
        <f t="shared" si="4"/>
        <v>5.229429213526865E-2</v>
      </c>
    </row>
    <row r="47" spans="1:9" x14ac:dyDescent="0.45">
      <c r="A47" s="109">
        <v>42</v>
      </c>
      <c r="B47" s="110">
        <f>SMALL('[1]Data Residual'!$B$3:$B$81,42)</f>
        <v>-6.6449999999999996</v>
      </c>
      <c r="C47" s="111">
        <f t="shared" si="0"/>
        <v>-6.6370479392288698E-2</v>
      </c>
      <c r="D47" s="111">
        <f t="shared" si="1"/>
        <v>0.47354143619874289</v>
      </c>
      <c r="E47" s="111">
        <f>42/$H$2</f>
        <v>0.53164556962025311</v>
      </c>
      <c r="F47" s="111">
        <f>41/$H$2</f>
        <v>0.51898734177215189</v>
      </c>
      <c r="G47" s="111">
        <f t="shared" si="2"/>
        <v>5.8104133421510218E-2</v>
      </c>
      <c r="H47" s="111">
        <f t="shared" si="3"/>
        <v>4.5445905573408996E-2</v>
      </c>
      <c r="I47" s="111">
        <f t="shared" si="4"/>
        <v>5.8104133421510218E-2</v>
      </c>
    </row>
    <row r="48" spans="1:9" x14ac:dyDescent="0.45">
      <c r="A48" s="106">
        <v>43</v>
      </c>
      <c r="B48" s="107">
        <f>SMALL('[1]Data Residual'!$B$3:$B$81,43)</f>
        <v>-4.32</v>
      </c>
      <c r="C48" s="108">
        <f t="shared" si="0"/>
        <v>-4.4378929573897469E-2</v>
      </c>
      <c r="D48" s="108">
        <f t="shared" si="1"/>
        <v>0.48230117843149856</v>
      </c>
      <c r="E48" s="108">
        <f>43/$H$2</f>
        <v>0.54430379746835444</v>
      </c>
      <c r="F48" s="108">
        <f>42/$H$2</f>
        <v>0.53164556962025311</v>
      </c>
      <c r="G48" s="108">
        <f t="shared" si="2"/>
        <v>6.2002619036855888E-2</v>
      </c>
      <c r="H48" s="108">
        <f t="shared" si="3"/>
        <v>4.9344391188754555E-2</v>
      </c>
      <c r="I48" s="108">
        <f t="shared" si="4"/>
        <v>6.2002619036855888E-2</v>
      </c>
    </row>
    <row r="49" spans="1:9" x14ac:dyDescent="0.45">
      <c r="A49" s="109">
        <v>44</v>
      </c>
      <c r="B49" s="110">
        <f>SMALL('[1]Data Residual'!$B$3:$B$81,44)</f>
        <v>-3.383</v>
      </c>
      <c r="C49" s="111">
        <f t="shared" si="0"/>
        <v>-3.5516098528808181E-2</v>
      </c>
      <c r="D49" s="111">
        <f t="shared" si="1"/>
        <v>0.48583410485197553</v>
      </c>
      <c r="E49" s="111">
        <f>44/$H$2</f>
        <v>0.55696202531645567</v>
      </c>
      <c r="F49" s="111">
        <f>43/$H$2</f>
        <v>0.54430379746835444</v>
      </c>
      <c r="G49" s="111">
        <f t="shared" si="2"/>
        <v>7.1127920464480132E-2</v>
      </c>
      <c r="H49" s="111">
        <f t="shared" si="3"/>
        <v>5.846969261637891E-2</v>
      </c>
      <c r="I49" s="111">
        <f t="shared" si="4"/>
        <v>7.1127920464480132E-2</v>
      </c>
    </row>
    <row r="50" spans="1:9" x14ac:dyDescent="0.45">
      <c r="A50" s="106">
        <v>45</v>
      </c>
      <c r="B50" s="107">
        <f>SMALL('[1]Data Residual'!$B$3:$B$81,45)</f>
        <v>-2.9870000000000001</v>
      </c>
      <c r="C50" s="108">
        <f t="shared" si="0"/>
        <v>-3.1770441011353165E-2</v>
      </c>
      <c r="D50" s="108">
        <f t="shared" si="1"/>
        <v>0.48732755969376412</v>
      </c>
      <c r="E50" s="108">
        <f>45/$H$2</f>
        <v>0.569620253164557</v>
      </c>
      <c r="F50" s="108">
        <f>44/$H$2</f>
        <v>0.55696202531645567</v>
      </c>
      <c r="G50" s="108">
        <f t="shared" si="2"/>
        <v>8.2292693470792877E-2</v>
      </c>
      <c r="H50" s="108">
        <f t="shared" si="3"/>
        <v>6.9634465622691544E-2</v>
      </c>
      <c r="I50" s="108">
        <f t="shared" si="4"/>
        <v>8.2292693470792877E-2</v>
      </c>
    </row>
    <row r="51" spans="1:9" x14ac:dyDescent="0.45">
      <c r="A51" s="109">
        <v>46</v>
      </c>
      <c r="B51" s="110">
        <f>SMALL('[1]Data Residual'!$B$3:$B$81,46)</f>
        <v>0.17</v>
      </c>
      <c r="C51" s="111">
        <f t="shared" si="0"/>
        <v>-1.9092269138645018E-3</v>
      </c>
      <c r="D51" s="111">
        <f t="shared" si="1"/>
        <v>0.49923832912391292</v>
      </c>
      <c r="E51" s="111">
        <f>46/$H$2</f>
        <v>0.58227848101265822</v>
      </c>
      <c r="F51" s="111">
        <f>45/$H$2</f>
        <v>0.569620253164557</v>
      </c>
      <c r="G51" s="111">
        <f t="shared" si="2"/>
        <v>8.3040151888745306E-2</v>
      </c>
      <c r="H51" s="111">
        <f t="shared" si="3"/>
        <v>7.0381924040644084E-2</v>
      </c>
      <c r="I51" s="111">
        <f t="shared" si="4"/>
        <v>8.3040151888745306E-2</v>
      </c>
    </row>
    <row r="52" spans="1:9" x14ac:dyDescent="0.45">
      <c r="A52" s="106">
        <v>47</v>
      </c>
      <c r="B52" s="107">
        <f>SMALL('[1]Data Residual'!$B$3:$B$81,47)</f>
        <v>0.36199999999999999</v>
      </c>
      <c r="C52" s="108">
        <f t="shared" si="0"/>
        <v>-9.315054176509691E-5</v>
      </c>
      <c r="D52" s="108">
        <f t="shared" si="1"/>
        <v>0.49996283831050137</v>
      </c>
      <c r="E52" s="108">
        <f>47/$H$2</f>
        <v>0.59493670886075944</v>
      </c>
      <c r="F52" s="108">
        <f>46/$H$2</f>
        <v>0.58227848101265822</v>
      </c>
      <c r="G52" s="108">
        <f t="shared" si="2"/>
        <v>9.4973870550258077E-2</v>
      </c>
      <c r="H52" s="108">
        <f t="shared" si="3"/>
        <v>8.2315642702156855E-2</v>
      </c>
      <c r="I52" s="108">
        <f t="shared" si="4"/>
        <v>9.4973870550258077E-2</v>
      </c>
    </row>
    <row r="53" spans="1:9" x14ac:dyDescent="0.45">
      <c r="A53" s="109">
        <v>48</v>
      </c>
      <c r="B53" s="110">
        <f>SMALL('[1]Data Residual'!$B$3:$B$81,48)</f>
        <v>3.677</v>
      </c>
      <c r="C53" s="111">
        <f t="shared" si="0"/>
        <v>3.1262543070263701E-2</v>
      </c>
      <c r="D53" s="111">
        <f t="shared" si="1"/>
        <v>0.51246991895170702</v>
      </c>
      <c r="E53" s="111">
        <f>48/$H$2</f>
        <v>0.60759493670886078</v>
      </c>
      <c r="F53" s="111">
        <f>47/$H$2</f>
        <v>0.59493670886075944</v>
      </c>
      <c r="G53" s="111">
        <f t="shared" si="2"/>
        <v>9.5125017757153763E-2</v>
      </c>
      <c r="H53" s="111">
        <f t="shared" si="3"/>
        <v>8.2466789909052429E-2</v>
      </c>
      <c r="I53" s="111">
        <f t="shared" si="4"/>
        <v>9.5125017757153763E-2</v>
      </c>
    </row>
    <row r="54" spans="1:9" x14ac:dyDescent="0.45">
      <c r="A54" s="106">
        <v>49</v>
      </c>
      <c r="B54" s="107">
        <f>SMALL('[1]Data Residual'!$B$3:$B$81,49)</f>
        <v>4.6210000000000004</v>
      </c>
      <c r="C54" s="108">
        <f t="shared" si="0"/>
        <v>4.0191585233085775E-2</v>
      </c>
      <c r="D54" s="108">
        <f t="shared" si="1"/>
        <v>0.51602980688880595</v>
      </c>
      <c r="E54" s="108">
        <f>49/$H$2</f>
        <v>0.620253164556962</v>
      </c>
      <c r="F54" s="108">
        <f>48/$H$2</f>
        <v>0.60759493670886078</v>
      </c>
      <c r="G54" s="108">
        <f t="shared" si="2"/>
        <v>0.10422335766815605</v>
      </c>
      <c r="H54" s="108">
        <f t="shared" si="3"/>
        <v>9.1565129820054825E-2</v>
      </c>
      <c r="I54" s="108">
        <f t="shared" si="4"/>
        <v>0.10422335766815605</v>
      </c>
    </row>
    <row r="55" spans="1:9" x14ac:dyDescent="0.45">
      <c r="A55" s="109">
        <v>50</v>
      </c>
      <c r="B55" s="110">
        <f>SMALL('[1]Data Residual'!$B$3:$B$81,50)</f>
        <v>5.306</v>
      </c>
      <c r="C55" s="111">
        <f t="shared" si="0"/>
        <v>4.6670816039794581E-2</v>
      </c>
      <c r="D55" s="111">
        <f t="shared" si="1"/>
        <v>0.51861220479157144</v>
      </c>
      <c r="E55" s="111">
        <f>50/$H$2</f>
        <v>0.63291139240506333</v>
      </c>
      <c r="F55" s="111">
        <f>49/$H$2</f>
        <v>0.620253164556962</v>
      </c>
      <c r="G55" s="111">
        <f t="shared" si="2"/>
        <v>0.11429918761349189</v>
      </c>
      <c r="H55" s="111">
        <f t="shared" si="3"/>
        <v>0.10164095976539056</v>
      </c>
      <c r="I55" s="111">
        <f t="shared" si="4"/>
        <v>0.11429918761349189</v>
      </c>
    </row>
    <row r="56" spans="1:9" x14ac:dyDescent="0.45">
      <c r="A56" s="106">
        <v>51</v>
      </c>
      <c r="B56" s="107">
        <f>SMALL('[1]Data Residual'!$B$3:$B$81,51)</f>
        <v>7.9059999999999997</v>
      </c>
      <c r="C56" s="108">
        <f t="shared" si="0"/>
        <v>7.1263516911974023E-2</v>
      </c>
      <c r="D56" s="108">
        <f t="shared" si="1"/>
        <v>0.52840598466790611</v>
      </c>
      <c r="E56" s="108">
        <f>51/$H$2</f>
        <v>0.64556962025316456</v>
      </c>
      <c r="F56" s="108">
        <f>50/$H$2</f>
        <v>0.63291139240506333</v>
      </c>
      <c r="G56" s="108">
        <f t="shared" si="2"/>
        <v>0.11716363558525844</v>
      </c>
      <c r="H56" s="108">
        <f t="shared" si="3"/>
        <v>0.10450540773715722</v>
      </c>
      <c r="I56" s="108">
        <f t="shared" si="4"/>
        <v>0.11716363558525844</v>
      </c>
    </row>
    <row r="57" spans="1:9" x14ac:dyDescent="0.45">
      <c r="A57" s="109">
        <v>52</v>
      </c>
      <c r="B57" s="110">
        <f>SMALL('[1]Data Residual'!$B$3:$B$81,52)</f>
        <v>11.414</v>
      </c>
      <c r="C57" s="111">
        <f t="shared" si="0"/>
        <v>0.1044447456272069</v>
      </c>
      <c r="D57" s="111">
        <f t="shared" si="1"/>
        <v>0.54159179252228329</v>
      </c>
      <c r="E57" s="111">
        <f>52/$H$2</f>
        <v>0.65822784810126578</v>
      </c>
      <c r="F57" s="111">
        <f>51/$H$2</f>
        <v>0.64556962025316456</v>
      </c>
      <c r="G57" s="111">
        <f t="shared" si="2"/>
        <v>0.11663605557898249</v>
      </c>
      <c r="H57" s="111">
        <f t="shared" si="3"/>
        <v>0.10397782773088127</v>
      </c>
      <c r="I57" s="111">
        <f t="shared" si="4"/>
        <v>0.11663605557898249</v>
      </c>
    </row>
    <row r="58" spans="1:9" x14ac:dyDescent="0.45">
      <c r="A58" s="106">
        <v>53</v>
      </c>
      <c r="B58" s="107">
        <f>SMALL('[1]Data Residual'!$B$3:$B$81,53)</f>
        <v>13.064</v>
      </c>
      <c r="C58" s="108">
        <f t="shared" si="0"/>
        <v>0.12005165194993618</v>
      </c>
      <c r="D58" s="108">
        <f t="shared" si="1"/>
        <v>0.54777888427244248</v>
      </c>
      <c r="E58" s="108">
        <f>53/$H$2</f>
        <v>0.67088607594936711</v>
      </c>
      <c r="F58" s="108">
        <f>52/$H$2</f>
        <v>0.65822784810126578</v>
      </c>
      <c r="G58" s="108">
        <f t="shared" si="2"/>
        <v>0.12310719167692463</v>
      </c>
      <c r="H58" s="108">
        <f t="shared" si="3"/>
        <v>0.1104489638288233</v>
      </c>
      <c r="I58" s="108">
        <f t="shared" si="4"/>
        <v>0.12310719167692463</v>
      </c>
    </row>
    <row r="59" spans="1:9" x14ac:dyDescent="0.45">
      <c r="A59" s="109">
        <v>54</v>
      </c>
      <c r="B59" s="110">
        <f>SMALL('[1]Data Residual'!$B$3:$B$81,54)</f>
        <v>15.726000000000001</v>
      </c>
      <c r="C59" s="111">
        <f t="shared" si="0"/>
        <v>0.14523079415060605</v>
      </c>
      <c r="D59" s="111">
        <f t="shared" si="1"/>
        <v>0.55773567327108686</v>
      </c>
      <c r="E59" s="111">
        <f>54/$H$2</f>
        <v>0.68354430379746833</v>
      </c>
      <c r="F59" s="111">
        <f>53/$H$2</f>
        <v>0.67088607594936711</v>
      </c>
      <c r="G59" s="111">
        <f t="shared" si="2"/>
        <v>0.12580863052638147</v>
      </c>
      <c r="H59" s="111">
        <f t="shared" si="3"/>
        <v>0.11315040267828025</v>
      </c>
      <c r="I59" s="111">
        <f t="shared" si="4"/>
        <v>0.12580863052638147</v>
      </c>
    </row>
    <row r="60" spans="1:9" x14ac:dyDescent="0.45">
      <c r="A60" s="106">
        <v>55</v>
      </c>
      <c r="B60" s="107">
        <f>SMALL('[1]Data Residual'!$B$3:$B$81,55)</f>
        <v>24.641999999999999</v>
      </c>
      <c r="C60" s="108">
        <f t="shared" si="0"/>
        <v>0.22956484067997218</v>
      </c>
      <c r="D60" s="108">
        <f t="shared" si="1"/>
        <v>0.59078503485114631</v>
      </c>
      <c r="E60" s="108">
        <f>55/$H$2</f>
        <v>0.69620253164556967</v>
      </c>
      <c r="F60" s="108">
        <f>54/$H$2</f>
        <v>0.68354430379746833</v>
      </c>
      <c r="G60" s="108">
        <f t="shared" si="2"/>
        <v>0.10541749679442336</v>
      </c>
      <c r="H60" s="108">
        <f t="shared" si="3"/>
        <v>9.2759268946322027E-2</v>
      </c>
      <c r="I60" s="108">
        <f t="shared" si="4"/>
        <v>0.10541749679442336</v>
      </c>
    </row>
    <row r="61" spans="1:9" x14ac:dyDescent="0.45">
      <c r="A61" s="109">
        <v>56</v>
      </c>
      <c r="B61" s="110">
        <f>SMALL('[1]Data Residual'!$B$3:$B$81,56)</f>
        <v>31.417999999999999</v>
      </c>
      <c r="C61" s="111">
        <f t="shared" si="0"/>
        <v>0.2936572026453137</v>
      </c>
      <c r="D61" s="111">
        <f t="shared" si="1"/>
        <v>0.6154900697982999</v>
      </c>
      <c r="E61" s="111">
        <f>56/$H$2</f>
        <v>0.70886075949367089</v>
      </c>
      <c r="F61" s="111">
        <f>55/$H$2</f>
        <v>0.69620253164556967</v>
      </c>
      <c r="G61" s="111">
        <f t="shared" si="2"/>
        <v>9.337068969537099E-2</v>
      </c>
      <c r="H61" s="111">
        <f t="shared" si="3"/>
        <v>8.0712461847269767E-2</v>
      </c>
      <c r="I61" s="111">
        <f t="shared" si="4"/>
        <v>9.337068969537099E-2</v>
      </c>
    </row>
    <row r="62" spans="1:9" x14ac:dyDescent="0.45">
      <c r="A62" s="106">
        <v>57</v>
      </c>
      <c r="B62" s="107">
        <f>SMALL('[1]Data Residual'!$B$3:$B$81,57)</f>
        <v>31.806999999999999</v>
      </c>
      <c r="C62" s="108">
        <f t="shared" si="0"/>
        <v>0.29733664904503593</v>
      </c>
      <c r="D62" s="108">
        <f t="shared" si="1"/>
        <v>0.61689524787729377</v>
      </c>
      <c r="E62" s="108">
        <f>57/$H$2</f>
        <v>0.72151898734177211</v>
      </c>
      <c r="F62" s="108">
        <f>56/$H$2</f>
        <v>0.70886075949367089</v>
      </c>
      <c r="G62" s="108">
        <f t="shared" si="2"/>
        <v>0.10462373946447834</v>
      </c>
      <c r="H62" s="108">
        <f t="shared" si="3"/>
        <v>9.1965511616377116E-2</v>
      </c>
      <c r="I62" s="108">
        <f t="shared" si="4"/>
        <v>0.10462373946447834</v>
      </c>
    </row>
    <row r="63" spans="1:9" x14ac:dyDescent="0.45">
      <c r="A63" s="109">
        <v>58</v>
      </c>
      <c r="B63" s="110">
        <f>SMALL('[1]Data Residual'!$B$3:$B$81,58)</f>
        <v>33.491</v>
      </c>
      <c r="C63" s="111">
        <f t="shared" si="0"/>
        <v>0.31326515222532447</v>
      </c>
      <c r="D63" s="111">
        <f t="shared" si="1"/>
        <v>0.62296038843815149</v>
      </c>
      <c r="E63" s="111">
        <f>58/$H$2</f>
        <v>0.73417721518987344</v>
      </c>
      <c r="F63" s="111">
        <f>57/$H$2</f>
        <v>0.72151898734177211</v>
      </c>
      <c r="G63" s="111">
        <f t="shared" si="2"/>
        <v>0.11121682675172195</v>
      </c>
      <c r="H63" s="111">
        <f t="shared" si="3"/>
        <v>9.855859890362062E-2</v>
      </c>
      <c r="I63" s="111">
        <f t="shared" si="4"/>
        <v>0.11121682675172195</v>
      </c>
    </row>
    <row r="64" spans="1:9" x14ac:dyDescent="0.45">
      <c r="A64" s="106">
        <v>59</v>
      </c>
      <c r="B64" s="107">
        <f>SMALL('[1]Data Residual'!$B$3:$B$81,59)</f>
        <v>36.875</v>
      </c>
      <c r="C64" s="108">
        <f t="shared" si="0"/>
        <v>0.34527349828357651</v>
      </c>
      <c r="D64" s="108">
        <f t="shared" si="1"/>
        <v>0.63505561584408921</v>
      </c>
      <c r="E64" s="108">
        <f>59/$H$2</f>
        <v>0.74683544303797467</v>
      </c>
      <c r="F64" s="108">
        <f>58/$H$2</f>
        <v>0.73417721518987344</v>
      </c>
      <c r="G64" s="108">
        <f t="shared" si="2"/>
        <v>0.11177982719388546</v>
      </c>
      <c r="H64" s="108">
        <f t="shared" si="3"/>
        <v>9.9121599345784239E-2</v>
      </c>
      <c r="I64" s="108">
        <f t="shared" si="4"/>
        <v>0.11177982719388546</v>
      </c>
    </row>
    <row r="65" spans="1:9" x14ac:dyDescent="0.45">
      <c r="A65" s="109">
        <v>60</v>
      </c>
      <c r="B65" s="110">
        <f>SMALL('[1]Data Residual'!$B$3:$B$81,60)</f>
        <v>38.332000000000001</v>
      </c>
      <c r="C65" s="111">
        <f t="shared" si="0"/>
        <v>0.35905486950310167</v>
      </c>
      <c r="D65" s="111">
        <f t="shared" si="1"/>
        <v>0.64022297882687229</v>
      </c>
      <c r="E65" s="111">
        <f>60/$H$2</f>
        <v>0.759493670886076</v>
      </c>
      <c r="F65" s="111">
        <f>59/$H$2</f>
        <v>0.74683544303797467</v>
      </c>
      <c r="G65" s="111">
        <f t="shared" si="2"/>
        <v>0.11927069205920371</v>
      </c>
      <c r="H65" s="111">
        <f t="shared" si="3"/>
        <v>0.10661246421110238</v>
      </c>
      <c r="I65" s="111">
        <f t="shared" si="4"/>
        <v>0.11927069205920371</v>
      </c>
    </row>
    <row r="66" spans="1:9" x14ac:dyDescent="0.45">
      <c r="A66" s="106">
        <v>61</v>
      </c>
      <c r="B66" s="107">
        <f>SMALL('[1]Data Residual'!$B$3:$B$81,61)</f>
        <v>39.905999999999999</v>
      </c>
      <c r="C66" s="108">
        <f t="shared" si="0"/>
        <v>0.37394291226187487</v>
      </c>
      <c r="D66" s="108">
        <f t="shared" si="1"/>
        <v>0.64577660536487325</v>
      </c>
      <c r="E66" s="108">
        <f>61/$H$2</f>
        <v>0.77215189873417722</v>
      </c>
      <c r="F66" s="108">
        <f>60/$H$2</f>
        <v>0.759493670886076</v>
      </c>
      <c r="G66" s="108">
        <f t="shared" si="2"/>
        <v>0.12637529336930398</v>
      </c>
      <c r="H66" s="108">
        <f t="shared" si="3"/>
        <v>0.11371706552120275</v>
      </c>
      <c r="I66" s="108">
        <f t="shared" si="4"/>
        <v>0.12637529336930398</v>
      </c>
    </row>
    <row r="67" spans="1:9" x14ac:dyDescent="0.45">
      <c r="A67" s="109">
        <v>62</v>
      </c>
      <c r="B67" s="110">
        <f>SMALL('[1]Data Residual'!$B$3:$B$81,62)</f>
        <v>41.722000000000001</v>
      </c>
      <c r="C67" s="111">
        <f t="shared" si="0"/>
        <v>0.39111996794798182</v>
      </c>
      <c r="D67" s="111">
        <f t="shared" si="1"/>
        <v>0.65214571918512321</v>
      </c>
      <c r="E67" s="111">
        <f>62/$H$2</f>
        <v>0.78481012658227844</v>
      </c>
      <c r="F67" s="111">
        <f>61/$H$2</f>
        <v>0.77215189873417722</v>
      </c>
      <c r="G67" s="111">
        <f t="shared" si="2"/>
        <v>0.13266440739715524</v>
      </c>
      <c r="H67" s="111">
        <f t="shared" si="3"/>
        <v>0.12000617954905402</v>
      </c>
      <c r="I67" s="111">
        <f t="shared" si="4"/>
        <v>0.13266440739715524</v>
      </c>
    </row>
    <row r="68" spans="1:9" x14ac:dyDescent="0.45">
      <c r="A68" s="106">
        <v>63</v>
      </c>
      <c r="B68" s="107">
        <f>SMALL('[1]Data Residual'!$B$3:$B$81,63)</f>
        <v>43.411000000000001</v>
      </c>
      <c r="C68" s="108">
        <f t="shared" si="0"/>
        <v>0.40709576478379372</v>
      </c>
      <c r="D68" s="108">
        <f t="shared" si="1"/>
        <v>0.65803117305569025</v>
      </c>
      <c r="E68" s="108">
        <f>63/$H$2</f>
        <v>0.79746835443037978</v>
      </c>
      <c r="F68" s="108">
        <f>62/$H$2</f>
        <v>0.78481012658227844</v>
      </c>
      <c r="G68" s="108">
        <f t="shared" si="2"/>
        <v>0.13943718137468952</v>
      </c>
      <c r="H68" s="108">
        <f t="shared" si="3"/>
        <v>0.12677895352658819</v>
      </c>
      <c r="I68" s="108">
        <f t="shared" si="4"/>
        <v>0.13943718137468952</v>
      </c>
    </row>
    <row r="69" spans="1:9" x14ac:dyDescent="0.45">
      <c r="A69" s="109">
        <v>64</v>
      </c>
      <c r="B69" s="110">
        <f>SMALL('[1]Data Residual'!$B$3:$B$81,64)</f>
        <v>53.055</v>
      </c>
      <c r="C69" s="111">
        <f t="shared" si="0"/>
        <v>0.49831576755737012</v>
      </c>
      <c r="D69" s="111">
        <f t="shared" si="1"/>
        <v>0.69086925196861326</v>
      </c>
      <c r="E69" s="111">
        <f>64/$H$2</f>
        <v>0.810126582278481</v>
      </c>
      <c r="F69" s="111">
        <f>63/$H$2</f>
        <v>0.79746835443037978</v>
      </c>
      <c r="G69" s="111">
        <f t="shared" si="2"/>
        <v>0.11925733030986774</v>
      </c>
      <c r="H69" s="111">
        <f t="shared" si="3"/>
        <v>0.10659910246176652</v>
      </c>
      <c r="I69" s="111">
        <f t="shared" si="4"/>
        <v>0.11925733030986774</v>
      </c>
    </row>
    <row r="70" spans="1:9" x14ac:dyDescent="0.45">
      <c r="A70" s="106">
        <v>65</v>
      </c>
      <c r="B70" s="107">
        <f>SMALL('[1]Data Residual'!$B$3:$B$81,65)</f>
        <v>59.813000000000002</v>
      </c>
      <c r="C70" s="108">
        <f t="shared" ref="C70:C84" si="5">(B70-$H$3)/$H$4</f>
        <v>0.5622378723628273</v>
      </c>
      <c r="D70" s="108">
        <f t="shared" ref="D70:D84" si="6">NORMSDIST(C70)</f>
        <v>0.71302301942408874</v>
      </c>
      <c r="E70" s="108">
        <f>65/$H$2</f>
        <v>0.82278481012658233</v>
      </c>
      <c r="F70" s="108">
        <f>64/$H$2</f>
        <v>0.810126582278481</v>
      </c>
      <c r="G70" s="108">
        <f t="shared" ref="G70:G84" si="7">ABS(E70-D70)</f>
        <v>0.10976179070249359</v>
      </c>
      <c r="H70" s="108">
        <f t="shared" ref="H70:H84" si="8">ABS(F70-D70)</f>
        <v>9.7103562854392256E-2</v>
      </c>
      <c r="I70" s="108">
        <f t="shared" ref="I70:I84" si="9">MAX(G70,H70)</f>
        <v>0.10976179070249359</v>
      </c>
    </row>
    <row r="71" spans="1:9" x14ac:dyDescent="0.45">
      <c r="A71" s="109">
        <v>66</v>
      </c>
      <c r="B71" s="110">
        <f>SMALL('[1]Data Residual'!$B$3:$B$81,66)</f>
        <v>67.552999999999997</v>
      </c>
      <c r="C71" s="111">
        <f t="shared" si="5"/>
        <v>0.63544845111308446</v>
      </c>
      <c r="D71" s="111">
        <f t="shared" si="6"/>
        <v>0.73743201160767258</v>
      </c>
      <c r="E71" s="111">
        <f>66/$H$2</f>
        <v>0.83544303797468356</v>
      </c>
      <c r="F71" s="111">
        <f>65/$H$2</f>
        <v>0.82278481012658233</v>
      </c>
      <c r="G71" s="111">
        <f t="shared" si="7"/>
        <v>9.8011026367010978E-2</v>
      </c>
      <c r="H71" s="111">
        <f t="shared" si="8"/>
        <v>8.5352798518909756E-2</v>
      </c>
      <c r="I71" s="111">
        <f t="shared" si="9"/>
        <v>9.8011026367010978E-2</v>
      </c>
    </row>
    <row r="72" spans="1:9" x14ac:dyDescent="0.45">
      <c r="A72" s="106">
        <v>67</v>
      </c>
      <c r="B72" s="107">
        <f>SMALL('[1]Data Residual'!$B$3:$B$81,67)</f>
        <v>72.584000000000003</v>
      </c>
      <c r="C72" s="108">
        <f t="shared" si="5"/>
        <v>0.68303532730075178</v>
      </c>
      <c r="D72" s="108">
        <f t="shared" si="6"/>
        <v>0.75270774012632569</v>
      </c>
      <c r="E72" s="108">
        <f>67/$H$2</f>
        <v>0.84810126582278478</v>
      </c>
      <c r="F72" s="108">
        <f>66/$H$2</f>
        <v>0.83544303797468356</v>
      </c>
      <c r="G72" s="108">
        <f t="shared" si="7"/>
        <v>9.5393525696459092E-2</v>
      </c>
      <c r="H72" s="108">
        <f t="shared" si="8"/>
        <v>8.2735297848357869E-2</v>
      </c>
      <c r="I72" s="108">
        <f t="shared" si="9"/>
        <v>9.5393525696459092E-2</v>
      </c>
    </row>
    <row r="73" spans="1:9" x14ac:dyDescent="0.45">
      <c r="A73" s="109">
        <v>68</v>
      </c>
      <c r="B73" s="110">
        <f>SMALL('[1]Data Residual'!$B$3:$B$81,68)</f>
        <v>73.811000000000007</v>
      </c>
      <c r="C73" s="111">
        <f t="shared" si="5"/>
        <v>0.69464119036619953</v>
      </c>
      <c r="D73" s="111">
        <f t="shared" si="6"/>
        <v>0.75635990406262965</v>
      </c>
      <c r="E73" s="111">
        <f>68/$H$2</f>
        <v>0.86075949367088611</v>
      </c>
      <c r="F73" s="111">
        <f>67/$H$2</f>
        <v>0.84810126582278478</v>
      </c>
      <c r="G73" s="111">
        <f t="shared" si="7"/>
        <v>0.10439958960825646</v>
      </c>
      <c r="H73" s="111">
        <f t="shared" si="8"/>
        <v>9.1741361760155127E-2</v>
      </c>
      <c r="I73" s="111">
        <f t="shared" si="9"/>
        <v>0.10439958960825646</v>
      </c>
    </row>
    <row r="74" spans="1:9" x14ac:dyDescent="0.45">
      <c r="A74" s="106">
        <v>69</v>
      </c>
      <c r="B74" s="107">
        <f>SMALL('[1]Data Residual'!$B$3:$B$81,69)</f>
        <v>76.143000000000001</v>
      </c>
      <c r="C74" s="108">
        <f t="shared" si="5"/>
        <v>0.71669895130232353</v>
      </c>
      <c r="D74" s="108">
        <f t="shared" si="6"/>
        <v>0.76322006344259696</v>
      </c>
      <c r="E74" s="108">
        <f>69/$H$2</f>
        <v>0.87341772151898733</v>
      </c>
      <c r="F74" s="108">
        <f>68/$H$2</f>
        <v>0.86075949367088611</v>
      </c>
      <c r="G74" s="108">
        <f t="shared" si="7"/>
        <v>0.11019765807639037</v>
      </c>
      <c r="H74" s="108">
        <f t="shared" si="8"/>
        <v>9.7539430228289148E-2</v>
      </c>
      <c r="I74" s="108">
        <f t="shared" si="9"/>
        <v>0.11019765807639037</v>
      </c>
    </row>
    <row r="75" spans="1:9" x14ac:dyDescent="0.45">
      <c r="A75" s="109">
        <v>70</v>
      </c>
      <c r="B75" s="110">
        <f>SMALL('[1]Data Residual'!$B$3:$B$81,70)</f>
        <v>83.100999999999999</v>
      </c>
      <c r="C75" s="111">
        <f t="shared" si="5"/>
        <v>0.78251280232871756</v>
      </c>
      <c r="D75" s="111">
        <f t="shared" si="6"/>
        <v>0.78304336774010763</v>
      </c>
      <c r="E75" s="111">
        <f>70/$H$2</f>
        <v>0.88607594936708856</v>
      </c>
      <c r="F75" s="111">
        <f>69/$H$2</f>
        <v>0.87341772151898733</v>
      </c>
      <c r="G75" s="111">
        <f t="shared" si="7"/>
        <v>0.10303258162698092</v>
      </c>
      <c r="H75" s="111">
        <f t="shared" si="8"/>
        <v>9.0374353778879701E-2</v>
      </c>
      <c r="I75" s="111">
        <f t="shared" si="9"/>
        <v>0.10303258162698092</v>
      </c>
    </row>
    <row r="76" spans="1:9" x14ac:dyDescent="0.45">
      <c r="A76" s="106">
        <v>71</v>
      </c>
      <c r="B76" s="107">
        <f>SMALL('[1]Data Residual'!$B$3:$B$81,71)</f>
        <v>90.903999999999996</v>
      </c>
      <c r="C76" s="108">
        <f t="shared" si="5"/>
        <v>0.85631928113856992</v>
      </c>
      <c r="D76" s="108">
        <f t="shared" si="6"/>
        <v>0.80408940045181421</v>
      </c>
      <c r="E76" s="108">
        <f>71/$H$2</f>
        <v>0.89873417721518989</v>
      </c>
      <c r="F76" s="108">
        <f>70/$H$2</f>
        <v>0.88607594936708856</v>
      </c>
      <c r="G76" s="108">
        <f t="shared" si="7"/>
        <v>9.4644776763375682E-2</v>
      </c>
      <c r="H76" s="108">
        <f t="shared" si="8"/>
        <v>8.1986548915274349E-2</v>
      </c>
      <c r="I76" s="108">
        <f t="shared" si="9"/>
        <v>9.4644776763375682E-2</v>
      </c>
    </row>
    <row r="77" spans="1:9" x14ac:dyDescent="0.45">
      <c r="A77" s="109">
        <v>72</v>
      </c>
      <c r="B77" s="110">
        <f>SMALL('[1]Data Residual'!$B$3:$B$81,72)</f>
        <v>99.962999999999994</v>
      </c>
      <c r="C77" s="111">
        <f t="shared" si="5"/>
        <v>0.94200592621590595</v>
      </c>
      <c r="D77" s="111">
        <f t="shared" si="6"/>
        <v>0.82690519708698906</v>
      </c>
      <c r="E77" s="111">
        <f>72/$H$2</f>
        <v>0.91139240506329111</v>
      </c>
      <c r="F77" s="111">
        <f>71/$H$2</f>
        <v>0.89873417721518989</v>
      </c>
      <c r="G77" s="111">
        <f t="shared" si="7"/>
        <v>8.4487207976302048E-2</v>
      </c>
      <c r="H77" s="111">
        <f t="shared" si="8"/>
        <v>7.1828980128200826E-2</v>
      </c>
      <c r="I77" s="111">
        <f t="shared" si="9"/>
        <v>8.4487207976302048E-2</v>
      </c>
    </row>
    <row r="78" spans="1:9" x14ac:dyDescent="0.45">
      <c r="A78" s="106">
        <v>73</v>
      </c>
      <c r="B78" s="107">
        <f>SMALL('[1]Data Residual'!$B$3:$B$81,73)</f>
        <v>116.792</v>
      </c>
      <c r="C78" s="108">
        <f t="shared" si="5"/>
        <v>1.1011869119766398</v>
      </c>
      <c r="D78" s="108">
        <f t="shared" si="6"/>
        <v>0.86459234162866616</v>
      </c>
      <c r="E78" s="108">
        <f>73/$H$2</f>
        <v>0.92405063291139244</v>
      </c>
      <c r="F78" s="108">
        <f>72/$H$2</f>
        <v>0.91139240506329111</v>
      </c>
      <c r="G78" s="108">
        <f t="shared" si="7"/>
        <v>5.9458291282726283E-2</v>
      </c>
      <c r="H78" s="108">
        <f t="shared" si="8"/>
        <v>4.680006343462495E-2</v>
      </c>
      <c r="I78" s="108">
        <f t="shared" si="9"/>
        <v>5.9458291282726283E-2</v>
      </c>
    </row>
    <row r="79" spans="1:9" x14ac:dyDescent="0.45">
      <c r="A79" s="109">
        <v>74</v>
      </c>
      <c r="B79" s="110">
        <f>SMALL('[1]Data Residual'!$B$3:$B$81,74)</f>
        <v>137.70699999999999</v>
      </c>
      <c r="C79" s="111">
        <f t="shared" si="5"/>
        <v>1.2990162730311141</v>
      </c>
      <c r="D79" s="111">
        <f t="shared" si="6"/>
        <v>0.90303082769623311</v>
      </c>
      <c r="E79" s="111">
        <f>74/$H$2</f>
        <v>0.93670886075949367</v>
      </c>
      <c r="F79" s="111">
        <f>73/$H$2</f>
        <v>0.92405063291139244</v>
      </c>
      <c r="G79" s="111">
        <f t="shared" si="7"/>
        <v>3.367803306326056E-2</v>
      </c>
      <c r="H79" s="111">
        <f t="shared" si="8"/>
        <v>2.1019805215159337E-2</v>
      </c>
      <c r="I79" s="111">
        <f t="shared" si="9"/>
        <v>3.367803306326056E-2</v>
      </c>
    </row>
    <row r="80" spans="1:9" x14ac:dyDescent="0.45">
      <c r="A80" s="106">
        <v>75</v>
      </c>
      <c r="B80" s="107">
        <f>SMALL('[1]Data Residual'!$B$3:$B$81,75)</f>
        <v>161.137</v>
      </c>
      <c r="C80" s="108">
        <f t="shared" si="5"/>
        <v>1.5206343428138698</v>
      </c>
      <c r="D80" s="108">
        <f t="shared" si="6"/>
        <v>0.93582418821699143</v>
      </c>
      <c r="E80" s="108">
        <f>75/$H$2</f>
        <v>0.94936708860759489</v>
      </c>
      <c r="F80" s="108">
        <f>74/$H$2</f>
        <v>0.93670886075949367</v>
      </c>
      <c r="G80" s="108">
        <f t="shared" si="7"/>
        <v>1.3542900390603463E-2</v>
      </c>
      <c r="H80" s="108">
        <f t="shared" si="8"/>
        <v>8.8467254250224059E-4</v>
      </c>
      <c r="I80" s="108">
        <f t="shared" si="9"/>
        <v>1.3542900390603463E-2</v>
      </c>
    </row>
    <row r="81" spans="1:9" x14ac:dyDescent="0.45">
      <c r="A81" s="109">
        <v>76</v>
      </c>
      <c r="B81" s="110">
        <f>SMALL('[1]Data Residual'!$B$3:$B$81,76)</f>
        <v>161.18899999999999</v>
      </c>
      <c r="C81" s="111">
        <f t="shared" si="5"/>
        <v>1.5211261968313132</v>
      </c>
      <c r="D81" s="111">
        <f t="shared" si="6"/>
        <v>0.93588591420504286</v>
      </c>
      <c r="E81" s="111">
        <f>76/$H$2</f>
        <v>0.96202531645569622</v>
      </c>
      <c r="F81" s="111">
        <f>75/$H$2</f>
        <v>0.94936708860759489</v>
      </c>
      <c r="G81" s="111">
        <f t="shared" si="7"/>
        <v>2.6139402250653365E-2</v>
      </c>
      <c r="H81" s="111">
        <f t="shared" si="8"/>
        <v>1.3481174402552032E-2</v>
      </c>
      <c r="I81" s="111">
        <f t="shared" si="9"/>
        <v>2.6139402250653365E-2</v>
      </c>
    </row>
    <row r="82" spans="1:9" x14ac:dyDescent="0.45">
      <c r="A82" s="106">
        <v>77</v>
      </c>
      <c r="B82" s="107">
        <f>SMALL('[1]Data Residual'!$B$3:$B$81,77)</f>
        <v>196.124</v>
      </c>
      <c r="C82" s="108">
        <f t="shared" si="5"/>
        <v>1.8515669679734628</v>
      </c>
      <c r="D82" s="108">
        <f t="shared" si="6"/>
        <v>0.96795598499018909</v>
      </c>
      <c r="E82" s="108">
        <f>77/$H$2</f>
        <v>0.97468354430379744</v>
      </c>
      <c r="F82" s="108">
        <f>76/$H$2</f>
        <v>0.96202531645569622</v>
      </c>
      <c r="G82" s="108">
        <f t="shared" si="7"/>
        <v>6.7275593136083556E-3</v>
      </c>
      <c r="H82" s="108">
        <f t="shared" si="8"/>
        <v>5.9306685344928667E-3</v>
      </c>
      <c r="I82" s="108">
        <f t="shared" si="9"/>
        <v>6.7275593136083556E-3</v>
      </c>
    </row>
    <row r="83" spans="1:9" x14ac:dyDescent="0.45">
      <c r="A83" s="109">
        <v>78</v>
      </c>
      <c r="B83" s="110">
        <f>SMALL('[1]Data Residual'!$B$3:$B$81,78)</f>
        <v>394.428</v>
      </c>
      <c r="C83" s="111">
        <f t="shared" si="5"/>
        <v>3.7272711809567984</v>
      </c>
      <c r="D83" s="111">
        <f t="shared" si="6"/>
        <v>0.99990321792084569</v>
      </c>
      <c r="E83" s="111">
        <f>78/$H$2</f>
        <v>0.98734177215189878</v>
      </c>
      <c r="F83" s="111">
        <f>77/$H$2</f>
        <v>0.97468354430379744</v>
      </c>
      <c r="G83" s="111">
        <f t="shared" si="7"/>
        <v>1.2561445768946911E-2</v>
      </c>
      <c r="H83" s="111">
        <f t="shared" si="8"/>
        <v>2.5219673617048244E-2</v>
      </c>
      <c r="I83" s="111">
        <f t="shared" si="9"/>
        <v>2.5219673617048244E-2</v>
      </c>
    </row>
    <row r="84" spans="1:9" x14ac:dyDescent="0.45">
      <c r="A84" s="106">
        <v>79</v>
      </c>
      <c r="B84" s="107">
        <f>SMALL('[1]Data Residual'!$B$3:$B$81,79)</f>
        <v>484.22899999999998</v>
      </c>
      <c r="C84" s="108">
        <f t="shared" si="5"/>
        <v>4.5766746928885622</v>
      </c>
      <c r="D84" s="108">
        <f t="shared" si="6"/>
        <v>0.99999763787389306</v>
      </c>
      <c r="E84" s="108">
        <f>79/$H$2</f>
        <v>1</v>
      </c>
      <c r="F84" s="108">
        <f>78/$H$2</f>
        <v>0.98734177215189878</v>
      </c>
      <c r="G84" s="108">
        <f t="shared" si="7"/>
        <v>2.3621261069362021E-6</v>
      </c>
      <c r="H84" s="108">
        <f t="shared" si="8"/>
        <v>1.2655865721994286E-2</v>
      </c>
      <c r="I84" s="108">
        <f t="shared" si="9"/>
        <v>1.2655865721994286E-2</v>
      </c>
    </row>
    <row r="86" spans="1:9" x14ac:dyDescent="0.45">
      <c r="A86" s="150" t="s">
        <v>132</v>
      </c>
      <c r="B86" s="150"/>
      <c r="C86" s="150"/>
      <c r="D86" s="150"/>
      <c r="E86" s="150"/>
      <c r="F86" s="150"/>
      <c r="G86" s="150"/>
      <c r="H86" s="150"/>
      <c r="I86" s="150"/>
    </row>
    <row r="87" spans="1:9" x14ac:dyDescent="0.45">
      <c r="A87" s="146" t="s">
        <v>133</v>
      </c>
      <c r="B87" s="146"/>
      <c r="C87" s="146"/>
      <c r="D87" s="146"/>
      <c r="E87" s="146"/>
      <c r="F87" s="146"/>
      <c r="G87" s="146"/>
      <c r="H87" s="146"/>
      <c r="I87" s="93">
        <f>MAX(I6:I84)</f>
        <v>0.13943718137468952</v>
      </c>
    </row>
    <row r="88" spans="1:9" x14ac:dyDescent="0.45">
      <c r="A88" s="146" t="s">
        <v>134</v>
      </c>
      <c r="B88" s="146"/>
      <c r="C88" s="146"/>
      <c r="D88" s="146"/>
      <c r="E88" s="146"/>
      <c r="F88" s="146"/>
      <c r="G88" s="146"/>
      <c r="H88" s="146"/>
      <c r="I88" s="94">
        <f>1.36/SQRT($H$2)</f>
        <v>0.15301195452593927</v>
      </c>
    </row>
    <row r="89" spans="1:9" x14ac:dyDescent="0.45">
      <c r="A89" s="146" t="s">
        <v>135</v>
      </c>
      <c r="B89" s="146"/>
      <c r="C89" s="146"/>
      <c r="D89" s="146"/>
      <c r="E89" s="146"/>
      <c r="F89" s="146"/>
      <c r="G89" s="146"/>
      <c r="H89" s="146"/>
      <c r="I89" s="94">
        <f>1.628/SQRT($H$2)</f>
        <v>0.18316431027075669</v>
      </c>
    </row>
    <row r="90" spans="1:9" x14ac:dyDescent="0.45">
      <c r="A90" s="146" t="s">
        <v>136</v>
      </c>
      <c r="B90" s="146"/>
      <c r="C90" s="146"/>
      <c r="D90" s="146"/>
      <c r="E90" s="146"/>
      <c r="F90" s="146"/>
      <c r="G90" s="146"/>
      <c r="H90" s="146"/>
      <c r="I90" s="95" t="str">
        <f>IF(I87&lt;=I88,"NORMAL","TIDAK NORMAL")</f>
        <v>NORMAL</v>
      </c>
    </row>
    <row r="91" spans="1:9" x14ac:dyDescent="0.45">
      <c r="A91" s="146" t="s">
        <v>137</v>
      </c>
      <c r="B91" s="146"/>
      <c r="C91" s="146"/>
      <c r="D91" s="146"/>
      <c r="E91" s="146"/>
      <c r="F91" s="146"/>
      <c r="G91" s="146"/>
      <c r="H91" s="146"/>
      <c r="I91" s="95" t="str">
        <f>IF(I87&lt;=I89,"NORMAL","TIDAK NORMAL")</f>
        <v>NORMAL</v>
      </c>
    </row>
  </sheetData>
  <mergeCells count="13">
    <mergeCell ref="A91:H91"/>
    <mergeCell ref="A1:I1"/>
    <mergeCell ref="A2:G2"/>
    <mergeCell ref="H2:I2"/>
    <mergeCell ref="A3:G3"/>
    <mergeCell ref="H3:I3"/>
    <mergeCell ref="A4:G4"/>
    <mergeCell ref="H4:I4"/>
    <mergeCell ref="A86:I86"/>
    <mergeCell ref="A87:H87"/>
    <mergeCell ref="A88:H88"/>
    <mergeCell ref="A89:H89"/>
    <mergeCell ref="A90:H9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CE9D-63D9-4168-8A38-3F75B826F735}">
  <dimension ref="A1:I90"/>
  <sheetViews>
    <sheetView topLeftCell="D1" workbookViewId="0">
      <selection activeCell="H4" sqref="H4:I4"/>
    </sheetView>
  </sheetViews>
  <sheetFormatPr defaultRowHeight="14.25" x14ac:dyDescent="0.45"/>
  <cols>
    <col min="1" max="1" width="6" customWidth="1"/>
    <col min="2" max="4" width="16" customWidth="1"/>
    <col min="5" max="6" width="14" customWidth="1"/>
    <col min="7" max="7" width="16" customWidth="1"/>
    <col min="8" max="8" width="18" customWidth="1"/>
    <col min="9" max="9" width="14" customWidth="1"/>
  </cols>
  <sheetData>
    <row r="1" spans="1:9" ht="16.899999999999999" x14ac:dyDescent="0.45">
      <c r="A1" s="147" t="s">
        <v>119</v>
      </c>
      <c r="B1" s="147"/>
      <c r="C1" s="147"/>
      <c r="D1" s="147"/>
      <c r="E1" s="147"/>
      <c r="F1" s="147"/>
      <c r="G1" s="147"/>
      <c r="H1" s="147"/>
      <c r="I1" s="147"/>
    </row>
    <row r="2" spans="1:9" x14ac:dyDescent="0.45">
      <c r="A2" s="151" t="s">
        <v>120</v>
      </c>
      <c r="B2" s="151"/>
      <c r="C2" s="151"/>
      <c r="D2" s="151"/>
      <c r="E2" s="151"/>
      <c r="F2" s="151"/>
      <c r="G2" s="151"/>
      <c r="H2" s="152">
        <f>COUNTA('[2]Data Residual'!B3:B81)</f>
        <v>79</v>
      </c>
      <c r="I2" s="152"/>
    </row>
    <row r="3" spans="1:9" x14ac:dyDescent="0.45">
      <c r="A3" s="151" t="s">
        <v>121</v>
      </c>
      <c r="B3" s="151"/>
      <c r="C3" s="151"/>
      <c r="D3" s="151"/>
      <c r="E3" s="151"/>
      <c r="F3" s="151"/>
      <c r="G3" s="151"/>
      <c r="H3" s="152">
        <f>AVERAGE('[2]Data Residual'!B3:B81)</f>
        <v>0.16640506329113638</v>
      </c>
      <c r="I3" s="152"/>
    </row>
    <row r="4" spans="1:9" x14ac:dyDescent="0.45">
      <c r="A4" s="151" t="s">
        <v>122</v>
      </c>
      <c r="B4" s="151"/>
      <c r="C4" s="151"/>
      <c r="D4" s="151"/>
      <c r="E4" s="151"/>
      <c r="F4" s="151"/>
      <c r="G4" s="151"/>
      <c r="H4" s="152">
        <f>STDEV('[2]Data Residual'!B3:B81)</f>
        <v>176.24393316021556</v>
      </c>
      <c r="I4" s="152"/>
    </row>
    <row r="5" spans="1:9" x14ac:dyDescent="0.45">
      <c r="A5" s="112" t="s">
        <v>123</v>
      </c>
      <c r="B5" s="112" t="s">
        <v>124</v>
      </c>
      <c r="C5" s="112" t="s">
        <v>125</v>
      </c>
      <c r="D5" s="112" t="s">
        <v>138</v>
      </c>
      <c r="E5" s="112" t="s">
        <v>127</v>
      </c>
      <c r="F5" s="112" t="s">
        <v>128</v>
      </c>
      <c r="G5" s="112" t="s">
        <v>129</v>
      </c>
      <c r="H5" s="112" t="s">
        <v>130</v>
      </c>
      <c r="I5" s="112" t="s">
        <v>131</v>
      </c>
    </row>
    <row r="6" spans="1:9" x14ac:dyDescent="0.45">
      <c r="A6" s="106">
        <v>1</v>
      </c>
      <c r="B6" s="107">
        <f>SMALL('[2]Data Residual'!$B$3:$B$81,1)</f>
        <v>-361.21899999999999</v>
      </c>
      <c r="C6" s="108">
        <f t="shared" ref="C6:C69" si="0">(B6-$H$3)/$H$4</f>
        <v>-2.0504842270784529</v>
      </c>
      <c r="D6" s="108">
        <f t="shared" ref="D6:D69" si="1">NORMSDIST(C6)</f>
        <v>2.0158600712703818E-2</v>
      </c>
      <c r="E6" s="108">
        <f>1/$H$2</f>
        <v>1.2658227848101266E-2</v>
      </c>
      <c r="F6" s="108">
        <f>0/$H$2</f>
        <v>0</v>
      </c>
      <c r="G6" s="108">
        <f t="shared" ref="G6:G69" si="2">ABS(E6-D6)</f>
        <v>7.5003728646025527E-3</v>
      </c>
      <c r="H6" s="108">
        <f t="shared" ref="H6:H69" si="3">ABS(F6-D6)</f>
        <v>2.0158600712703818E-2</v>
      </c>
      <c r="I6" s="108">
        <f t="shared" ref="I6:I69" si="4">MAX(G6,H6)</f>
        <v>2.0158600712703818E-2</v>
      </c>
    </row>
    <row r="7" spans="1:9" x14ac:dyDescent="0.45">
      <c r="A7" s="109">
        <v>2</v>
      </c>
      <c r="B7" s="110">
        <f>SMALL('[2]Data Residual'!$B$3:$B$81,2)</f>
        <v>-352.60899999999998</v>
      </c>
      <c r="C7" s="111">
        <f t="shared" si="0"/>
        <v>-2.0016314816499161</v>
      </c>
      <c r="D7" s="111">
        <f t="shared" si="1"/>
        <v>2.2662190269357362E-2</v>
      </c>
      <c r="E7" s="111">
        <f>2/$H$2</f>
        <v>2.5316455696202531E-2</v>
      </c>
      <c r="F7" s="111">
        <f>1/$H$2</f>
        <v>1.2658227848101266E-2</v>
      </c>
      <c r="G7" s="111">
        <f t="shared" si="2"/>
        <v>2.6542654268451697E-3</v>
      </c>
      <c r="H7" s="111">
        <f t="shared" si="3"/>
        <v>1.0003962421256096E-2</v>
      </c>
      <c r="I7" s="111">
        <f t="shared" si="4"/>
        <v>1.0003962421256096E-2</v>
      </c>
    </row>
    <row r="8" spans="1:9" x14ac:dyDescent="0.45">
      <c r="A8" s="106">
        <v>3</v>
      </c>
      <c r="B8" s="107">
        <f>SMALL('[2]Data Residual'!$B$3:$B$81,3)</f>
        <v>-345.88499999999999</v>
      </c>
      <c r="C8" s="108">
        <f t="shared" si="0"/>
        <v>-1.9634798137914402</v>
      </c>
      <c r="D8" s="108">
        <f t="shared" si="1"/>
        <v>2.4795223892594868E-2</v>
      </c>
      <c r="E8" s="108">
        <f>3/$H$2</f>
        <v>3.7974683544303799E-2</v>
      </c>
      <c r="F8" s="108">
        <f>2/$H$2</f>
        <v>2.5316455696202531E-2</v>
      </c>
      <c r="G8" s="108">
        <f t="shared" si="2"/>
        <v>1.3179459651708931E-2</v>
      </c>
      <c r="H8" s="108">
        <f t="shared" si="3"/>
        <v>5.2123180360766352E-4</v>
      </c>
      <c r="I8" s="108">
        <f t="shared" si="4"/>
        <v>1.3179459651708931E-2</v>
      </c>
    </row>
    <row r="9" spans="1:9" x14ac:dyDescent="0.45">
      <c r="A9" s="109">
        <v>4</v>
      </c>
      <c r="B9" s="110">
        <f>SMALL('[2]Data Residual'!$B$3:$B$81,4)</f>
        <v>-340.54700000000003</v>
      </c>
      <c r="C9" s="111">
        <f t="shared" si="0"/>
        <v>-1.9331922464165825</v>
      </c>
      <c r="D9" s="111">
        <f t="shared" si="1"/>
        <v>2.6606259782659628E-2</v>
      </c>
      <c r="E9" s="111">
        <f>4/$H$2</f>
        <v>5.0632911392405063E-2</v>
      </c>
      <c r="F9" s="111">
        <f>3/$H$2</f>
        <v>3.7974683544303799E-2</v>
      </c>
      <c r="G9" s="111">
        <f t="shared" si="2"/>
        <v>2.4026651609745434E-2</v>
      </c>
      <c r="H9" s="111">
        <f t="shared" si="3"/>
        <v>1.136842376164417E-2</v>
      </c>
      <c r="I9" s="111">
        <f t="shared" si="4"/>
        <v>2.4026651609745434E-2</v>
      </c>
    </row>
    <row r="10" spans="1:9" x14ac:dyDescent="0.45">
      <c r="A10" s="106">
        <v>5</v>
      </c>
      <c r="B10" s="107">
        <f>SMALL('[2]Data Residual'!$B$3:$B$81,5)</f>
        <v>-339.04399999999998</v>
      </c>
      <c r="C10" s="108">
        <f t="shared" si="0"/>
        <v>-1.9246642932947366</v>
      </c>
      <c r="D10" s="108">
        <f t="shared" si="1"/>
        <v>2.713568516050394E-2</v>
      </c>
      <c r="E10" s="108">
        <f>5/$H$2</f>
        <v>6.3291139240506333E-2</v>
      </c>
      <c r="F10" s="108">
        <f>4/$H$2</f>
        <v>5.0632911392405063E-2</v>
      </c>
      <c r="G10" s="108">
        <f t="shared" si="2"/>
        <v>3.6155454080002397E-2</v>
      </c>
      <c r="H10" s="108">
        <f t="shared" si="3"/>
        <v>2.3497226231901123E-2</v>
      </c>
      <c r="I10" s="108">
        <f t="shared" si="4"/>
        <v>3.6155454080002397E-2</v>
      </c>
    </row>
    <row r="11" spans="1:9" x14ac:dyDescent="0.45">
      <c r="A11" s="109">
        <v>6</v>
      </c>
      <c r="B11" s="110">
        <f>SMALL('[2]Data Residual'!$B$3:$B$81,6)</f>
        <v>-296.55099999999999</v>
      </c>
      <c r="C11" s="111">
        <f t="shared" si="0"/>
        <v>-1.6835609586263514</v>
      </c>
      <c r="D11" s="111">
        <f t="shared" si="1"/>
        <v>4.6133274600889271E-2</v>
      </c>
      <c r="E11" s="111">
        <f>6/$H$2</f>
        <v>7.5949367088607597E-2</v>
      </c>
      <c r="F11" s="111">
        <f>5/$H$2</f>
        <v>6.3291139240506333E-2</v>
      </c>
      <c r="G11" s="111">
        <f t="shared" si="2"/>
        <v>2.9816092487718326E-2</v>
      </c>
      <c r="H11" s="111">
        <f t="shared" si="3"/>
        <v>1.7157864639617063E-2</v>
      </c>
      <c r="I11" s="111">
        <f t="shared" si="4"/>
        <v>2.9816092487718326E-2</v>
      </c>
    </row>
    <row r="12" spans="1:9" x14ac:dyDescent="0.45">
      <c r="A12" s="106">
        <v>7</v>
      </c>
      <c r="B12" s="107">
        <f>SMALL('[2]Data Residual'!$B$3:$B$81,7)</f>
        <v>-283.38799999999998</v>
      </c>
      <c r="C12" s="108">
        <f t="shared" si="0"/>
        <v>-1.6088746998486712</v>
      </c>
      <c r="D12" s="108">
        <f t="shared" si="1"/>
        <v>5.3821871333265041E-2</v>
      </c>
      <c r="E12" s="108">
        <f>7/$H$2</f>
        <v>8.8607594936708861E-2</v>
      </c>
      <c r="F12" s="108">
        <f>6/$H$2</f>
        <v>7.5949367088607597E-2</v>
      </c>
      <c r="G12" s="108">
        <f t="shared" si="2"/>
        <v>3.478572360344382E-2</v>
      </c>
      <c r="H12" s="108">
        <f t="shared" si="3"/>
        <v>2.2127495755342556E-2</v>
      </c>
      <c r="I12" s="108">
        <f t="shared" si="4"/>
        <v>3.478572360344382E-2</v>
      </c>
    </row>
    <row r="13" spans="1:9" x14ac:dyDescent="0.45">
      <c r="A13" s="109">
        <v>8</v>
      </c>
      <c r="B13" s="110">
        <f>SMALL('[2]Data Residual'!$B$3:$B$81,8)</f>
        <v>-261.45800000000003</v>
      </c>
      <c r="C13" s="111">
        <f t="shared" si="0"/>
        <v>-1.4844448848373122</v>
      </c>
      <c r="D13" s="111">
        <f t="shared" si="1"/>
        <v>6.8845467294885207E-2</v>
      </c>
      <c r="E13" s="111">
        <f>8/$H$2</f>
        <v>0.10126582278481013</v>
      </c>
      <c r="F13" s="111">
        <f>7/$H$2</f>
        <v>8.8607594936708861E-2</v>
      </c>
      <c r="G13" s="111">
        <f t="shared" si="2"/>
        <v>3.2420355489924918E-2</v>
      </c>
      <c r="H13" s="111">
        <f t="shared" si="3"/>
        <v>1.9762127641823654E-2</v>
      </c>
      <c r="I13" s="111">
        <f t="shared" si="4"/>
        <v>3.2420355489924918E-2</v>
      </c>
    </row>
    <row r="14" spans="1:9" x14ac:dyDescent="0.45">
      <c r="A14" s="106">
        <v>9</v>
      </c>
      <c r="B14" s="107">
        <f>SMALL('[2]Data Residual'!$B$3:$B$81,9)</f>
        <v>-241.50399999999999</v>
      </c>
      <c r="C14" s="108">
        <f t="shared" si="0"/>
        <v>-1.3712268032715729</v>
      </c>
      <c r="D14" s="108">
        <f t="shared" si="1"/>
        <v>8.5152132610093259E-2</v>
      </c>
      <c r="E14" s="108">
        <f>9/$H$2</f>
        <v>0.11392405063291139</v>
      </c>
      <c r="F14" s="108">
        <f>8/$H$2</f>
        <v>0.10126582278481013</v>
      </c>
      <c r="G14" s="108">
        <f t="shared" si="2"/>
        <v>2.877191802281813E-2</v>
      </c>
      <c r="H14" s="108">
        <f t="shared" si="3"/>
        <v>1.6113690174716866E-2</v>
      </c>
      <c r="I14" s="108">
        <f t="shared" si="4"/>
        <v>2.877191802281813E-2</v>
      </c>
    </row>
    <row r="15" spans="1:9" x14ac:dyDescent="0.45">
      <c r="A15" s="109">
        <v>10</v>
      </c>
      <c r="B15" s="110">
        <f>SMALL('[2]Data Residual'!$B$3:$B$81,10)</f>
        <v>-225.268</v>
      </c>
      <c r="C15" s="111">
        <f t="shared" si="0"/>
        <v>-1.2791044833206184</v>
      </c>
      <c r="D15" s="111">
        <f t="shared" si="1"/>
        <v>0.10043013252808443</v>
      </c>
      <c r="E15" s="111">
        <f>10/$H$2</f>
        <v>0.12658227848101267</v>
      </c>
      <c r="F15" s="111">
        <f>9/$H$2</f>
        <v>0.11392405063291139</v>
      </c>
      <c r="G15" s="111">
        <f t="shared" si="2"/>
        <v>2.6152145952928238E-2</v>
      </c>
      <c r="H15" s="111">
        <f t="shared" si="3"/>
        <v>1.349391810482696E-2</v>
      </c>
      <c r="I15" s="111">
        <f t="shared" si="4"/>
        <v>2.6152145952928238E-2</v>
      </c>
    </row>
    <row r="16" spans="1:9" x14ac:dyDescent="0.45">
      <c r="A16" s="106">
        <v>11</v>
      </c>
      <c r="B16" s="107">
        <f>SMALL('[2]Data Residual'!$B$3:$B$81,11)</f>
        <v>-217.143</v>
      </c>
      <c r="C16" s="108">
        <f t="shared" si="0"/>
        <v>-1.233003605665931</v>
      </c>
      <c r="D16" s="108">
        <f t="shared" si="1"/>
        <v>0.10878720946862909</v>
      </c>
      <c r="E16" s="108">
        <f>11/$H$2</f>
        <v>0.13924050632911392</v>
      </c>
      <c r="F16" s="108">
        <f>10/$H$2</f>
        <v>0.12658227848101267</v>
      </c>
      <c r="G16" s="108">
        <f t="shared" si="2"/>
        <v>3.0453296860484827E-2</v>
      </c>
      <c r="H16" s="108">
        <f t="shared" si="3"/>
        <v>1.7795069012383577E-2</v>
      </c>
      <c r="I16" s="108">
        <f t="shared" si="4"/>
        <v>3.0453296860484827E-2</v>
      </c>
    </row>
    <row r="17" spans="1:9" x14ac:dyDescent="0.45">
      <c r="A17" s="109">
        <v>12</v>
      </c>
      <c r="B17" s="110">
        <f>SMALL('[2]Data Residual'!$B$3:$B$81,12)</f>
        <v>-207.78100000000001</v>
      </c>
      <c r="C17" s="111">
        <f t="shared" si="0"/>
        <v>-1.1798840466993854</v>
      </c>
      <c r="D17" s="111">
        <f t="shared" si="1"/>
        <v>0.11902316786779576</v>
      </c>
      <c r="E17" s="111">
        <f>12/$H$2</f>
        <v>0.15189873417721519</v>
      </c>
      <c r="F17" s="111">
        <f>11/$H$2</f>
        <v>0.13924050632911392</v>
      </c>
      <c r="G17" s="111">
        <f t="shared" si="2"/>
        <v>3.2875566309419429E-2</v>
      </c>
      <c r="H17" s="111">
        <f t="shared" si="3"/>
        <v>2.0217338461318152E-2</v>
      </c>
      <c r="I17" s="111">
        <f t="shared" si="4"/>
        <v>3.2875566309419429E-2</v>
      </c>
    </row>
    <row r="18" spans="1:9" x14ac:dyDescent="0.45">
      <c r="A18" s="106">
        <v>13</v>
      </c>
      <c r="B18" s="107">
        <f>SMALL('[2]Data Residual'!$B$3:$B$81,13)</f>
        <v>-197.08799999999999</v>
      </c>
      <c r="C18" s="108">
        <f t="shared" si="0"/>
        <v>-1.1192124547287303</v>
      </c>
      <c r="D18" s="108">
        <f t="shared" si="1"/>
        <v>0.13152475665089272</v>
      </c>
      <c r="E18" s="108">
        <f>13/$H$2</f>
        <v>0.16455696202531644</v>
      </c>
      <c r="F18" s="108">
        <f>12/$H$2</f>
        <v>0.15189873417721519</v>
      </c>
      <c r="G18" s="108">
        <f t="shared" si="2"/>
        <v>3.3032205374423723E-2</v>
      </c>
      <c r="H18" s="108">
        <f t="shared" si="3"/>
        <v>2.0373977526322473E-2</v>
      </c>
      <c r="I18" s="108">
        <f t="shared" si="4"/>
        <v>3.3032205374423723E-2</v>
      </c>
    </row>
    <row r="19" spans="1:9" x14ac:dyDescent="0.45">
      <c r="A19" s="109">
        <v>14</v>
      </c>
      <c r="B19" s="110">
        <f>SMALL('[2]Data Residual'!$B$3:$B$81,14)</f>
        <v>-191.309</v>
      </c>
      <c r="C19" s="111">
        <f t="shared" si="0"/>
        <v>-1.0864226735636302</v>
      </c>
      <c r="D19" s="111">
        <f t="shared" si="1"/>
        <v>0.1386460173764347</v>
      </c>
      <c r="E19" s="111">
        <f>14/$H$2</f>
        <v>0.17721518987341772</v>
      </c>
      <c r="F19" s="111">
        <f>13/$H$2</f>
        <v>0.16455696202531644</v>
      </c>
      <c r="G19" s="111">
        <f t="shared" si="2"/>
        <v>3.8569172496983023E-2</v>
      </c>
      <c r="H19" s="111">
        <f t="shared" si="3"/>
        <v>2.5910944648881745E-2</v>
      </c>
      <c r="I19" s="111">
        <f t="shared" si="4"/>
        <v>3.8569172496983023E-2</v>
      </c>
    </row>
    <row r="20" spans="1:9" x14ac:dyDescent="0.45">
      <c r="A20" s="106">
        <v>15</v>
      </c>
      <c r="B20" s="107">
        <f>SMALL('[2]Data Residual'!$B$3:$B$81,15)</f>
        <v>-185.28299999999999</v>
      </c>
      <c r="C20" s="108">
        <f t="shared" si="0"/>
        <v>-1.0522314257178276</v>
      </c>
      <c r="D20" s="108">
        <f t="shared" si="1"/>
        <v>0.14634669234863318</v>
      </c>
      <c r="E20" s="108">
        <f>15/$H$2</f>
        <v>0.189873417721519</v>
      </c>
      <c r="F20" s="108">
        <f>14/$H$2</f>
        <v>0.17721518987341772</v>
      </c>
      <c r="G20" s="108">
        <f t="shared" si="2"/>
        <v>4.3526725372885822E-2</v>
      </c>
      <c r="H20" s="108">
        <f t="shared" si="3"/>
        <v>3.0868497524784544E-2</v>
      </c>
      <c r="I20" s="108">
        <f t="shared" si="4"/>
        <v>4.3526725372885822E-2</v>
      </c>
    </row>
    <row r="21" spans="1:9" x14ac:dyDescent="0.45">
      <c r="A21" s="109">
        <v>16</v>
      </c>
      <c r="B21" s="110">
        <f>SMALL('[2]Data Residual'!$B$3:$B$81,16)</f>
        <v>-176.65700000000001</v>
      </c>
      <c r="C21" s="111">
        <f t="shared" si="0"/>
        <v>-1.0032878970225252</v>
      </c>
      <c r="D21" s="111">
        <f t="shared" si="1"/>
        <v>0.15786098698846598</v>
      </c>
      <c r="E21" s="111">
        <f>16/$H$2</f>
        <v>0.20253164556962025</v>
      </c>
      <c r="F21" s="111">
        <f>15/$H$2</f>
        <v>0.189873417721519</v>
      </c>
      <c r="G21" s="111">
        <f t="shared" si="2"/>
        <v>4.4670658581154266E-2</v>
      </c>
      <c r="H21" s="111">
        <f t="shared" si="3"/>
        <v>3.2012430733053016E-2</v>
      </c>
      <c r="I21" s="111">
        <f t="shared" si="4"/>
        <v>4.4670658581154266E-2</v>
      </c>
    </row>
    <row r="22" spans="1:9" x14ac:dyDescent="0.45">
      <c r="A22" s="106">
        <v>17</v>
      </c>
      <c r="B22" s="107">
        <f>SMALL('[2]Data Residual'!$B$3:$B$81,17)</f>
        <v>-165.63800000000001</v>
      </c>
      <c r="C22" s="108">
        <f t="shared" si="0"/>
        <v>-0.94076659599150969</v>
      </c>
      <c r="D22" s="108">
        <f t="shared" si="1"/>
        <v>0.17341224131317232</v>
      </c>
      <c r="E22" s="108">
        <f>17/$H$2</f>
        <v>0.21518987341772153</v>
      </c>
      <c r="F22" s="108">
        <f>16/$H$2</f>
        <v>0.20253164556962025</v>
      </c>
      <c r="G22" s="108">
        <f t="shared" si="2"/>
        <v>4.1777632104549212E-2</v>
      </c>
      <c r="H22" s="108">
        <f t="shared" si="3"/>
        <v>2.9119404256447934E-2</v>
      </c>
      <c r="I22" s="108">
        <f t="shared" si="4"/>
        <v>4.1777632104549212E-2</v>
      </c>
    </row>
    <row r="23" spans="1:9" x14ac:dyDescent="0.45">
      <c r="A23" s="109">
        <v>18</v>
      </c>
      <c r="B23" s="110">
        <f>SMALL('[2]Data Residual'!$B$3:$B$81,18)</f>
        <v>-147.511</v>
      </c>
      <c r="C23" s="111">
        <f t="shared" si="0"/>
        <v>-0.83791482869963041</v>
      </c>
      <c r="D23" s="111">
        <f t="shared" si="1"/>
        <v>0.2010392699494252</v>
      </c>
      <c r="E23" s="111">
        <f>18/$H$2</f>
        <v>0.22784810126582278</v>
      </c>
      <c r="F23" s="111">
        <f>17/$H$2</f>
        <v>0.21518987341772153</v>
      </c>
      <c r="G23" s="111">
        <f t="shared" si="2"/>
        <v>2.680883131639758E-2</v>
      </c>
      <c r="H23" s="111">
        <f t="shared" si="3"/>
        <v>1.415060346829633E-2</v>
      </c>
      <c r="I23" s="111">
        <f t="shared" si="4"/>
        <v>2.680883131639758E-2</v>
      </c>
    </row>
    <row r="24" spans="1:9" x14ac:dyDescent="0.45">
      <c r="A24" s="106">
        <v>19</v>
      </c>
      <c r="B24" s="107">
        <f>SMALL('[2]Data Residual'!$B$3:$B$81,19)</f>
        <v>-144.161</v>
      </c>
      <c r="C24" s="108">
        <f t="shared" si="0"/>
        <v>-0.81890708222046704</v>
      </c>
      <c r="D24" s="108">
        <f t="shared" si="1"/>
        <v>0.20641971446101037</v>
      </c>
      <c r="E24" s="108">
        <f>19/$H$2</f>
        <v>0.24050632911392406</v>
      </c>
      <c r="F24" s="108">
        <f>18/$H$2</f>
        <v>0.22784810126582278</v>
      </c>
      <c r="G24" s="108">
        <f t="shared" si="2"/>
        <v>3.4086614652913683E-2</v>
      </c>
      <c r="H24" s="108">
        <f t="shared" si="3"/>
        <v>2.1428386804812405E-2</v>
      </c>
      <c r="I24" s="108">
        <f t="shared" si="4"/>
        <v>3.4086614652913683E-2</v>
      </c>
    </row>
    <row r="25" spans="1:9" x14ac:dyDescent="0.45">
      <c r="A25" s="109">
        <v>20</v>
      </c>
      <c r="B25" s="110">
        <f>SMALL('[2]Data Residual'!$B$3:$B$81,20)</f>
        <v>-137.16499999999999</v>
      </c>
      <c r="C25" s="111">
        <f t="shared" si="0"/>
        <v>-0.77921209882696629</v>
      </c>
      <c r="D25" s="111">
        <f t="shared" si="1"/>
        <v>0.21792739210796075</v>
      </c>
      <c r="E25" s="111">
        <f>20/$H$2</f>
        <v>0.25316455696202533</v>
      </c>
      <c r="F25" s="111">
        <f>19/$H$2</f>
        <v>0.24050632911392406</v>
      </c>
      <c r="G25" s="111">
        <f t="shared" si="2"/>
        <v>3.5237164854064584E-2</v>
      </c>
      <c r="H25" s="111">
        <f t="shared" si="3"/>
        <v>2.2578937005963307E-2</v>
      </c>
      <c r="I25" s="111">
        <f t="shared" si="4"/>
        <v>3.5237164854064584E-2</v>
      </c>
    </row>
    <row r="26" spans="1:9" x14ac:dyDescent="0.45">
      <c r="A26" s="106">
        <v>21</v>
      </c>
      <c r="B26" s="107">
        <f>SMALL('[2]Data Residual'!$B$3:$B$81,21)</f>
        <v>-122.423</v>
      </c>
      <c r="C26" s="108">
        <f t="shared" si="0"/>
        <v>-0.69556666641030152</v>
      </c>
      <c r="D26" s="108">
        <f t="shared" si="1"/>
        <v>0.24335012376526405</v>
      </c>
      <c r="E26" s="108">
        <f>21/$H$2</f>
        <v>0.26582278481012656</v>
      </c>
      <c r="F26" s="108">
        <f>20/$H$2</f>
        <v>0.25316455696202533</v>
      </c>
      <c r="G26" s="108">
        <f t="shared" si="2"/>
        <v>2.2472661044862507E-2</v>
      </c>
      <c r="H26" s="108">
        <f t="shared" si="3"/>
        <v>9.8144331967612852E-3</v>
      </c>
      <c r="I26" s="108">
        <f t="shared" si="4"/>
        <v>2.2472661044862507E-2</v>
      </c>
    </row>
    <row r="27" spans="1:9" x14ac:dyDescent="0.45">
      <c r="A27" s="109">
        <v>22</v>
      </c>
      <c r="B27" s="110">
        <f>SMALL('[2]Data Residual'!$B$3:$B$81,22)</f>
        <v>-114.85299999999999</v>
      </c>
      <c r="C27" s="111">
        <f t="shared" si="0"/>
        <v>-0.652614833321565</v>
      </c>
      <c r="D27" s="111">
        <f t="shared" si="1"/>
        <v>0.25700231016232217</v>
      </c>
      <c r="E27" s="111">
        <f>22/$H$2</f>
        <v>0.27848101265822783</v>
      </c>
      <c r="F27" s="111">
        <f>21/$H$2</f>
        <v>0.26582278481012656</v>
      </c>
      <c r="G27" s="111">
        <f t="shared" si="2"/>
        <v>2.1478702495905666E-2</v>
      </c>
      <c r="H27" s="111">
        <f t="shared" si="3"/>
        <v>8.8204746478043883E-3</v>
      </c>
      <c r="I27" s="111">
        <f t="shared" si="4"/>
        <v>2.1478702495905666E-2</v>
      </c>
    </row>
    <row r="28" spans="1:9" x14ac:dyDescent="0.45">
      <c r="A28" s="106">
        <v>23</v>
      </c>
      <c r="B28" s="107">
        <f>SMALL('[2]Data Residual'!$B$3:$B$81,23)</f>
        <v>-110.491</v>
      </c>
      <c r="C28" s="108">
        <f t="shared" si="0"/>
        <v>-0.62786504521944242</v>
      </c>
      <c r="D28" s="108">
        <f t="shared" si="1"/>
        <v>0.2650461755993917</v>
      </c>
      <c r="E28" s="108">
        <f>23/$H$2</f>
        <v>0.29113924050632911</v>
      </c>
      <c r="F28" s="108">
        <f>22/$H$2</f>
        <v>0.27848101265822783</v>
      </c>
      <c r="G28" s="108">
        <f t="shared" si="2"/>
        <v>2.6093064906937413E-2</v>
      </c>
      <c r="H28" s="108">
        <f t="shared" si="3"/>
        <v>1.3434837058836135E-2</v>
      </c>
      <c r="I28" s="108">
        <f t="shared" si="4"/>
        <v>2.6093064906937413E-2</v>
      </c>
    </row>
    <row r="29" spans="1:9" x14ac:dyDescent="0.45">
      <c r="A29" s="109">
        <v>24</v>
      </c>
      <c r="B29" s="110">
        <f>SMALL('[2]Data Residual'!$B$3:$B$81,24)</f>
        <v>-98.206000000000003</v>
      </c>
      <c r="C29" s="111">
        <f t="shared" si="0"/>
        <v>-0.55816051820555512</v>
      </c>
      <c r="D29" s="111">
        <f t="shared" si="1"/>
        <v>0.28836738924361249</v>
      </c>
      <c r="E29" s="111">
        <f>24/$H$2</f>
        <v>0.30379746835443039</v>
      </c>
      <c r="F29" s="111">
        <f>23/$H$2</f>
        <v>0.29113924050632911</v>
      </c>
      <c r="G29" s="111">
        <f t="shared" si="2"/>
        <v>1.5430079110817896E-2</v>
      </c>
      <c r="H29" s="111">
        <f t="shared" si="3"/>
        <v>2.7718512627166181E-3</v>
      </c>
      <c r="I29" s="111">
        <f t="shared" si="4"/>
        <v>1.5430079110817896E-2</v>
      </c>
    </row>
    <row r="30" spans="1:9" x14ac:dyDescent="0.45">
      <c r="A30" s="106">
        <v>25</v>
      </c>
      <c r="B30" s="107">
        <f>SMALL('[2]Data Residual'!$B$3:$B$81,25)</f>
        <v>-89.302999999999997</v>
      </c>
      <c r="C30" s="108">
        <f t="shared" si="0"/>
        <v>-0.50764530420436349</v>
      </c>
      <c r="D30" s="108">
        <f t="shared" si="1"/>
        <v>0.30585105641422378</v>
      </c>
      <c r="E30" s="108">
        <f>25/$H$2</f>
        <v>0.31645569620253167</v>
      </c>
      <c r="F30" s="108">
        <f>24/$H$2</f>
        <v>0.30379746835443039</v>
      </c>
      <c r="G30" s="108">
        <f t="shared" si="2"/>
        <v>1.060463978830789E-2</v>
      </c>
      <c r="H30" s="108">
        <f t="shared" si="3"/>
        <v>2.0535880597933875E-3</v>
      </c>
      <c r="I30" s="108">
        <f t="shared" si="4"/>
        <v>1.060463978830789E-2</v>
      </c>
    </row>
    <row r="31" spans="1:9" x14ac:dyDescent="0.45">
      <c r="A31" s="109">
        <v>26</v>
      </c>
      <c r="B31" s="110">
        <f>SMALL('[2]Data Residual'!$B$3:$B$81,26)</f>
        <v>-80.757999999999996</v>
      </c>
      <c r="C31" s="111">
        <f t="shared" si="0"/>
        <v>-0.45916136579706457</v>
      </c>
      <c r="D31" s="111">
        <f t="shared" si="1"/>
        <v>0.32305914595002494</v>
      </c>
      <c r="E31" s="111">
        <f>26/$H$2</f>
        <v>0.32911392405063289</v>
      </c>
      <c r="F31" s="111">
        <f>25/$H$2</f>
        <v>0.31645569620253167</v>
      </c>
      <c r="G31" s="111">
        <f t="shared" si="2"/>
        <v>6.0547781006079493E-3</v>
      </c>
      <c r="H31" s="111">
        <f t="shared" si="3"/>
        <v>6.603449747493273E-3</v>
      </c>
      <c r="I31" s="111">
        <f t="shared" si="4"/>
        <v>6.603449747493273E-3</v>
      </c>
    </row>
    <row r="32" spans="1:9" x14ac:dyDescent="0.45">
      <c r="A32" s="106">
        <v>27</v>
      </c>
      <c r="B32" s="107">
        <f>SMALL('[2]Data Residual'!$B$3:$B$81,27)</f>
        <v>-66.7</v>
      </c>
      <c r="C32" s="108">
        <f t="shared" si="0"/>
        <v>-0.37939691803465286</v>
      </c>
      <c r="D32" s="108">
        <f t="shared" si="1"/>
        <v>0.3521965694236367</v>
      </c>
      <c r="E32" s="108">
        <f>27/$H$2</f>
        <v>0.34177215189873417</v>
      </c>
      <c r="F32" s="108">
        <f>26/$H$2</f>
        <v>0.32911392405063289</v>
      </c>
      <c r="G32" s="108">
        <f t="shared" si="2"/>
        <v>1.0424417524902529E-2</v>
      </c>
      <c r="H32" s="108">
        <f t="shared" si="3"/>
        <v>2.3082645373003807E-2</v>
      </c>
      <c r="I32" s="108">
        <f t="shared" si="4"/>
        <v>2.3082645373003807E-2</v>
      </c>
    </row>
    <row r="33" spans="1:9" x14ac:dyDescent="0.45">
      <c r="A33" s="109">
        <v>28</v>
      </c>
      <c r="B33" s="110">
        <f>SMALL('[2]Data Residual'!$B$3:$B$81,28)</f>
        <v>-38.177</v>
      </c>
      <c r="C33" s="111">
        <f t="shared" si="0"/>
        <v>-0.21755872316146532</v>
      </c>
      <c r="D33" s="111">
        <f t="shared" si="1"/>
        <v>0.41388647411604995</v>
      </c>
      <c r="E33" s="111">
        <f>28/$H$2</f>
        <v>0.35443037974683544</v>
      </c>
      <c r="F33" s="111">
        <f>27/$H$2</f>
        <v>0.34177215189873417</v>
      </c>
      <c r="G33" s="111">
        <f t="shared" si="2"/>
        <v>5.9456094369214507E-2</v>
      </c>
      <c r="H33" s="111">
        <f t="shared" si="3"/>
        <v>7.2114322217315785E-2</v>
      </c>
      <c r="I33" s="111">
        <f t="shared" si="4"/>
        <v>7.2114322217315785E-2</v>
      </c>
    </row>
    <row r="34" spans="1:9" x14ac:dyDescent="0.45">
      <c r="A34" s="106">
        <v>29</v>
      </c>
      <c r="B34" s="107">
        <f>SMALL('[2]Data Residual'!$B$3:$B$81,29)</f>
        <v>-30.350999999999999</v>
      </c>
      <c r="C34" s="108">
        <f t="shared" si="0"/>
        <v>-0.17315435780447042</v>
      </c>
      <c r="D34" s="108">
        <f t="shared" si="1"/>
        <v>0.43126504941802712</v>
      </c>
      <c r="E34" s="108">
        <f>29/$H$2</f>
        <v>0.36708860759493672</v>
      </c>
      <c r="F34" s="108">
        <f>28/$H$2</f>
        <v>0.35443037974683544</v>
      </c>
      <c r="G34" s="108">
        <f t="shared" si="2"/>
        <v>6.4176441823090402E-2</v>
      </c>
      <c r="H34" s="108">
        <f t="shared" si="3"/>
        <v>7.683466967119168E-2</v>
      </c>
      <c r="I34" s="108">
        <f t="shared" si="4"/>
        <v>7.683466967119168E-2</v>
      </c>
    </row>
    <row r="35" spans="1:9" x14ac:dyDescent="0.45">
      <c r="A35" s="109">
        <v>30</v>
      </c>
      <c r="B35" s="110">
        <f>SMALL('[2]Data Residual'!$B$3:$B$81,30)</f>
        <v>-24.431000000000001</v>
      </c>
      <c r="C35" s="111">
        <f t="shared" si="0"/>
        <v>-0.13956454910099358</v>
      </c>
      <c r="D35" s="111">
        <f t="shared" si="1"/>
        <v>0.4445020260680741</v>
      </c>
      <c r="E35" s="111">
        <f>30/$H$2</f>
        <v>0.379746835443038</v>
      </c>
      <c r="F35" s="111">
        <f>29/$H$2</f>
        <v>0.36708860759493672</v>
      </c>
      <c r="G35" s="111">
        <f t="shared" si="2"/>
        <v>6.4755190625036096E-2</v>
      </c>
      <c r="H35" s="111">
        <f t="shared" si="3"/>
        <v>7.7413418473137374E-2</v>
      </c>
      <c r="I35" s="111">
        <f t="shared" si="4"/>
        <v>7.7413418473137374E-2</v>
      </c>
    </row>
    <row r="36" spans="1:9" x14ac:dyDescent="0.45">
      <c r="A36" s="106">
        <v>31</v>
      </c>
      <c r="B36" s="107">
        <f>SMALL('[2]Data Residual'!$B$3:$B$81,31)</f>
        <v>-15.356999999999999</v>
      </c>
      <c r="C36" s="108">
        <f t="shared" si="0"/>
        <v>-8.8079088936238711E-2</v>
      </c>
      <c r="D36" s="108">
        <f t="shared" si="1"/>
        <v>0.46490690819345271</v>
      </c>
      <c r="E36" s="108">
        <f>31/$H$2</f>
        <v>0.39240506329113922</v>
      </c>
      <c r="F36" s="108">
        <f>30/$H$2</f>
        <v>0.379746835443038</v>
      </c>
      <c r="G36" s="108">
        <f t="shared" si="2"/>
        <v>7.2501844902313484E-2</v>
      </c>
      <c r="H36" s="108">
        <f t="shared" si="3"/>
        <v>8.5160072750414706E-2</v>
      </c>
      <c r="I36" s="108">
        <f t="shared" si="4"/>
        <v>8.5160072750414706E-2</v>
      </c>
    </row>
    <row r="37" spans="1:9" x14ac:dyDescent="0.45">
      <c r="A37" s="109">
        <v>32</v>
      </c>
      <c r="B37" s="110">
        <f>SMALL('[2]Data Residual'!$B$3:$B$81,32)</f>
        <v>-14.964</v>
      </c>
      <c r="C37" s="111">
        <f t="shared" si="0"/>
        <v>-8.5849224946295058E-2</v>
      </c>
      <c r="D37" s="111">
        <f t="shared" si="1"/>
        <v>0.46579313751976625</v>
      </c>
      <c r="E37" s="111">
        <f>32/$H$2</f>
        <v>0.4050632911392405</v>
      </c>
      <c r="F37" s="111">
        <f>31/$H$2</f>
        <v>0.39240506329113922</v>
      </c>
      <c r="G37" s="111">
        <f t="shared" si="2"/>
        <v>6.0729846380525754E-2</v>
      </c>
      <c r="H37" s="111">
        <f t="shared" si="3"/>
        <v>7.3388074228627032E-2</v>
      </c>
      <c r="I37" s="111">
        <f t="shared" si="4"/>
        <v>7.3388074228627032E-2</v>
      </c>
    </row>
    <row r="38" spans="1:9" x14ac:dyDescent="0.45">
      <c r="A38" s="106">
        <v>33</v>
      </c>
      <c r="B38" s="107">
        <f>SMALL('[2]Data Residual'!$B$3:$B$81,33)</f>
        <v>-9.6920000000000002</v>
      </c>
      <c r="C38" s="108">
        <f t="shared" si="0"/>
        <v>-5.5936138546847439E-2</v>
      </c>
      <c r="D38" s="108">
        <f t="shared" si="1"/>
        <v>0.47769634074393258</v>
      </c>
      <c r="E38" s="108">
        <f>33/$H$2</f>
        <v>0.41772151898734178</v>
      </c>
      <c r="F38" s="108">
        <f>32/$H$2</f>
        <v>0.4050632911392405</v>
      </c>
      <c r="G38" s="108">
        <f t="shared" si="2"/>
        <v>5.9974821756590802E-2</v>
      </c>
      <c r="H38" s="108">
        <f t="shared" si="3"/>
        <v>7.2633049604692079E-2</v>
      </c>
      <c r="I38" s="108">
        <f t="shared" si="4"/>
        <v>7.2633049604692079E-2</v>
      </c>
    </row>
    <row r="39" spans="1:9" x14ac:dyDescent="0.45">
      <c r="A39" s="109">
        <v>34</v>
      </c>
      <c r="B39" s="110">
        <f>SMALL('[2]Data Residual'!$B$3:$B$81,34)</f>
        <v>-7.2370000000000001</v>
      </c>
      <c r="C39" s="111">
        <f t="shared" si="0"/>
        <v>-4.2006581052415733E-2</v>
      </c>
      <c r="D39" s="111">
        <f t="shared" si="1"/>
        <v>0.48324672591417467</v>
      </c>
      <c r="E39" s="111">
        <f>34/$H$2</f>
        <v>0.43037974683544306</v>
      </c>
      <c r="F39" s="111">
        <f>33/$H$2</f>
        <v>0.41772151898734178</v>
      </c>
      <c r="G39" s="111">
        <f t="shared" si="2"/>
        <v>5.2866979078731613E-2</v>
      </c>
      <c r="H39" s="111">
        <f t="shared" si="3"/>
        <v>6.5525206926832891E-2</v>
      </c>
      <c r="I39" s="111">
        <f t="shared" si="4"/>
        <v>6.5525206926832891E-2</v>
      </c>
    </row>
    <row r="40" spans="1:9" x14ac:dyDescent="0.45">
      <c r="A40" s="106">
        <v>35</v>
      </c>
      <c r="B40" s="107">
        <f>SMALL('[2]Data Residual'!$B$3:$B$81,35)</f>
        <v>-1.431</v>
      </c>
      <c r="C40" s="108">
        <f t="shared" si="0"/>
        <v>-9.0636031246477365E-3</v>
      </c>
      <c r="D40" s="108">
        <f t="shared" si="1"/>
        <v>0.49638419500660202</v>
      </c>
      <c r="E40" s="108">
        <f>35/$H$2</f>
        <v>0.44303797468354428</v>
      </c>
      <c r="F40" s="108">
        <f>34/$H$2</f>
        <v>0.43037974683544306</v>
      </c>
      <c r="G40" s="108">
        <f t="shared" si="2"/>
        <v>5.3346220323057747E-2</v>
      </c>
      <c r="H40" s="108">
        <f t="shared" si="3"/>
        <v>6.6004448171158969E-2</v>
      </c>
      <c r="I40" s="108">
        <f t="shared" si="4"/>
        <v>6.6004448171158969E-2</v>
      </c>
    </row>
    <row r="41" spans="1:9" x14ac:dyDescent="0.45">
      <c r="A41" s="109">
        <v>36</v>
      </c>
      <c r="B41" s="110">
        <f>SMALL('[2]Data Residual'!$B$3:$B$81,36)</f>
        <v>4.3780000000000001</v>
      </c>
      <c r="C41" s="111">
        <f t="shared" si="0"/>
        <v>2.3896396665638923E-2</v>
      </c>
      <c r="D41" s="111">
        <f t="shared" si="1"/>
        <v>0.509532375746097</v>
      </c>
      <c r="E41" s="111">
        <f>36/$H$2</f>
        <v>0.45569620253164556</v>
      </c>
      <c r="F41" s="111">
        <f>35/$H$2</f>
        <v>0.44303797468354428</v>
      </c>
      <c r="G41" s="111">
        <f t="shared" si="2"/>
        <v>5.3836173214451444E-2</v>
      </c>
      <c r="H41" s="111">
        <f t="shared" si="3"/>
        <v>6.6494401062552722E-2</v>
      </c>
      <c r="I41" s="111">
        <f t="shared" si="4"/>
        <v>6.6494401062552722E-2</v>
      </c>
    </row>
    <row r="42" spans="1:9" x14ac:dyDescent="0.45">
      <c r="A42" s="106">
        <v>37</v>
      </c>
      <c r="B42" s="107">
        <f>SMALL('[2]Data Residual'!$B$3:$B$81,37)</f>
        <v>4.7300000000000004</v>
      </c>
      <c r="C42" s="108">
        <f t="shared" si="0"/>
        <v>2.5893628534494305E-2</v>
      </c>
      <c r="D42" s="108">
        <f t="shared" si="1"/>
        <v>0.51032890898137628</v>
      </c>
      <c r="E42" s="108">
        <f>37/$H$2</f>
        <v>0.46835443037974683</v>
      </c>
      <c r="F42" s="108">
        <f>36/$H$2</f>
        <v>0.45569620253164556</v>
      </c>
      <c r="G42" s="108">
        <f t="shared" si="2"/>
        <v>4.197447860162945E-2</v>
      </c>
      <c r="H42" s="108">
        <f t="shared" si="3"/>
        <v>5.4632706449730728E-2</v>
      </c>
      <c r="I42" s="108">
        <f t="shared" si="4"/>
        <v>5.4632706449730728E-2</v>
      </c>
    </row>
    <row r="43" spans="1:9" x14ac:dyDescent="0.45">
      <c r="A43" s="109">
        <v>38</v>
      </c>
      <c r="B43" s="110">
        <f>SMALL('[2]Data Residual'!$B$3:$B$81,38)</f>
        <v>17.638000000000002</v>
      </c>
      <c r="C43" s="111">
        <f t="shared" si="0"/>
        <v>9.9133028998088749E-2</v>
      </c>
      <c r="D43" s="111">
        <f t="shared" si="1"/>
        <v>0.53948367605367031</v>
      </c>
      <c r="E43" s="111">
        <f>38/$H$2</f>
        <v>0.48101265822784811</v>
      </c>
      <c r="F43" s="111">
        <f>37/$H$2</f>
        <v>0.46835443037974683</v>
      </c>
      <c r="G43" s="111">
        <f t="shared" si="2"/>
        <v>5.8471017825822202E-2</v>
      </c>
      <c r="H43" s="111">
        <f t="shared" si="3"/>
        <v>7.112924567392348E-2</v>
      </c>
      <c r="I43" s="111">
        <f t="shared" si="4"/>
        <v>7.112924567392348E-2</v>
      </c>
    </row>
    <row r="44" spans="1:9" x14ac:dyDescent="0.45">
      <c r="A44" s="106">
        <v>39</v>
      </c>
      <c r="B44" s="107">
        <f>SMALL('[2]Data Residual'!$B$3:$B$81,39)</f>
        <v>19.687000000000001</v>
      </c>
      <c r="C44" s="108">
        <f t="shared" si="0"/>
        <v>0.11075896109832929</v>
      </c>
      <c r="D44" s="108">
        <f t="shared" si="1"/>
        <v>0.54409625532335437</v>
      </c>
      <c r="E44" s="108">
        <f>39/$H$2</f>
        <v>0.49367088607594939</v>
      </c>
      <c r="F44" s="108">
        <f>38/$H$2</f>
        <v>0.48101265822784811</v>
      </c>
      <c r="G44" s="108">
        <f t="shared" si="2"/>
        <v>5.0425369247404983E-2</v>
      </c>
      <c r="H44" s="108">
        <f t="shared" si="3"/>
        <v>6.3083597095506261E-2</v>
      </c>
      <c r="I44" s="108">
        <f t="shared" si="4"/>
        <v>6.3083597095506261E-2</v>
      </c>
    </row>
    <row r="45" spans="1:9" x14ac:dyDescent="0.45">
      <c r="A45" s="109">
        <v>40</v>
      </c>
      <c r="B45" s="110">
        <f>SMALL('[2]Data Residual'!$B$3:$B$81,40)</f>
        <v>19.689</v>
      </c>
      <c r="C45" s="111">
        <f t="shared" si="0"/>
        <v>0.11077030900667506</v>
      </c>
      <c r="D45" s="111">
        <f t="shared" si="1"/>
        <v>0.5441007547973713</v>
      </c>
      <c r="E45" s="111">
        <f>40/$H$2</f>
        <v>0.50632911392405067</v>
      </c>
      <c r="F45" s="111">
        <f>39/$H$2</f>
        <v>0.49367088607594939</v>
      </c>
      <c r="G45" s="111">
        <f t="shared" si="2"/>
        <v>3.7771640873320633E-2</v>
      </c>
      <c r="H45" s="111">
        <f t="shared" si="3"/>
        <v>5.0429868721421911E-2</v>
      </c>
      <c r="I45" s="111">
        <f t="shared" si="4"/>
        <v>5.0429868721421911E-2</v>
      </c>
    </row>
    <row r="46" spans="1:9" x14ac:dyDescent="0.45">
      <c r="A46" s="106">
        <v>41</v>
      </c>
      <c r="B46" s="107">
        <f>SMALL('[2]Data Residual'!$B$3:$B$81,41)</f>
        <v>23.741</v>
      </c>
      <c r="C46" s="108">
        <f t="shared" si="0"/>
        <v>0.13376117131520346</v>
      </c>
      <c r="D46" s="108">
        <f t="shared" si="1"/>
        <v>0.55320428399733745</v>
      </c>
      <c r="E46" s="108">
        <f>41/$H$2</f>
        <v>0.51898734177215189</v>
      </c>
      <c r="F46" s="108">
        <f>40/$H$2</f>
        <v>0.50632911392405067</v>
      </c>
      <c r="G46" s="108">
        <f t="shared" si="2"/>
        <v>3.4216942225185565E-2</v>
      </c>
      <c r="H46" s="108">
        <f t="shared" si="3"/>
        <v>4.6875170073286787E-2</v>
      </c>
      <c r="I46" s="108">
        <f t="shared" si="4"/>
        <v>4.6875170073286787E-2</v>
      </c>
    </row>
    <row r="47" spans="1:9" x14ac:dyDescent="0.45">
      <c r="A47" s="109">
        <v>42</v>
      </c>
      <c r="B47" s="110">
        <f>SMALL('[2]Data Residual'!$B$3:$B$81,42)</f>
        <v>25.375</v>
      </c>
      <c r="C47" s="111">
        <f t="shared" si="0"/>
        <v>0.14303241243369691</v>
      </c>
      <c r="D47" s="111">
        <f t="shared" si="1"/>
        <v>0.55686770852778122</v>
      </c>
      <c r="E47" s="111">
        <f>42/$H$2</f>
        <v>0.53164556962025311</v>
      </c>
      <c r="F47" s="111">
        <f>41/$H$2</f>
        <v>0.51898734177215189</v>
      </c>
      <c r="G47" s="111">
        <f t="shared" si="2"/>
        <v>2.5222138907528113E-2</v>
      </c>
      <c r="H47" s="111">
        <f t="shared" si="3"/>
        <v>3.7880366755629336E-2</v>
      </c>
      <c r="I47" s="111">
        <f t="shared" si="4"/>
        <v>3.7880366755629336E-2</v>
      </c>
    </row>
    <row r="48" spans="1:9" x14ac:dyDescent="0.45">
      <c r="A48" s="106">
        <v>43</v>
      </c>
      <c r="B48" s="107">
        <f>SMALL('[2]Data Residual'!$B$3:$B$81,43)</f>
        <v>27.547000000000001</v>
      </c>
      <c r="C48" s="108">
        <f t="shared" si="0"/>
        <v>0.15535624089720226</v>
      </c>
      <c r="D48" s="108">
        <f t="shared" si="1"/>
        <v>0.56172976002520669</v>
      </c>
      <c r="E48" s="108">
        <f>43/$H$2</f>
        <v>0.54430379746835444</v>
      </c>
      <c r="F48" s="108">
        <f>42/$H$2</f>
        <v>0.53164556962025311</v>
      </c>
      <c r="G48" s="108">
        <f t="shared" si="2"/>
        <v>1.7425962556852248E-2</v>
      </c>
      <c r="H48" s="108">
        <f t="shared" si="3"/>
        <v>3.0084190404953581E-2</v>
      </c>
      <c r="I48" s="108">
        <f t="shared" si="4"/>
        <v>3.0084190404953581E-2</v>
      </c>
    </row>
    <row r="49" spans="1:9" x14ac:dyDescent="0.45">
      <c r="A49" s="109">
        <v>44</v>
      </c>
      <c r="B49" s="110">
        <f>SMALL('[2]Data Residual'!$B$3:$B$81,44)</f>
        <v>38.146000000000001</v>
      </c>
      <c r="C49" s="111">
        <f t="shared" si="0"/>
        <v>0.21549448117560616</v>
      </c>
      <c r="D49" s="111">
        <f t="shared" si="1"/>
        <v>0.58530909280964671</v>
      </c>
      <c r="E49" s="111">
        <f>44/$H$2</f>
        <v>0.55696202531645567</v>
      </c>
      <c r="F49" s="111">
        <f>43/$H$2</f>
        <v>0.54430379746835444</v>
      </c>
      <c r="G49" s="111">
        <f t="shared" si="2"/>
        <v>2.8347067493191047E-2</v>
      </c>
      <c r="H49" s="111">
        <f t="shared" si="3"/>
        <v>4.1005295341292269E-2</v>
      </c>
      <c r="I49" s="111">
        <f t="shared" si="4"/>
        <v>4.1005295341292269E-2</v>
      </c>
    </row>
    <row r="50" spans="1:9" x14ac:dyDescent="0.45">
      <c r="A50" s="106">
        <v>45</v>
      </c>
      <c r="B50" s="107">
        <f>SMALL('[2]Data Residual'!$B$3:$B$81,45)</f>
        <v>44.115000000000002</v>
      </c>
      <c r="C50" s="108">
        <f t="shared" si="0"/>
        <v>0.24936231363355438</v>
      </c>
      <c r="D50" s="108">
        <f t="shared" si="1"/>
        <v>0.59845973305763911</v>
      </c>
      <c r="E50" s="108">
        <f>45/$H$2</f>
        <v>0.569620253164557</v>
      </c>
      <c r="F50" s="108">
        <f>44/$H$2</f>
        <v>0.55696202531645567</v>
      </c>
      <c r="G50" s="108">
        <f t="shared" si="2"/>
        <v>2.8839479893082109E-2</v>
      </c>
      <c r="H50" s="108">
        <f t="shared" si="3"/>
        <v>4.1497707741183443E-2</v>
      </c>
      <c r="I50" s="108">
        <f t="shared" si="4"/>
        <v>4.1497707741183443E-2</v>
      </c>
    </row>
    <row r="51" spans="1:9" x14ac:dyDescent="0.45">
      <c r="A51" s="109">
        <v>46</v>
      </c>
      <c r="B51" s="110">
        <f>SMALL('[2]Data Residual'!$B$3:$B$81,46)</f>
        <v>47.698999999999998</v>
      </c>
      <c r="C51" s="111">
        <f t="shared" si="0"/>
        <v>0.26969776538917278</v>
      </c>
      <c r="D51" s="111">
        <f t="shared" si="1"/>
        <v>0.60630361008640721</v>
      </c>
      <c r="E51" s="111">
        <f>46/$H$2</f>
        <v>0.58227848101265822</v>
      </c>
      <c r="F51" s="111">
        <f>45/$H$2</f>
        <v>0.569620253164557</v>
      </c>
      <c r="G51" s="111">
        <f t="shared" si="2"/>
        <v>2.4025129073748985E-2</v>
      </c>
      <c r="H51" s="111">
        <f t="shared" si="3"/>
        <v>3.6683356921850208E-2</v>
      </c>
      <c r="I51" s="111">
        <f t="shared" si="4"/>
        <v>3.6683356921850208E-2</v>
      </c>
    </row>
    <row r="52" spans="1:9" x14ac:dyDescent="0.45">
      <c r="A52" s="106">
        <v>47</v>
      </c>
      <c r="B52" s="107">
        <f>SMALL('[2]Data Residual'!$B$3:$B$81,47)</f>
        <v>51.64</v>
      </c>
      <c r="C52" s="108">
        <f t="shared" si="0"/>
        <v>0.29205881878451101</v>
      </c>
      <c r="D52" s="108">
        <f t="shared" si="1"/>
        <v>0.61487917377320178</v>
      </c>
      <c r="E52" s="108">
        <f>47/$H$2</f>
        <v>0.59493670886075944</v>
      </c>
      <c r="F52" s="108">
        <f>46/$H$2</f>
        <v>0.58227848101265822</v>
      </c>
      <c r="G52" s="108">
        <f t="shared" si="2"/>
        <v>1.9942464912442337E-2</v>
      </c>
      <c r="H52" s="108">
        <f t="shared" si="3"/>
        <v>3.2600692760543559E-2</v>
      </c>
      <c r="I52" s="108">
        <f t="shared" si="4"/>
        <v>3.2600692760543559E-2</v>
      </c>
    </row>
    <row r="53" spans="1:9" x14ac:dyDescent="0.45">
      <c r="A53" s="109">
        <v>48</v>
      </c>
      <c r="B53" s="110">
        <f>SMALL('[2]Data Residual'!$B$3:$B$81,48)</f>
        <v>53.985999999999997</v>
      </c>
      <c r="C53" s="111">
        <f t="shared" si="0"/>
        <v>0.30536991527409824</v>
      </c>
      <c r="D53" s="111">
        <f t="shared" si="1"/>
        <v>0.61995778384490019</v>
      </c>
      <c r="E53" s="111">
        <f>48/$H$2</f>
        <v>0.60759493670886078</v>
      </c>
      <c r="F53" s="111">
        <f>47/$H$2</f>
        <v>0.59493670886075944</v>
      </c>
      <c r="G53" s="111">
        <f t="shared" si="2"/>
        <v>1.2362847136039412E-2</v>
      </c>
      <c r="H53" s="111">
        <f t="shared" si="3"/>
        <v>2.5021074984140745E-2</v>
      </c>
      <c r="I53" s="111">
        <f t="shared" si="4"/>
        <v>2.5021074984140745E-2</v>
      </c>
    </row>
    <row r="54" spans="1:9" x14ac:dyDescent="0.45">
      <c r="A54" s="106">
        <v>49</v>
      </c>
      <c r="B54" s="107">
        <f>SMALL('[2]Data Residual'!$B$3:$B$81,49)</f>
        <v>60.389000000000003</v>
      </c>
      <c r="C54" s="108">
        <f t="shared" si="0"/>
        <v>0.3417002438430784</v>
      </c>
      <c r="D54" s="108">
        <f t="shared" si="1"/>
        <v>0.63371175570867633</v>
      </c>
      <c r="E54" s="108">
        <f>49/$H$2</f>
        <v>0.620253164556962</v>
      </c>
      <c r="F54" s="108">
        <f>48/$H$2</f>
        <v>0.60759493670886078</v>
      </c>
      <c r="G54" s="108">
        <f t="shared" si="2"/>
        <v>1.3458591151714328E-2</v>
      </c>
      <c r="H54" s="108">
        <f t="shared" si="3"/>
        <v>2.611681899981555E-2</v>
      </c>
      <c r="I54" s="108">
        <f t="shared" si="4"/>
        <v>2.611681899981555E-2</v>
      </c>
    </row>
    <row r="55" spans="1:9" x14ac:dyDescent="0.45">
      <c r="A55" s="109">
        <v>50</v>
      </c>
      <c r="B55" s="110">
        <f>SMALL('[2]Data Residual'!$B$3:$B$81,50)</f>
        <v>68.325000000000003</v>
      </c>
      <c r="C55" s="111">
        <f t="shared" si="0"/>
        <v>0.38672874415909059</v>
      </c>
      <c r="D55" s="111">
        <f t="shared" si="1"/>
        <v>0.65052148300358092</v>
      </c>
      <c r="E55" s="111">
        <f>50/$H$2</f>
        <v>0.63291139240506333</v>
      </c>
      <c r="F55" s="111">
        <f>49/$H$2</f>
        <v>0.620253164556962</v>
      </c>
      <c r="G55" s="111">
        <f t="shared" si="2"/>
        <v>1.7610090598517592E-2</v>
      </c>
      <c r="H55" s="111">
        <f t="shared" si="3"/>
        <v>3.0268318446618925E-2</v>
      </c>
      <c r="I55" s="111">
        <f t="shared" si="4"/>
        <v>3.0268318446618925E-2</v>
      </c>
    </row>
    <row r="56" spans="1:9" x14ac:dyDescent="0.45">
      <c r="A56" s="106">
        <v>51</v>
      </c>
      <c r="B56" s="107">
        <f>SMALL('[2]Data Residual'!$B$3:$B$81,51)</f>
        <v>69.228999999999999</v>
      </c>
      <c r="C56" s="108">
        <f t="shared" si="0"/>
        <v>0.39185799873137822</v>
      </c>
      <c r="D56" s="108">
        <f t="shared" si="1"/>
        <v>0.652418430879115</v>
      </c>
      <c r="E56" s="108">
        <f>51/$H$2</f>
        <v>0.64556962025316456</v>
      </c>
      <c r="F56" s="108">
        <f>50/$H$2</f>
        <v>0.63291139240506333</v>
      </c>
      <c r="G56" s="108">
        <f t="shared" si="2"/>
        <v>6.8488106259504411E-3</v>
      </c>
      <c r="H56" s="108">
        <f t="shared" si="3"/>
        <v>1.9507038474051663E-2</v>
      </c>
      <c r="I56" s="108">
        <f t="shared" si="4"/>
        <v>1.9507038474051663E-2</v>
      </c>
    </row>
    <row r="57" spans="1:9" x14ac:dyDescent="0.45">
      <c r="A57" s="109">
        <v>52</v>
      </c>
      <c r="B57" s="110">
        <f>SMALL('[2]Data Residual'!$B$3:$B$81,52)</f>
        <v>82.048000000000002</v>
      </c>
      <c r="C57" s="111">
        <f t="shared" si="0"/>
        <v>0.46459241727358597</v>
      </c>
      <c r="D57" s="111">
        <f t="shared" si="1"/>
        <v>0.67888831826893048</v>
      </c>
      <c r="E57" s="111">
        <f>52/$H$2</f>
        <v>0.65822784810126578</v>
      </c>
      <c r="F57" s="111">
        <f>51/$H$2</f>
        <v>0.64556962025316456</v>
      </c>
      <c r="G57" s="111">
        <f t="shared" si="2"/>
        <v>2.0660470167664702E-2</v>
      </c>
      <c r="H57" s="111">
        <f t="shared" si="3"/>
        <v>3.3318698015765924E-2</v>
      </c>
      <c r="I57" s="111">
        <f t="shared" si="4"/>
        <v>3.3318698015765924E-2</v>
      </c>
    </row>
    <row r="58" spans="1:9" x14ac:dyDescent="0.45">
      <c r="A58" s="106">
        <v>53</v>
      </c>
      <c r="B58" s="107">
        <f>SMALL('[2]Data Residual'!$B$3:$B$81,53)</f>
        <v>86.783000000000001</v>
      </c>
      <c r="C58" s="108">
        <f t="shared" si="0"/>
        <v>0.49145859028219457</v>
      </c>
      <c r="D58" s="108">
        <f t="shared" si="1"/>
        <v>0.6884489333099475</v>
      </c>
      <c r="E58" s="108">
        <f>53/$H$2</f>
        <v>0.67088607594936711</v>
      </c>
      <c r="F58" s="108">
        <f>52/$H$2</f>
        <v>0.65822784810126578</v>
      </c>
      <c r="G58" s="108">
        <f t="shared" si="2"/>
        <v>1.7562857360580386E-2</v>
      </c>
      <c r="H58" s="108">
        <f t="shared" si="3"/>
        <v>3.0221085208681719E-2</v>
      </c>
      <c r="I58" s="108">
        <f t="shared" si="4"/>
        <v>3.0221085208681719E-2</v>
      </c>
    </row>
    <row r="59" spans="1:9" x14ac:dyDescent="0.45">
      <c r="A59" s="109">
        <v>54</v>
      </c>
      <c r="B59" s="110">
        <f>SMALL('[2]Data Residual'!$B$3:$B$81,54)</f>
        <v>90.878</v>
      </c>
      <c r="C59" s="111">
        <f t="shared" si="0"/>
        <v>0.51469343262015699</v>
      </c>
      <c r="D59" s="111">
        <f t="shared" si="1"/>
        <v>0.69661636830969398</v>
      </c>
      <c r="E59" s="111">
        <f>54/$H$2</f>
        <v>0.68354430379746833</v>
      </c>
      <c r="F59" s="111">
        <f>53/$H$2</f>
        <v>0.67088607594936711</v>
      </c>
      <c r="G59" s="111">
        <f t="shared" si="2"/>
        <v>1.3072064512225645E-2</v>
      </c>
      <c r="H59" s="111">
        <f t="shared" si="3"/>
        <v>2.5730292360326867E-2</v>
      </c>
      <c r="I59" s="111">
        <f t="shared" si="4"/>
        <v>2.5730292360326867E-2</v>
      </c>
    </row>
    <row r="60" spans="1:9" x14ac:dyDescent="0.45">
      <c r="A60" s="106">
        <v>55</v>
      </c>
      <c r="B60" s="107">
        <f>SMALL('[2]Data Residual'!$B$3:$B$81,55)</f>
        <v>94.805000000000007</v>
      </c>
      <c r="C60" s="108">
        <f t="shared" si="0"/>
        <v>0.53697505065707485</v>
      </c>
      <c r="D60" s="108">
        <f t="shared" si="1"/>
        <v>0.70435757602351412</v>
      </c>
      <c r="E60" s="108">
        <f>55/$H$2</f>
        <v>0.69620253164556967</v>
      </c>
      <c r="F60" s="108">
        <f>54/$H$2</f>
        <v>0.68354430379746833</v>
      </c>
      <c r="G60" s="108">
        <f t="shared" si="2"/>
        <v>8.1550443779444537E-3</v>
      </c>
      <c r="H60" s="108">
        <f t="shared" si="3"/>
        <v>2.0813272226045787E-2</v>
      </c>
      <c r="I60" s="108">
        <f t="shared" si="4"/>
        <v>2.0813272226045787E-2</v>
      </c>
    </row>
    <row r="61" spans="1:9" x14ac:dyDescent="0.45">
      <c r="A61" s="109">
        <v>56</v>
      </c>
      <c r="B61" s="110">
        <f>SMALL('[2]Data Residual'!$B$3:$B$81,56)</f>
        <v>99.790999999999997</v>
      </c>
      <c r="C61" s="111">
        <f t="shared" si="0"/>
        <v>0.56526538616307742</v>
      </c>
      <c r="D61" s="111">
        <f t="shared" si="1"/>
        <v>0.71405336577758549</v>
      </c>
      <c r="E61" s="111">
        <f>56/$H$2</f>
        <v>0.70886075949367089</v>
      </c>
      <c r="F61" s="111">
        <f>55/$H$2</f>
        <v>0.69620253164556967</v>
      </c>
      <c r="G61" s="111">
        <f t="shared" si="2"/>
        <v>5.1926062839146025E-3</v>
      </c>
      <c r="H61" s="111">
        <f t="shared" si="3"/>
        <v>1.7850834132015825E-2</v>
      </c>
      <c r="I61" s="111">
        <f t="shared" si="4"/>
        <v>1.7850834132015825E-2</v>
      </c>
    </row>
    <row r="62" spans="1:9" x14ac:dyDescent="0.45">
      <c r="A62" s="106">
        <v>57</v>
      </c>
      <c r="B62" s="107">
        <f>SMALL('[2]Data Residual'!$B$3:$B$81,57)</f>
        <v>105.056</v>
      </c>
      <c r="C62" s="108">
        <f t="shared" si="0"/>
        <v>0.59513875488331491</v>
      </c>
      <c r="D62" s="108">
        <f t="shared" si="1"/>
        <v>0.72412463747234357</v>
      </c>
      <c r="E62" s="108">
        <f>57/$H$2</f>
        <v>0.72151898734177211</v>
      </c>
      <c r="F62" s="108">
        <f>56/$H$2</f>
        <v>0.70886075949367089</v>
      </c>
      <c r="G62" s="108">
        <f t="shared" si="2"/>
        <v>2.6056501305714574E-3</v>
      </c>
      <c r="H62" s="108">
        <f t="shared" si="3"/>
        <v>1.526387797867268E-2</v>
      </c>
      <c r="I62" s="108">
        <f t="shared" si="4"/>
        <v>1.526387797867268E-2</v>
      </c>
    </row>
    <row r="63" spans="1:9" x14ac:dyDescent="0.45">
      <c r="A63" s="109">
        <v>58</v>
      </c>
      <c r="B63" s="110">
        <f>SMALL('[2]Data Residual'!$B$3:$B$81,58)</f>
        <v>115.65</v>
      </c>
      <c r="C63" s="111">
        <f t="shared" si="0"/>
        <v>0.65524862539085438</v>
      </c>
      <c r="D63" s="111">
        <f t="shared" si="1"/>
        <v>0.74384615403300458</v>
      </c>
      <c r="E63" s="111">
        <f>58/$H$2</f>
        <v>0.73417721518987344</v>
      </c>
      <c r="F63" s="111">
        <f>57/$H$2</f>
        <v>0.72151898734177211</v>
      </c>
      <c r="G63" s="111">
        <f t="shared" si="2"/>
        <v>9.6689388431311363E-3</v>
      </c>
      <c r="H63" s="111">
        <f t="shared" si="3"/>
        <v>2.232716669123247E-2</v>
      </c>
      <c r="I63" s="111">
        <f t="shared" si="4"/>
        <v>2.232716669123247E-2</v>
      </c>
    </row>
    <row r="64" spans="1:9" x14ac:dyDescent="0.45">
      <c r="A64" s="106">
        <v>59</v>
      </c>
      <c r="B64" s="107">
        <f>SMALL('[2]Data Residual'!$B$3:$B$81,59)</f>
        <v>132.97300000000001</v>
      </c>
      <c r="C64" s="108">
        <f t="shared" si="0"/>
        <v>0.75353853352773437</v>
      </c>
      <c r="D64" s="108">
        <f t="shared" si="1"/>
        <v>0.77443681757601768</v>
      </c>
      <c r="E64" s="108">
        <f>59/$H$2</f>
        <v>0.74683544303797467</v>
      </c>
      <c r="F64" s="108">
        <f>58/$H$2</f>
        <v>0.73417721518987344</v>
      </c>
      <c r="G64" s="108">
        <f t="shared" si="2"/>
        <v>2.7601374538043011E-2</v>
      </c>
      <c r="H64" s="108">
        <f t="shared" si="3"/>
        <v>4.0259602386144233E-2</v>
      </c>
      <c r="I64" s="108">
        <f t="shared" si="4"/>
        <v>4.0259602386144233E-2</v>
      </c>
    </row>
    <row r="65" spans="1:9" x14ac:dyDescent="0.45">
      <c r="A65" s="109">
        <v>60</v>
      </c>
      <c r="B65" s="110">
        <f>SMALL('[2]Data Residual'!$B$3:$B$81,60)</f>
        <v>140.68100000000001</v>
      </c>
      <c r="C65" s="111">
        <f t="shared" si="0"/>
        <v>0.79727337229232886</v>
      </c>
      <c r="D65" s="111">
        <f t="shared" si="1"/>
        <v>0.78735385927118351</v>
      </c>
      <c r="E65" s="111">
        <f>60/$H$2</f>
        <v>0.759493670886076</v>
      </c>
      <c r="F65" s="111">
        <f>59/$H$2</f>
        <v>0.74683544303797467</v>
      </c>
      <c r="G65" s="111">
        <f t="shared" si="2"/>
        <v>2.7860188385107509E-2</v>
      </c>
      <c r="H65" s="111">
        <f t="shared" si="3"/>
        <v>4.0518416233208843E-2</v>
      </c>
      <c r="I65" s="111">
        <f t="shared" si="4"/>
        <v>4.0518416233208843E-2</v>
      </c>
    </row>
    <row r="66" spans="1:9" x14ac:dyDescent="0.45">
      <c r="A66" s="106">
        <v>61</v>
      </c>
      <c r="B66" s="107">
        <f>SMALL('[2]Data Residual'!$B$3:$B$81,61)</f>
        <v>142.721</v>
      </c>
      <c r="C66" s="108">
        <f t="shared" si="0"/>
        <v>0.80884823880501344</v>
      </c>
      <c r="D66" s="108">
        <f t="shared" si="1"/>
        <v>0.79069877741922201</v>
      </c>
      <c r="E66" s="108">
        <f>61/$H$2</f>
        <v>0.77215189873417722</v>
      </c>
      <c r="F66" s="108">
        <f>60/$H$2</f>
        <v>0.759493670886076</v>
      </c>
      <c r="G66" s="108">
        <f t="shared" si="2"/>
        <v>1.8546878685044788E-2</v>
      </c>
      <c r="H66" s="108">
        <f t="shared" si="3"/>
        <v>3.120510653314601E-2</v>
      </c>
      <c r="I66" s="108">
        <f t="shared" si="4"/>
        <v>3.120510653314601E-2</v>
      </c>
    </row>
    <row r="67" spans="1:9" x14ac:dyDescent="0.45">
      <c r="A67" s="109">
        <v>62</v>
      </c>
      <c r="B67" s="110">
        <f>SMALL('[2]Data Residual'!$B$3:$B$81,62)</f>
        <v>145.94800000000001</v>
      </c>
      <c r="C67" s="111">
        <f t="shared" si="0"/>
        <v>0.82715808892091214</v>
      </c>
      <c r="D67" s="111">
        <f t="shared" si="1"/>
        <v>0.79592626841362568</v>
      </c>
      <c r="E67" s="111">
        <f>62/$H$2</f>
        <v>0.78481012658227844</v>
      </c>
      <c r="F67" s="111">
        <f>61/$H$2</f>
        <v>0.77215189873417722</v>
      </c>
      <c r="G67" s="111">
        <f t="shared" si="2"/>
        <v>1.1116141831347237E-2</v>
      </c>
      <c r="H67" s="111">
        <f t="shared" si="3"/>
        <v>2.3774369679448459E-2</v>
      </c>
      <c r="I67" s="111">
        <f t="shared" si="4"/>
        <v>2.3774369679448459E-2</v>
      </c>
    </row>
    <row r="68" spans="1:9" x14ac:dyDescent="0.45">
      <c r="A68" s="106">
        <v>63</v>
      </c>
      <c r="B68" s="107">
        <f>SMALL('[2]Data Residual'!$B$3:$B$81,63)</f>
        <v>156.28200000000001</v>
      </c>
      <c r="C68" s="108">
        <f t="shared" si="0"/>
        <v>0.88579273134350156</v>
      </c>
      <c r="D68" s="108">
        <f t="shared" si="1"/>
        <v>0.81213538631015003</v>
      </c>
      <c r="E68" s="108">
        <f>63/$H$2</f>
        <v>0.79746835443037978</v>
      </c>
      <c r="F68" s="108">
        <f>62/$H$2</f>
        <v>0.78481012658227844</v>
      </c>
      <c r="G68" s="108">
        <f t="shared" si="2"/>
        <v>1.4667031879770254E-2</v>
      </c>
      <c r="H68" s="108">
        <f t="shared" si="3"/>
        <v>2.7325259727871587E-2</v>
      </c>
      <c r="I68" s="108">
        <f t="shared" si="4"/>
        <v>2.7325259727871587E-2</v>
      </c>
    </row>
    <row r="69" spans="1:9" x14ac:dyDescent="0.45">
      <c r="A69" s="109">
        <v>64</v>
      </c>
      <c r="B69" s="110">
        <f>SMALL('[2]Data Residual'!$B$3:$B$81,64)</f>
        <v>164.74100000000001</v>
      </c>
      <c r="C69" s="111">
        <f t="shared" si="0"/>
        <v>0.93378870969193251</v>
      </c>
      <c r="D69" s="111">
        <f t="shared" si="1"/>
        <v>0.82479355271324928</v>
      </c>
      <c r="E69" s="111">
        <f>64/$H$2</f>
        <v>0.810126582278481</v>
      </c>
      <c r="F69" s="111">
        <f>63/$H$2</f>
        <v>0.79746835443037978</v>
      </c>
      <c r="G69" s="111">
        <f t="shared" si="2"/>
        <v>1.4666970434768278E-2</v>
      </c>
      <c r="H69" s="111">
        <f t="shared" si="3"/>
        <v>2.7325198282869501E-2</v>
      </c>
      <c r="I69" s="111">
        <f t="shared" si="4"/>
        <v>2.7325198282869501E-2</v>
      </c>
    </row>
    <row r="70" spans="1:9" x14ac:dyDescent="0.45">
      <c r="A70" s="106">
        <v>65</v>
      </c>
      <c r="B70" s="107">
        <f>SMALL('[2]Data Residual'!$B$3:$B$81,65)</f>
        <v>166.79300000000001</v>
      </c>
      <c r="C70" s="108">
        <f t="shared" ref="C70:C84" si="5">(B70-$H$3)/$H$4</f>
        <v>0.94543166365469167</v>
      </c>
      <c r="D70" s="108">
        <f t="shared" ref="D70:D84" si="6">NORMSDIST(C70)</f>
        <v>0.82778072835842387</v>
      </c>
      <c r="E70" s="108">
        <f>65/$H$2</f>
        <v>0.82278481012658233</v>
      </c>
      <c r="F70" s="108">
        <f>64/$H$2</f>
        <v>0.810126582278481</v>
      </c>
      <c r="G70" s="108">
        <f t="shared" ref="G70:G84" si="7">ABS(E70-D70)</f>
        <v>4.9959182318415341E-3</v>
      </c>
      <c r="H70" s="108">
        <f t="shared" ref="H70:H84" si="8">ABS(F70-D70)</f>
        <v>1.7654146079942867E-2</v>
      </c>
      <c r="I70" s="108">
        <f t="shared" ref="I70:I84" si="9">MAX(G70,H70)</f>
        <v>1.7654146079942867E-2</v>
      </c>
    </row>
    <row r="71" spans="1:9" x14ac:dyDescent="0.45">
      <c r="A71" s="109">
        <v>66</v>
      </c>
      <c r="B71" s="110">
        <f>SMALL('[2]Data Residual'!$B$3:$B$81,66)</f>
        <v>178.08600000000001</v>
      </c>
      <c r="C71" s="111">
        <f t="shared" si="5"/>
        <v>1.0095076281290776</v>
      </c>
      <c r="D71" s="111">
        <f t="shared" si="6"/>
        <v>0.84363437742891567</v>
      </c>
      <c r="E71" s="111">
        <f>66/$H$2</f>
        <v>0.83544303797468356</v>
      </c>
      <c r="F71" s="111">
        <f>65/$H$2</f>
        <v>0.82278481012658233</v>
      </c>
      <c r="G71" s="111">
        <f t="shared" si="7"/>
        <v>8.1913394542321161E-3</v>
      </c>
      <c r="H71" s="111">
        <f t="shared" si="8"/>
        <v>2.0849567302333338E-2</v>
      </c>
      <c r="I71" s="111">
        <f t="shared" si="9"/>
        <v>2.0849567302333338E-2</v>
      </c>
    </row>
    <row r="72" spans="1:9" x14ac:dyDescent="0.45">
      <c r="A72" s="106">
        <v>67</v>
      </c>
      <c r="B72" s="107">
        <f>SMALL('[2]Data Residual'!$B$3:$B$81,67)</f>
        <v>189.815</v>
      </c>
      <c r="C72" s="108">
        <f t="shared" si="5"/>
        <v>1.0760574366228408</v>
      </c>
      <c r="D72" s="108">
        <f t="shared" si="6"/>
        <v>0.85904921513058052</v>
      </c>
      <c r="E72" s="108">
        <f>67/$H$2</f>
        <v>0.84810126582278478</v>
      </c>
      <c r="F72" s="108">
        <f>66/$H$2</f>
        <v>0.83544303797468356</v>
      </c>
      <c r="G72" s="108">
        <f t="shared" si="7"/>
        <v>1.0947949307795746E-2</v>
      </c>
      <c r="H72" s="108">
        <f t="shared" si="8"/>
        <v>2.3606177155896968E-2</v>
      </c>
      <c r="I72" s="108">
        <f t="shared" si="9"/>
        <v>2.3606177155896968E-2</v>
      </c>
    </row>
    <row r="73" spans="1:9" x14ac:dyDescent="0.45">
      <c r="A73" s="109">
        <v>68</v>
      </c>
      <c r="B73" s="110">
        <f>SMALL('[2]Data Residual'!$B$3:$B$81,68)</f>
        <v>192.02600000000001</v>
      </c>
      <c r="C73" s="111">
        <f t="shared" si="5"/>
        <v>1.0886025492990887</v>
      </c>
      <c r="D73" s="111">
        <f t="shared" si="6"/>
        <v>0.86183540394508973</v>
      </c>
      <c r="E73" s="111">
        <f>68/$H$2</f>
        <v>0.86075949367088611</v>
      </c>
      <c r="F73" s="111">
        <f>67/$H$2</f>
        <v>0.84810126582278478</v>
      </c>
      <c r="G73" s="111">
        <f t="shared" si="7"/>
        <v>1.0759102742036175E-3</v>
      </c>
      <c r="H73" s="111">
        <f t="shared" si="8"/>
        <v>1.3734138122304951E-2</v>
      </c>
      <c r="I73" s="111">
        <f t="shared" si="9"/>
        <v>1.3734138122304951E-2</v>
      </c>
    </row>
    <row r="74" spans="1:9" x14ac:dyDescent="0.45">
      <c r="A74" s="106">
        <v>69</v>
      </c>
      <c r="B74" s="107">
        <f>SMALL('[2]Data Residual'!$B$3:$B$81,69)</f>
        <v>195.82599999999999</v>
      </c>
      <c r="C74" s="108">
        <f t="shared" si="5"/>
        <v>1.1101635751560501</v>
      </c>
      <c r="D74" s="108">
        <f t="shared" si="6"/>
        <v>0.86653572716016047</v>
      </c>
      <c r="E74" s="108">
        <f>69/$H$2</f>
        <v>0.87341772151898733</v>
      </c>
      <c r="F74" s="108">
        <f>68/$H$2</f>
        <v>0.86075949367088611</v>
      </c>
      <c r="G74" s="108">
        <f t="shared" si="7"/>
        <v>6.8819943588268595E-3</v>
      </c>
      <c r="H74" s="108">
        <f t="shared" si="8"/>
        <v>5.7762334892743628E-3</v>
      </c>
      <c r="I74" s="108">
        <f t="shared" si="9"/>
        <v>6.8819943588268595E-3</v>
      </c>
    </row>
    <row r="75" spans="1:9" x14ac:dyDescent="0.45">
      <c r="A75" s="109">
        <v>70</v>
      </c>
      <c r="B75" s="110">
        <f>SMALL('[2]Data Residual'!$B$3:$B$81,70)</f>
        <v>220.143</v>
      </c>
      <c r="C75" s="111">
        <f t="shared" si="5"/>
        <v>1.2481371187780852</v>
      </c>
      <c r="D75" s="111">
        <f t="shared" si="6"/>
        <v>0.89400957651376955</v>
      </c>
      <c r="E75" s="111">
        <f>70/$H$2</f>
        <v>0.88607594936708856</v>
      </c>
      <c r="F75" s="111">
        <f>69/$H$2</f>
        <v>0.87341772151898733</v>
      </c>
      <c r="G75" s="111">
        <f t="shared" si="7"/>
        <v>7.9336271466809993E-3</v>
      </c>
      <c r="H75" s="111">
        <f t="shared" si="8"/>
        <v>2.0591854994782222E-2</v>
      </c>
      <c r="I75" s="111">
        <f t="shared" si="9"/>
        <v>2.0591854994782222E-2</v>
      </c>
    </row>
    <row r="76" spans="1:9" x14ac:dyDescent="0.45">
      <c r="A76" s="106">
        <v>71</v>
      </c>
      <c r="B76" s="107">
        <f>SMALL('[2]Data Residual'!$B$3:$B$81,71)</f>
        <v>222.023</v>
      </c>
      <c r="C76" s="108">
        <f t="shared" si="5"/>
        <v>1.2588041526231082</v>
      </c>
      <c r="D76" s="108">
        <f t="shared" si="6"/>
        <v>0.89594945996393627</v>
      </c>
      <c r="E76" s="108">
        <f>71/$H$2</f>
        <v>0.89873417721518989</v>
      </c>
      <c r="F76" s="108">
        <f>70/$H$2</f>
        <v>0.88607594936708856</v>
      </c>
      <c r="G76" s="108">
        <f t="shared" si="7"/>
        <v>2.7847172512536211E-3</v>
      </c>
      <c r="H76" s="108">
        <f t="shared" si="8"/>
        <v>9.8735105968477122E-3</v>
      </c>
      <c r="I76" s="108">
        <f t="shared" si="9"/>
        <v>9.8735105968477122E-3</v>
      </c>
    </row>
    <row r="77" spans="1:9" x14ac:dyDescent="0.45">
      <c r="A77" s="109">
        <v>72</v>
      </c>
      <c r="B77" s="110">
        <f>SMALL('[2]Data Residual'!$B$3:$B$81,72)</f>
        <v>222.65700000000001</v>
      </c>
      <c r="C77" s="111">
        <f t="shared" si="5"/>
        <v>1.2624014395687171</v>
      </c>
      <c r="D77" s="111">
        <f t="shared" si="6"/>
        <v>0.89659781425589025</v>
      </c>
      <c r="E77" s="111">
        <f>72/$H$2</f>
        <v>0.91139240506329111</v>
      </c>
      <c r="F77" s="111">
        <f>71/$H$2</f>
        <v>0.89873417721518989</v>
      </c>
      <c r="G77" s="111">
        <f t="shared" si="7"/>
        <v>1.4794590807400865E-2</v>
      </c>
      <c r="H77" s="111">
        <f t="shared" si="8"/>
        <v>2.1363629592996425E-3</v>
      </c>
      <c r="I77" s="111">
        <f t="shared" si="9"/>
        <v>1.4794590807400865E-2</v>
      </c>
    </row>
    <row r="78" spans="1:9" x14ac:dyDescent="0.45">
      <c r="A78" s="106">
        <v>73</v>
      </c>
      <c r="B78" s="107">
        <f>SMALL('[2]Data Residual'!$B$3:$B$81,73)</f>
        <v>243.08799999999999</v>
      </c>
      <c r="C78" s="108">
        <f t="shared" si="5"/>
        <v>1.3783259972749222</v>
      </c>
      <c r="D78" s="108">
        <f t="shared" si="6"/>
        <v>0.91594866995381852</v>
      </c>
      <c r="E78" s="108">
        <f>73/$H$2</f>
        <v>0.92405063291139244</v>
      </c>
      <c r="F78" s="108">
        <f>72/$H$2</f>
        <v>0.91139240506329111</v>
      </c>
      <c r="G78" s="108">
        <f t="shared" si="7"/>
        <v>8.1019629575739271E-3</v>
      </c>
      <c r="H78" s="108">
        <f t="shared" si="8"/>
        <v>4.5562648905274061E-3</v>
      </c>
      <c r="I78" s="108">
        <f t="shared" si="9"/>
        <v>8.1019629575739271E-3</v>
      </c>
    </row>
    <row r="79" spans="1:9" x14ac:dyDescent="0.45">
      <c r="A79" s="109">
        <v>74</v>
      </c>
      <c r="B79" s="110">
        <f>SMALL('[2]Data Residual'!$B$3:$B$81,74)</f>
        <v>254.82900000000001</v>
      </c>
      <c r="C79" s="111">
        <f t="shared" si="5"/>
        <v>1.4449438932187604</v>
      </c>
      <c r="D79" s="111">
        <f t="shared" si="6"/>
        <v>0.92576317703723698</v>
      </c>
      <c r="E79" s="111">
        <f>74/$H$2</f>
        <v>0.93670886075949367</v>
      </c>
      <c r="F79" s="111">
        <f>73/$H$2</f>
        <v>0.92405063291139244</v>
      </c>
      <c r="G79" s="111">
        <f t="shared" si="7"/>
        <v>1.0945683722256683E-2</v>
      </c>
      <c r="H79" s="111">
        <f t="shared" si="8"/>
        <v>1.7125441258445395E-3</v>
      </c>
      <c r="I79" s="111">
        <f t="shared" si="9"/>
        <v>1.0945683722256683E-2</v>
      </c>
    </row>
    <row r="80" spans="1:9" x14ac:dyDescent="0.45">
      <c r="A80" s="106">
        <v>75</v>
      </c>
      <c r="B80" s="107">
        <f>SMALL('[2]Data Residual'!$B$3:$B$81,75)</f>
        <v>260.64100000000002</v>
      </c>
      <c r="C80" s="108">
        <f t="shared" si="5"/>
        <v>1.477920914871566</v>
      </c>
      <c r="D80" s="108">
        <f t="shared" si="6"/>
        <v>0.93028552625060867</v>
      </c>
      <c r="E80" s="108">
        <f>75/$H$2</f>
        <v>0.94936708860759489</v>
      </c>
      <c r="F80" s="108">
        <f>74/$H$2</f>
        <v>0.93670886075949367</v>
      </c>
      <c r="G80" s="108">
        <f t="shared" si="7"/>
        <v>1.9081562356986215E-2</v>
      </c>
      <c r="H80" s="108">
        <f t="shared" si="8"/>
        <v>6.4233345088849925E-3</v>
      </c>
      <c r="I80" s="108">
        <f t="shared" si="9"/>
        <v>1.9081562356986215E-2</v>
      </c>
    </row>
    <row r="81" spans="1:9" x14ac:dyDescent="0.45">
      <c r="A81" s="109">
        <v>76</v>
      </c>
      <c r="B81" s="110">
        <f>SMALL('[2]Data Residual'!$B$3:$B$81,76)</f>
        <v>283.077</v>
      </c>
      <c r="C81" s="111">
        <f t="shared" si="5"/>
        <v>1.6052217506944049</v>
      </c>
      <c r="D81" s="111">
        <f t="shared" si="6"/>
        <v>0.94577749380015075</v>
      </c>
      <c r="E81" s="111">
        <f>76/$H$2</f>
        <v>0.96202531645569622</v>
      </c>
      <c r="F81" s="111">
        <f>75/$H$2</f>
        <v>0.94936708860759489</v>
      </c>
      <c r="G81" s="111">
        <f t="shared" si="7"/>
        <v>1.6247822655545474E-2</v>
      </c>
      <c r="H81" s="111">
        <f t="shared" si="8"/>
        <v>3.5895948074441408E-3</v>
      </c>
      <c r="I81" s="111">
        <f t="shared" si="9"/>
        <v>1.6247822655545474E-2</v>
      </c>
    </row>
    <row r="82" spans="1:9" x14ac:dyDescent="0.45">
      <c r="A82" s="106">
        <v>77</v>
      </c>
      <c r="B82" s="107">
        <f>SMALL('[2]Data Residual'!$B$3:$B$81,77)</f>
        <v>288.80200000000002</v>
      </c>
      <c r="C82" s="108">
        <f t="shared" si="5"/>
        <v>1.6377051383341692</v>
      </c>
      <c r="D82" s="108">
        <f t="shared" si="6"/>
        <v>0.9492583908900003</v>
      </c>
      <c r="E82" s="108">
        <f>77/$H$2</f>
        <v>0.97468354430379744</v>
      </c>
      <c r="F82" s="108">
        <f>76/$H$2</f>
        <v>0.96202531645569622</v>
      </c>
      <c r="G82" s="108">
        <f t="shared" si="7"/>
        <v>2.5425153413797141E-2</v>
      </c>
      <c r="H82" s="108">
        <f t="shared" si="8"/>
        <v>1.2766925565695919E-2</v>
      </c>
      <c r="I82" s="108">
        <f t="shared" si="9"/>
        <v>2.5425153413797141E-2</v>
      </c>
    </row>
    <row r="83" spans="1:9" x14ac:dyDescent="0.45">
      <c r="A83" s="109">
        <v>78</v>
      </c>
      <c r="B83" s="110">
        <f>SMALL('[2]Data Residual'!$B$3:$B$81,78)</f>
        <v>294.05200000000002</v>
      </c>
      <c r="C83" s="111">
        <f t="shared" si="5"/>
        <v>1.6674933977418134</v>
      </c>
      <c r="D83" s="111">
        <f t="shared" si="6"/>
        <v>0.95229183192653122</v>
      </c>
      <c r="E83" s="111">
        <f>78/$H$2</f>
        <v>0.98734177215189878</v>
      </c>
      <c r="F83" s="111">
        <f>77/$H$2</f>
        <v>0.97468354430379744</v>
      </c>
      <c r="G83" s="111">
        <f t="shared" si="7"/>
        <v>3.504994022536756E-2</v>
      </c>
      <c r="H83" s="111">
        <f t="shared" si="8"/>
        <v>2.2391712377266226E-2</v>
      </c>
      <c r="I83" s="111">
        <f t="shared" si="9"/>
        <v>3.504994022536756E-2</v>
      </c>
    </row>
    <row r="84" spans="1:9" x14ac:dyDescent="0.45">
      <c r="A84" s="106">
        <v>79</v>
      </c>
      <c r="B84" s="107">
        <f>SMALL('[2]Data Residual'!$B$3:$B$81,79)</f>
        <v>308.2</v>
      </c>
      <c r="C84" s="108">
        <f t="shared" si="5"/>
        <v>1.7477685013797846</v>
      </c>
      <c r="D84" s="108">
        <f t="shared" si="6"/>
        <v>0.95974793916653034</v>
      </c>
      <c r="E84" s="108">
        <f>79/$H$2</f>
        <v>1</v>
      </c>
      <c r="F84" s="108">
        <f>78/$H$2</f>
        <v>0.98734177215189878</v>
      </c>
      <c r="G84" s="108">
        <f t="shared" si="7"/>
        <v>4.0252060833469661E-2</v>
      </c>
      <c r="H84" s="108">
        <f t="shared" si="8"/>
        <v>2.7593832985368438E-2</v>
      </c>
      <c r="I84" s="108">
        <f t="shared" si="9"/>
        <v>4.0252060833469661E-2</v>
      </c>
    </row>
    <row r="85" spans="1:9" x14ac:dyDescent="0.45">
      <c r="A85" s="153" t="s">
        <v>132</v>
      </c>
      <c r="B85" s="153"/>
      <c r="C85" s="153"/>
      <c r="D85" s="153"/>
      <c r="E85" s="153"/>
      <c r="F85" s="153"/>
      <c r="G85" s="153"/>
      <c r="H85" s="153"/>
      <c r="I85" s="153"/>
    </row>
    <row r="86" spans="1:9" x14ac:dyDescent="0.45">
      <c r="A86" s="146" t="s">
        <v>133</v>
      </c>
      <c r="B86" s="146"/>
      <c r="C86" s="146"/>
      <c r="D86" s="146"/>
      <c r="E86" s="146"/>
      <c r="F86" s="146"/>
      <c r="G86" s="146"/>
      <c r="H86" s="146"/>
      <c r="I86" s="93">
        <f>MAX(I6:I84)</f>
        <v>8.5160072750414706E-2</v>
      </c>
    </row>
    <row r="87" spans="1:9" x14ac:dyDescent="0.45">
      <c r="A87" s="146" t="s">
        <v>134</v>
      </c>
      <c r="B87" s="146"/>
      <c r="C87" s="146"/>
      <c r="D87" s="146"/>
      <c r="E87" s="146"/>
      <c r="F87" s="146"/>
      <c r="G87" s="146"/>
      <c r="H87" s="146"/>
      <c r="I87" s="94">
        <f>1.36/SQRT($H$2)</f>
        <v>0.15301195452593927</v>
      </c>
    </row>
    <row r="88" spans="1:9" x14ac:dyDescent="0.45">
      <c r="A88" s="146" t="s">
        <v>135</v>
      </c>
      <c r="B88" s="146"/>
      <c r="C88" s="146"/>
      <c r="D88" s="146"/>
      <c r="E88" s="146"/>
      <c r="F88" s="146"/>
      <c r="G88" s="146"/>
      <c r="H88" s="146"/>
      <c r="I88" s="94">
        <f>1.628/SQRT($H$2)</f>
        <v>0.18316431027075669</v>
      </c>
    </row>
    <row r="89" spans="1:9" x14ac:dyDescent="0.45">
      <c r="A89" s="146" t="s">
        <v>136</v>
      </c>
      <c r="B89" s="146"/>
      <c r="C89" s="146"/>
      <c r="D89" s="146"/>
      <c r="E89" s="146"/>
      <c r="F89" s="146"/>
      <c r="G89" s="146"/>
      <c r="H89" s="146"/>
      <c r="I89" s="95" t="str">
        <f>IF(I86&lt;=I87,"NORMAL","TIDAK NORMAL")</f>
        <v>NORMAL</v>
      </c>
    </row>
    <row r="90" spans="1:9" x14ac:dyDescent="0.45">
      <c r="A90" s="146" t="s">
        <v>137</v>
      </c>
      <c r="B90" s="146"/>
      <c r="C90" s="146"/>
      <c r="D90" s="146"/>
      <c r="E90" s="146"/>
      <c r="F90" s="146"/>
      <c r="G90" s="146"/>
      <c r="H90" s="146"/>
      <c r="I90" s="95" t="str">
        <f>IF(I86&lt;=I88,"NORMAL","TIDAK NORMAL")</f>
        <v>NORMAL</v>
      </c>
    </row>
  </sheetData>
  <mergeCells count="13">
    <mergeCell ref="A90:H90"/>
    <mergeCell ref="A1:I1"/>
    <mergeCell ref="A2:G2"/>
    <mergeCell ref="H2:I2"/>
    <mergeCell ref="A3:G3"/>
    <mergeCell ref="H3:I3"/>
    <mergeCell ref="A4:G4"/>
    <mergeCell ref="H4:I4"/>
    <mergeCell ref="A85:I85"/>
    <mergeCell ref="A86:H86"/>
    <mergeCell ref="A87:H87"/>
    <mergeCell ref="A88:H88"/>
    <mergeCell ref="A89:H8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5BF4-17FA-40C9-8EFF-FF2DBF6955B8}">
  <dimension ref="A1:I66"/>
  <sheetViews>
    <sheetView workbookViewId="0">
      <selection sqref="A1:I1"/>
    </sheetView>
  </sheetViews>
  <sheetFormatPr defaultRowHeight="14.25" x14ac:dyDescent="0.45"/>
  <cols>
    <col min="1" max="1" width="6" customWidth="1"/>
    <col min="2" max="4" width="16" customWidth="1"/>
    <col min="5" max="6" width="14" customWidth="1"/>
    <col min="7" max="7" width="16" customWidth="1"/>
    <col min="8" max="8" width="18" customWidth="1"/>
    <col min="9" max="9" width="14" customWidth="1"/>
  </cols>
  <sheetData>
    <row r="1" spans="1:9" ht="16.899999999999999" x14ac:dyDescent="0.45">
      <c r="A1" s="154" t="s">
        <v>119</v>
      </c>
      <c r="B1" s="154"/>
      <c r="C1" s="154"/>
      <c r="D1" s="154"/>
      <c r="E1" s="154"/>
      <c r="F1" s="154"/>
      <c r="G1" s="154"/>
      <c r="H1" s="154"/>
      <c r="I1" s="154"/>
    </row>
    <row r="3" spans="1:9" x14ac:dyDescent="0.45">
      <c r="A3" s="146" t="s">
        <v>120</v>
      </c>
      <c r="B3" s="146"/>
      <c r="C3" s="146"/>
      <c r="D3" s="146"/>
      <c r="E3" s="146"/>
      <c r="F3" s="146"/>
      <c r="G3" s="146"/>
      <c r="H3" s="155">
        <f>COUNTA('[3]Data Residual'!B3:B54)</f>
        <v>52</v>
      </c>
      <c r="I3" s="155"/>
    </row>
    <row r="4" spans="1:9" x14ac:dyDescent="0.45">
      <c r="A4" s="146" t="s">
        <v>121</v>
      </c>
      <c r="B4" s="146"/>
      <c r="C4" s="146"/>
      <c r="D4" s="146"/>
      <c r="E4" s="146"/>
      <c r="F4" s="146"/>
      <c r="G4" s="146"/>
      <c r="H4" s="155">
        <f>AVERAGE('[3]Data Residual'!B3:B54)</f>
        <v>-0.73586538461538487</v>
      </c>
      <c r="I4" s="155"/>
    </row>
    <row r="5" spans="1:9" x14ac:dyDescent="0.45">
      <c r="A5" s="146" t="s">
        <v>122</v>
      </c>
      <c r="B5" s="146"/>
      <c r="C5" s="146"/>
      <c r="D5" s="146"/>
      <c r="E5" s="146"/>
      <c r="F5" s="146"/>
      <c r="G5" s="146"/>
      <c r="H5" s="155">
        <f>STDEV('[3]Data Residual'!B3:B54)</f>
        <v>65.757492812293108</v>
      </c>
      <c r="I5" s="155"/>
    </row>
    <row r="7" spans="1:9" x14ac:dyDescent="0.45">
      <c r="A7" s="113" t="s">
        <v>123</v>
      </c>
      <c r="B7" s="113" t="s">
        <v>124</v>
      </c>
      <c r="C7" s="113" t="s">
        <v>125</v>
      </c>
      <c r="D7" s="113" t="s">
        <v>138</v>
      </c>
      <c r="E7" s="113" t="s">
        <v>127</v>
      </c>
      <c r="F7" s="113" t="s">
        <v>128</v>
      </c>
      <c r="G7" s="113" t="s">
        <v>129</v>
      </c>
      <c r="H7" s="113" t="s">
        <v>130</v>
      </c>
      <c r="I7" s="113" t="s">
        <v>131</v>
      </c>
    </row>
    <row r="8" spans="1:9" x14ac:dyDescent="0.45">
      <c r="A8" s="106">
        <v>1</v>
      </c>
      <c r="B8" s="107">
        <f>SMALL('[3]Data Residual'!$B$3:$B$54,1)</f>
        <v>-150.85380000000001</v>
      </c>
      <c r="C8" s="108">
        <f t="shared" ref="C8:C59" si="0">(B8-$H$4)/$H$5</f>
        <v>-2.2829023461083153</v>
      </c>
      <c r="D8" s="108">
        <f t="shared" ref="D8:D59" si="1">NORMSDIST(C8)</f>
        <v>1.1218060633327214E-2</v>
      </c>
      <c r="E8" s="108">
        <f>1/$H$3</f>
        <v>1.9230769230769232E-2</v>
      </c>
      <c r="F8" s="108">
        <f>0/$H$3</f>
        <v>0</v>
      </c>
      <c r="G8" s="108">
        <f t="shared" ref="G8:G59" si="2">ABS(E8-D8)</f>
        <v>8.0127085974420181E-3</v>
      </c>
      <c r="H8" s="108">
        <f t="shared" ref="H8:H59" si="3">ABS(F8-D8)</f>
        <v>1.1218060633327214E-2</v>
      </c>
      <c r="I8" s="108">
        <f t="shared" ref="I8:I59" si="4">MAX(G8,H8)</f>
        <v>1.1218060633327214E-2</v>
      </c>
    </row>
    <row r="9" spans="1:9" x14ac:dyDescent="0.45">
      <c r="A9" s="109">
        <v>2</v>
      </c>
      <c r="B9" s="110">
        <f>SMALL('[3]Data Residual'!$B$3:$B$54,2)</f>
        <v>-140.51570000000001</v>
      </c>
      <c r="C9" s="111">
        <f t="shared" si="0"/>
        <v>-2.1256868021776727</v>
      </c>
      <c r="D9" s="111">
        <f t="shared" si="1"/>
        <v>1.6764673286654607E-2</v>
      </c>
      <c r="E9" s="111">
        <f>2/$H$3</f>
        <v>3.8461538461538464E-2</v>
      </c>
      <c r="F9" s="111">
        <f>1/$H$3</f>
        <v>1.9230769230769232E-2</v>
      </c>
      <c r="G9" s="111">
        <f t="shared" si="2"/>
        <v>2.1696865174883857E-2</v>
      </c>
      <c r="H9" s="111">
        <f t="shared" si="3"/>
        <v>2.4660959441146248E-3</v>
      </c>
      <c r="I9" s="111">
        <f t="shared" si="4"/>
        <v>2.1696865174883857E-2</v>
      </c>
    </row>
    <row r="10" spans="1:9" x14ac:dyDescent="0.45">
      <c r="A10" s="106">
        <v>3</v>
      </c>
      <c r="B10" s="107">
        <f>SMALL('[3]Data Residual'!$B$3:$B$54,3)</f>
        <v>-122.8664</v>
      </c>
      <c r="C10" s="108">
        <f t="shared" si="0"/>
        <v>-1.8572869705359689</v>
      </c>
      <c r="D10" s="108">
        <f t="shared" si="1"/>
        <v>3.1635168570361138E-2</v>
      </c>
      <c r="E10" s="108">
        <f>3/$H$3</f>
        <v>5.7692307692307696E-2</v>
      </c>
      <c r="F10" s="108">
        <f>2/$H$3</f>
        <v>3.8461538461538464E-2</v>
      </c>
      <c r="G10" s="108">
        <f t="shared" si="2"/>
        <v>2.6057139121946557E-2</v>
      </c>
      <c r="H10" s="108">
        <f t="shared" si="3"/>
        <v>6.8263698911773252E-3</v>
      </c>
      <c r="I10" s="108">
        <f t="shared" si="4"/>
        <v>2.6057139121946557E-2</v>
      </c>
    </row>
    <row r="11" spans="1:9" x14ac:dyDescent="0.45">
      <c r="A11" s="109">
        <v>4</v>
      </c>
      <c r="B11" s="110">
        <f>SMALL('[3]Data Residual'!$B$3:$B$54,4)</f>
        <v>-88.799000000000007</v>
      </c>
      <c r="C11" s="111">
        <f t="shared" si="0"/>
        <v>-1.3392106488421585</v>
      </c>
      <c r="D11" s="111">
        <f t="shared" si="1"/>
        <v>9.025105335640593E-2</v>
      </c>
      <c r="E11" s="111">
        <f>4/$H$3</f>
        <v>7.6923076923076927E-2</v>
      </c>
      <c r="F11" s="111">
        <f>3/$H$3</f>
        <v>5.7692307692307696E-2</v>
      </c>
      <c r="G11" s="111">
        <f t="shared" si="2"/>
        <v>1.3327976433329003E-2</v>
      </c>
      <c r="H11" s="111">
        <f t="shared" si="3"/>
        <v>3.2558745664098235E-2</v>
      </c>
      <c r="I11" s="111">
        <f t="shared" si="4"/>
        <v>3.2558745664098235E-2</v>
      </c>
    </row>
    <row r="12" spans="1:9" x14ac:dyDescent="0.45">
      <c r="A12" s="106">
        <v>5</v>
      </c>
      <c r="B12" s="107">
        <f>SMALL('[3]Data Residual'!$B$3:$B$54,5)</f>
        <v>-79.753100000000003</v>
      </c>
      <c r="C12" s="108">
        <f t="shared" si="0"/>
        <v>-1.2016460974408176</v>
      </c>
      <c r="D12" s="108">
        <f t="shared" si="1"/>
        <v>0.11475033669413694</v>
      </c>
      <c r="E12" s="108">
        <f>5/$H$3</f>
        <v>9.6153846153846159E-2</v>
      </c>
      <c r="F12" s="108">
        <f>4/$H$3</f>
        <v>7.6923076923076927E-2</v>
      </c>
      <c r="G12" s="108">
        <f t="shared" si="2"/>
        <v>1.8596490540290778E-2</v>
      </c>
      <c r="H12" s="108">
        <f t="shared" si="3"/>
        <v>3.7827259771060009E-2</v>
      </c>
      <c r="I12" s="108">
        <f t="shared" si="4"/>
        <v>3.7827259771060009E-2</v>
      </c>
    </row>
    <row r="13" spans="1:9" x14ac:dyDescent="0.45">
      <c r="A13" s="109">
        <v>6</v>
      </c>
      <c r="B13" s="110">
        <f>SMALL('[3]Data Residual'!$B$3:$B$54,6)</f>
        <v>-74.332300000000004</v>
      </c>
      <c r="C13" s="111">
        <f t="shared" si="0"/>
        <v>-1.1192098644251542</v>
      </c>
      <c r="D13" s="111">
        <f t="shared" si="1"/>
        <v>0.13152530905232571</v>
      </c>
      <c r="E13" s="111">
        <f>6/$H$3</f>
        <v>0.11538461538461539</v>
      </c>
      <c r="F13" s="111">
        <f>5/$H$3</f>
        <v>9.6153846153846159E-2</v>
      </c>
      <c r="G13" s="111">
        <f t="shared" si="2"/>
        <v>1.6140693667710315E-2</v>
      </c>
      <c r="H13" s="111">
        <f t="shared" si="3"/>
        <v>3.5371462898479547E-2</v>
      </c>
      <c r="I13" s="111">
        <f t="shared" si="4"/>
        <v>3.5371462898479547E-2</v>
      </c>
    </row>
    <row r="14" spans="1:9" x14ac:dyDescent="0.45">
      <c r="A14" s="106">
        <v>7</v>
      </c>
      <c r="B14" s="107">
        <f>SMALL('[3]Data Residual'!$B$3:$B$54,7)</f>
        <v>-68.082800000000006</v>
      </c>
      <c r="C14" s="108">
        <f t="shared" si="0"/>
        <v>-1.0241712652827053</v>
      </c>
      <c r="D14" s="108">
        <f t="shared" si="1"/>
        <v>0.15287719421491633</v>
      </c>
      <c r="E14" s="108">
        <f>7/$H$3</f>
        <v>0.13461538461538461</v>
      </c>
      <c r="F14" s="108">
        <f>6/$H$3</f>
        <v>0.11538461538461539</v>
      </c>
      <c r="G14" s="108">
        <f t="shared" si="2"/>
        <v>1.826180959953172E-2</v>
      </c>
      <c r="H14" s="108">
        <f t="shared" si="3"/>
        <v>3.7492578830300938E-2</v>
      </c>
      <c r="I14" s="108">
        <f t="shared" si="4"/>
        <v>3.7492578830300938E-2</v>
      </c>
    </row>
    <row r="15" spans="1:9" x14ac:dyDescent="0.45">
      <c r="A15" s="109">
        <v>8</v>
      </c>
      <c r="B15" s="110">
        <f>SMALL('[3]Data Residual'!$B$3:$B$54,8)</f>
        <v>-67.265100000000004</v>
      </c>
      <c r="C15" s="111">
        <f t="shared" si="0"/>
        <v>-1.0117361804729155</v>
      </c>
      <c r="D15" s="111">
        <f t="shared" si="1"/>
        <v>0.15583210573130218</v>
      </c>
      <c r="E15" s="111">
        <f>8/$H$3</f>
        <v>0.15384615384615385</v>
      </c>
      <c r="F15" s="111">
        <f>7/$H$3</f>
        <v>0.13461538461538461</v>
      </c>
      <c r="G15" s="111">
        <f t="shared" si="2"/>
        <v>1.9859518851483293E-3</v>
      </c>
      <c r="H15" s="111">
        <f t="shared" si="3"/>
        <v>2.1216721115917575E-2</v>
      </c>
      <c r="I15" s="111">
        <f t="shared" si="4"/>
        <v>2.1216721115917575E-2</v>
      </c>
    </row>
    <row r="16" spans="1:9" x14ac:dyDescent="0.45">
      <c r="A16" s="106">
        <v>9</v>
      </c>
      <c r="B16" s="107">
        <f>SMALL('[3]Data Residual'!$B$3:$B$54,9)</f>
        <v>-66.205500000000001</v>
      </c>
      <c r="C16" s="108">
        <f t="shared" si="0"/>
        <v>-0.99562242742845763</v>
      </c>
      <c r="D16" s="108">
        <f t="shared" si="1"/>
        <v>0.15971681679044777</v>
      </c>
      <c r="E16" s="108">
        <f>9/$H$3</f>
        <v>0.17307692307692307</v>
      </c>
      <c r="F16" s="108">
        <f>8/$H$3</f>
        <v>0.15384615384615385</v>
      </c>
      <c r="G16" s="108">
        <f t="shared" si="2"/>
        <v>1.3360106286475298E-2</v>
      </c>
      <c r="H16" s="108">
        <f t="shared" si="3"/>
        <v>5.8706629442939195E-3</v>
      </c>
      <c r="I16" s="108">
        <f t="shared" si="4"/>
        <v>1.3360106286475298E-2</v>
      </c>
    </row>
    <row r="17" spans="1:9" x14ac:dyDescent="0.45">
      <c r="A17" s="109">
        <v>10</v>
      </c>
      <c r="B17" s="110">
        <f>SMALL('[3]Data Residual'!$B$3:$B$54,10)</f>
        <v>-63.026800000000001</v>
      </c>
      <c r="C17" s="111">
        <f t="shared" si="0"/>
        <v>-0.94728268903432955</v>
      </c>
      <c r="D17" s="111">
        <f t="shared" si="1"/>
        <v>0.17174737474462021</v>
      </c>
      <c r="E17" s="111">
        <f>10/$H$3</f>
        <v>0.19230769230769232</v>
      </c>
      <c r="F17" s="111">
        <f>9/$H$3</f>
        <v>0.17307692307692307</v>
      </c>
      <c r="G17" s="111">
        <f t="shared" si="2"/>
        <v>2.0560317563072111E-2</v>
      </c>
      <c r="H17" s="111">
        <f t="shared" si="3"/>
        <v>1.3295483323028656E-3</v>
      </c>
      <c r="I17" s="111">
        <f t="shared" si="4"/>
        <v>2.0560317563072111E-2</v>
      </c>
    </row>
    <row r="18" spans="1:9" x14ac:dyDescent="0.45">
      <c r="A18" s="106">
        <v>11</v>
      </c>
      <c r="B18" s="107">
        <f>SMALL('[3]Data Residual'!$B$3:$B$54,11)</f>
        <v>-52.995899999999999</v>
      </c>
      <c r="C18" s="108">
        <f t="shared" si="0"/>
        <v>-0.79473885606561323</v>
      </c>
      <c r="D18" s="108">
        <f t="shared" si="1"/>
        <v>0.21338271241301468</v>
      </c>
      <c r="E18" s="108">
        <f>11/$H$3</f>
        <v>0.21153846153846154</v>
      </c>
      <c r="F18" s="108">
        <f>10/$H$3</f>
        <v>0.19230769230769232</v>
      </c>
      <c r="G18" s="108">
        <f t="shared" si="2"/>
        <v>1.8442508745531438E-3</v>
      </c>
      <c r="H18" s="108">
        <f t="shared" si="3"/>
        <v>2.1075020105322362E-2</v>
      </c>
      <c r="I18" s="108">
        <f t="shared" si="4"/>
        <v>2.1075020105322362E-2</v>
      </c>
    </row>
    <row r="19" spans="1:9" x14ac:dyDescent="0.45">
      <c r="A19" s="109">
        <v>12</v>
      </c>
      <c r="B19" s="110">
        <f>SMALL('[3]Data Residual'!$B$3:$B$54,12)</f>
        <v>-48.933500000000002</v>
      </c>
      <c r="C19" s="111">
        <f t="shared" si="0"/>
        <v>-0.73296034495971929</v>
      </c>
      <c r="D19" s="111">
        <f t="shared" si="1"/>
        <v>0.23179130797296663</v>
      </c>
      <c r="E19" s="111">
        <f>12/$H$3</f>
        <v>0.23076923076923078</v>
      </c>
      <c r="F19" s="111">
        <f>11/$H$3</f>
        <v>0.21153846153846154</v>
      </c>
      <c r="G19" s="111">
        <f t="shared" si="2"/>
        <v>1.0220772037358439E-3</v>
      </c>
      <c r="H19" s="111">
        <f t="shared" si="3"/>
        <v>2.025284643450509E-2</v>
      </c>
      <c r="I19" s="111">
        <f t="shared" si="4"/>
        <v>2.025284643450509E-2</v>
      </c>
    </row>
    <row r="20" spans="1:9" x14ac:dyDescent="0.45">
      <c r="A20" s="106">
        <v>13</v>
      </c>
      <c r="B20" s="107">
        <f>SMALL('[3]Data Residual'!$B$3:$B$54,13)</f>
        <v>-42.077199999999998</v>
      </c>
      <c r="C20" s="108">
        <f t="shared" si="0"/>
        <v>-0.62869390007606873</v>
      </c>
      <c r="D20" s="108">
        <f t="shared" si="1"/>
        <v>0.26477473618612285</v>
      </c>
      <c r="E20" s="108">
        <f>13/$H$3</f>
        <v>0.25</v>
      </c>
      <c r="F20" s="108">
        <f>12/$H$3</f>
        <v>0.23076923076923078</v>
      </c>
      <c r="G20" s="108">
        <f t="shared" si="2"/>
        <v>1.477473618612285E-2</v>
      </c>
      <c r="H20" s="108">
        <f t="shared" si="3"/>
        <v>3.4005505416892068E-2</v>
      </c>
      <c r="I20" s="108">
        <f t="shared" si="4"/>
        <v>3.4005505416892068E-2</v>
      </c>
    </row>
    <row r="21" spans="1:9" x14ac:dyDescent="0.45">
      <c r="A21" s="109">
        <v>14</v>
      </c>
      <c r="B21" s="110">
        <f>SMALL('[3]Data Residual'!$B$3:$B$54,14)</f>
        <v>-29.552</v>
      </c>
      <c r="C21" s="111">
        <f t="shared" si="0"/>
        <v>-0.43821826810887093</v>
      </c>
      <c r="D21" s="111">
        <f t="shared" si="1"/>
        <v>0.33061403357083813</v>
      </c>
      <c r="E21" s="111">
        <f>14/$H$3</f>
        <v>0.26923076923076922</v>
      </c>
      <c r="F21" s="111">
        <f>13/$H$3</f>
        <v>0.25</v>
      </c>
      <c r="G21" s="111">
        <f t="shared" si="2"/>
        <v>6.138326434006891E-2</v>
      </c>
      <c r="H21" s="111">
        <f t="shared" si="3"/>
        <v>8.0614033570838128E-2</v>
      </c>
      <c r="I21" s="111">
        <f t="shared" si="4"/>
        <v>8.0614033570838128E-2</v>
      </c>
    </row>
    <row r="22" spans="1:9" x14ac:dyDescent="0.45">
      <c r="A22" s="106">
        <v>15</v>
      </c>
      <c r="B22" s="107">
        <f>SMALL('[3]Data Residual'!$B$3:$B$54,15)</f>
        <v>-28.090800000000002</v>
      </c>
      <c r="C22" s="108">
        <f t="shared" si="0"/>
        <v>-0.41599722625481123</v>
      </c>
      <c r="D22" s="108">
        <f t="shared" si="1"/>
        <v>0.33870601644940956</v>
      </c>
      <c r="E22" s="108">
        <f>15/$H$3</f>
        <v>0.28846153846153844</v>
      </c>
      <c r="F22" s="108">
        <f>14/$H$3</f>
        <v>0.26923076923076922</v>
      </c>
      <c r="G22" s="108">
        <f t="shared" si="2"/>
        <v>5.0244477987871128E-2</v>
      </c>
      <c r="H22" s="108">
        <f t="shared" si="3"/>
        <v>6.9475247218640346E-2</v>
      </c>
      <c r="I22" s="108">
        <f t="shared" si="4"/>
        <v>6.9475247218640346E-2</v>
      </c>
    </row>
    <row r="23" spans="1:9" x14ac:dyDescent="0.45">
      <c r="A23" s="109">
        <v>16</v>
      </c>
      <c r="B23" s="110">
        <f>SMALL('[3]Data Residual'!$B$3:$B$54,16)</f>
        <v>-27.866</v>
      </c>
      <c r="C23" s="111">
        <f t="shared" si="0"/>
        <v>-0.41257860443110966</v>
      </c>
      <c r="D23" s="111">
        <f t="shared" si="1"/>
        <v>0.33995768977846696</v>
      </c>
      <c r="E23" s="111">
        <f>16/$H$3</f>
        <v>0.30769230769230771</v>
      </c>
      <c r="F23" s="111">
        <f>15/$H$3</f>
        <v>0.28846153846153844</v>
      </c>
      <c r="G23" s="111">
        <f t="shared" si="2"/>
        <v>3.2265382086159256E-2</v>
      </c>
      <c r="H23" s="111">
        <f t="shared" si="3"/>
        <v>5.1496151316928529E-2</v>
      </c>
      <c r="I23" s="111">
        <f t="shared" si="4"/>
        <v>5.1496151316928529E-2</v>
      </c>
    </row>
    <row r="24" spans="1:9" x14ac:dyDescent="0.45">
      <c r="A24" s="106">
        <v>17</v>
      </c>
      <c r="B24" s="107">
        <f>SMALL('[3]Data Residual'!$B$3:$B$54,17)</f>
        <v>-24.532299999999999</v>
      </c>
      <c r="C24" s="108">
        <f t="shared" si="0"/>
        <v>-0.36188172020658255</v>
      </c>
      <c r="D24" s="108">
        <f t="shared" si="1"/>
        <v>0.35872021031608609</v>
      </c>
      <c r="E24" s="108">
        <f>17/$H$3</f>
        <v>0.32692307692307693</v>
      </c>
      <c r="F24" s="108">
        <f>16/$H$3</f>
        <v>0.30769230769230771</v>
      </c>
      <c r="G24" s="108">
        <f t="shared" si="2"/>
        <v>3.1797133393009158E-2</v>
      </c>
      <c r="H24" s="108">
        <f t="shared" si="3"/>
        <v>5.1027902623778376E-2</v>
      </c>
      <c r="I24" s="108">
        <f t="shared" si="4"/>
        <v>5.1027902623778376E-2</v>
      </c>
    </row>
    <row r="25" spans="1:9" x14ac:dyDescent="0.45">
      <c r="A25" s="109">
        <v>18</v>
      </c>
      <c r="B25" s="110">
        <f>SMALL('[3]Data Residual'!$B$3:$B$54,18)</f>
        <v>-22.634899999999998</v>
      </c>
      <c r="C25" s="111">
        <f t="shared" si="0"/>
        <v>-0.33302721376400585</v>
      </c>
      <c r="D25" s="111">
        <f t="shared" si="1"/>
        <v>0.36955687046533858</v>
      </c>
      <c r="E25" s="111">
        <f>18/$H$3</f>
        <v>0.34615384615384615</v>
      </c>
      <c r="F25" s="111">
        <f>17/$H$3</f>
        <v>0.32692307692307693</v>
      </c>
      <c r="G25" s="111">
        <f t="shared" si="2"/>
        <v>2.3403024311492437E-2</v>
      </c>
      <c r="H25" s="111">
        <f t="shared" si="3"/>
        <v>4.2633793542261655E-2</v>
      </c>
      <c r="I25" s="111">
        <f t="shared" si="4"/>
        <v>4.2633793542261655E-2</v>
      </c>
    </row>
    <row r="26" spans="1:9" x14ac:dyDescent="0.45">
      <c r="A26" s="106">
        <v>19</v>
      </c>
      <c r="B26" s="107">
        <f>SMALL('[3]Data Residual'!$B$3:$B$54,19)</f>
        <v>-22.325399999999998</v>
      </c>
      <c r="C26" s="108">
        <f t="shared" si="0"/>
        <v>-0.3283205257994346</v>
      </c>
      <c r="D26" s="108">
        <f t="shared" si="1"/>
        <v>0.37133466311276597</v>
      </c>
      <c r="E26" s="108">
        <f>19/$H$3</f>
        <v>0.36538461538461536</v>
      </c>
      <c r="F26" s="108">
        <f>18/$H$3</f>
        <v>0.34615384615384615</v>
      </c>
      <c r="G26" s="108">
        <f t="shared" si="2"/>
        <v>5.9500477281506092E-3</v>
      </c>
      <c r="H26" s="108">
        <f t="shared" si="3"/>
        <v>2.5180816958919827E-2</v>
      </c>
      <c r="I26" s="108">
        <f t="shared" si="4"/>
        <v>2.5180816958919827E-2</v>
      </c>
    </row>
    <row r="27" spans="1:9" x14ac:dyDescent="0.45">
      <c r="A27" s="109">
        <v>20</v>
      </c>
      <c r="B27" s="110">
        <f>SMALL('[3]Data Residual'!$B$3:$B$54,20)</f>
        <v>-21.774999999999999</v>
      </c>
      <c r="C27" s="111">
        <f t="shared" si="0"/>
        <v>-0.31995037699264944</v>
      </c>
      <c r="D27" s="111">
        <f t="shared" si="1"/>
        <v>0.37450297406059296</v>
      </c>
      <c r="E27" s="111">
        <f>20/$H$3</f>
        <v>0.38461538461538464</v>
      </c>
      <c r="F27" s="111">
        <f>19/$H$3</f>
        <v>0.36538461538461536</v>
      </c>
      <c r="G27" s="111">
        <f t="shared" si="2"/>
        <v>1.0112410554791673E-2</v>
      </c>
      <c r="H27" s="111">
        <f t="shared" si="3"/>
        <v>9.1183586759776003E-3</v>
      </c>
      <c r="I27" s="111">
        <f t="shared" si="4"/>
        <v>1.0112410554791673E-2</v>
      </c>
    </row>
    <row r="28" spans="1:9" x14ac:dyDescent="0.45">
      <c r="A28" s="106">
        <v>21</v>
      </c>
      <c r="B28" s="107">
        <f>SMALL('[3]Data Residual'!$B$3:$B$54,21)</f>
        <v>-19.7532</v>
      </c>
      <c r="C28" s="108">
        <f t="shared" si="0"/>
        <v>-0.28920407092877176</v>
      </c>
      <c r="D28" s="108">
        <f t="shared" si="1"/>
        <v>0.38621260837563759</v>
      </c>
      <c r="E28" s="108">
        <f>21/$H$3</f>
        <v>0.40384615384615385</v>
      </c>
      <c r="F28" s="108">
        <f>20/$H$3</f>
        <v>0.38461538461538464</v>
      </c>
      <c r="G28" s="108">
        <f t="shared" si="2"/>
        <v>1.7633545470516265E-2</v>
      </c>
      <c r="H28" s="108">
        <f t="shared" si="3"/>
        <v>1.5972237602529527E-3</v>
      </c>
      <c r="I28" s="108">
        <f t="shared" si="4"/>
        <v>1.7633545470516265E-2</v>
      </c>
    </row>
    <row r="29" spans="1:9" x14ac:dyDescent="0.45">
      <c r="A29" s="109">
        <v>22</v>
      </c>
      <c r="B29" s="110">
        <f>SMALL('[3]Data Residual'!$B$3:$B$54,22)</f>
        <v>-19.238499999999998</v>
      </c>
      <c r="C29" s="111">
        <f t="shared" si="0"/>
        <v>-0.28137682603260111</v>
      </c>
      <c r="D29" s="111">
        <f t="shared" si="1"/>
        <v>0.3892106952742877</v>
      </c>
      <c r="E29" s="111">
        <f>22/$H$3</f>
        <v>0.42307692307692307</v>
      </c>
      <c r="F29" s="111">
        <f>21/$H$3</f>
        <v>0.40384615384615385</v>
      </c>
      <c r="G29" s="111">
        <f t="shared" si="2"/>
        <v>3.3866227802635374E-2</v>
      </c>
      <c r="H29" s="111">
        <f t="shared" si="3"/>
        <v>1.4635458571866156E-2</v>
      </c>
      <c r="I29" s="111">
        <f t="shared" si="4"/>
        <v>3.3866227802635374E-2</v>
      </c>
    </row>
    <row r="30" spans="1:9" x14ac:dyDescent="0.45">
      <c r="A30" s="106">
        <v>23</v>
      </c>
      <c r="B30" s="107">
        <f>SMALL('[3]Data Residual'!$B$3:$B$54,23)</f>
        <v>-17.966699999999999</v>
      </c>
      <c r="C30" s="108">
        <f t="shared" si="0"/>
        <v>-0.2620360643093646</v>
      </c>
      <c r="D30" s="108">
        <f t="shared" si="1"/>
        <v>0.39664681901464655</v>
      </c>
      <c r="E30" s="108">
        <f>23/$H$3</f>
        <v>0.44230769230769229</v>
      </c>
      <c r="F30" s="108">
        <f>22/$H$3</f>
        <v>0.42307692307692307</v>
      </c>
      <c r="G30" s="108">
        <f t="shared" si="2"/>
        <v>4.5660873293045745E-2</v>
      </c>
      <c r="H30" s="108">
        <f t="shared" si="3"/>
        <v>2.6430104062276527E-2</v>
      </c>
      <c r="I30" s="108">
        <f t="shared" si="4"/>
        <v>4.5660873293045745E-2</v>
      </c>
    </row>
    <row r="31" spans="1:9" x14ac:dyDescent="0.45">
      <c r="A31" s="109">
        <v>24</v>
      </c>
      <c r="B31" s="110">
        <f>SMALL('[3]Data Residual'!$B$3:$B$54,24)</f>
        <v>-16.804500000000001</v>
      </c>
      <c r="C31" s="111">
        <f t="shared" si="0"/>
        <v>-0.24436203279910709</v>
      </c>
      <c r="D31" s="111">
        <f t="shared" si="1"/>
        <v>0.40347522199956909</v>
      </c>
      <c r="E31" s="111">
        <f>24/$H$3</f>
        <v>0.46153846153846156</v>
      </c>
      <c r="F31" s="111">
        <f>23/$H$3</f>
        <v>0.44230769230769229</v>
      </c>
      <c r="G31" s="111">
        <f t="shared" si="2"/>
        <v>5.8063239538892475E-2</v>
      </c>
      <c r="H31" s="111">
        <f t="shared" si="3"/>
        <v>3.8832470308123201E-2</v>
      </c>
      <c r="I31" s="111">
        <f t="shared" si="4"/>
        <v>5.8063239538892475E-2</v>
      </c>
    </row>
    <row r="32" spans="1:9" x14ac:dyDescent="0.45">
      <c r="A32" s="106">
        <v>25</v>
      </c>
      <c r="B32" s="107">
        <f>SMALL('[3]Data Residual'!$B$3:$B$54,25)</f>
        <v>-15.6546</v>
      </c>
      <c r="C32" s="108">
        <f t="shared" si="0"/>
        <v>-0.22687505221603607</v>
      </c>
      <c r="D32" s="108">
        <f t="shared" si="1"/>
        <v>0.41026045084834584</v>
      </c>
      <c r="E32" s="108">
        <f>25/$H$3</f>
        <v>0.48076923076923078</v>
      </c>
      <c r="F32" s="108">
        <f>24/$H$3</f>
        <v>0.46153846153846156</v>
      </c>
      <c r="G32" s="108">
        <f t="shared" si="2"/>
        <v>7.0508779920884945E-2</v>
      </c>
      <c r="H32" s="108">
        <f t="shared" si="3"/>
        <v>5.1278010690115727E-2</v>
      </c>
      <c r="I32" s="108">
        <f t="shared" si="4"/>
        <v>7.0508779920884945E-2</v>
      </c>
    </row>
    <row r="33" spans="1:9" x14ac:dyDescent="0.45">
      <c r="A33" s="109">
        <v>26</v>
      </c>
      <c r="B33" s="110">
        <f>SMALL('[3]Data Residual'!$B$3:$B$54,26)</f>
        <v>-13.624499999999999</v>
      </c>
      <c r="C33" s="111">
        <f t="shared" si="0"/>
        <v>-0.19600252479478861</v>
      </c>
      <c r="D33" s="111">
        <f t="shared" si="1"/>
        <v>0.4223040949138071</v>
      </c>
      <c r="E33" s="111">
        <f>26/$H$3</f>
        <v>0.5</v>
      </c>
      <c r="F33" s="111">
        <f>25/$H$3</f>
        <v>0.48076923076923078</v>
      </c>
      <c r="G33" s="111">
        <f t="shared" si="2"/>
        <v>7.7695905086192896E-2</v>
      </c>
      <c r="H33" s="111">
        <f t="shared" si="3"/>
        <v>5.8465135855423678E-2</v>
      </c>
      <c r="I33" s="111">
        <f t="shared" si="4"/>
        <v>7.7695905086192896E-2</v>
      </c>
    </row>
    <row r="34" spans="1:9" x14ac:dyDescent="0.45">
      <c r="A34" s="106">
        <v>27</v>
      </c>
      <c r="B34" s="107">
        <f>SMALL('[3]Data Residual'!$B$3:$B$54,27)</f>
        <v>-10.1944</v>
      </c>
      <c r="C34" s="108">
        <f t="shared" si="0"/>
        <v>-0.14383964793767773</v>
      </c>
      <c r="D34" s="108">
        <f t="shared" si="1"/>
        <v>0.44281354693919867</v>
      </c>
      <c r="E34" s="108">
        <f>27/$H$3</f>
        <v>0.51923076923076927</v>
      </c>
      <c r="F34" s="108">
        <f>26/$H$3</f>
        <v>0.5</v>
      </c>
      <c r="G34" s="108">
        <f t="shared" si="2"/>
        <v>7.6417222291570608E-2</v>
      </c>
      <c r="H34" s="108">
        <f t="shared" si="3"/>
        <v>5.7186453060801334E-2</v>
      </c>
      <c r="I34" s="108">
        <f t="shared" si="4"/>
        <v>7.6417222291570608E-2</v>
      </c>
    </row>
    <row r="35" spans="1:9" x14ac:dyDescent="0.45">
      <c r="A35" s="109">
        <v>28</v>
      </c>
      <c r="B35" s="110">
        <f>SMALL('[3]Data Residual'!$B$3:$B$54,28)</f>
        <v>-3.9655</v>
      </c>
      <c r="C35" s="111">
        <f t="shared" si="0"/>
        <v>-4.9114321079784959E-2</v>
      </c>
      <c r="D35" s="111">
        <f t="shared" si="1"/>
        <v>0.48041409530496215</v>
      </c>
      <c r="E35" s="111">
        <f>28/$H$3</f>
        <v>0.53846153846153844</v>
      </c>
      <c r="F35" s="111">
        <f>27/$H$3</f>
        <v>0.51923076923076927</v>
      </c>
      <c r="G35" s="111">
        <f t="shared" si="2"/>
        <v>5.8047443156576284E-2</v>
      </c>
      <c r="H35" s="111">
        <f t="shared" si="3"/>
        <v>3.8816673925807121E-2</v>
      </c>
      <c r="I35" s="111">
        <f t="shared" si="4"/>
        <v>5.8047443156576284E-2</v>
      </c>
    </row>
    <row r="36" spans="1:9" x14ac:dyDescent="0.45">
      <c r="A36" s="106">
        <v>29</v>
      </c>
      <c r="B36" s="107">
        <f>SMALL('[3]Data Residual'!$B$3:$B$54,29)</f>
        <v>-0.90790000000000004</v>
      </c>
      <c r="C36" s="108">
        <f t="shared" si="0"/>
        <v>-2.6161979118591635E-3</v>
      </c>
      <c r="D36" s="108">
        <f t="shared" si="1"/>
        <v>0.49895628922967317</v>
      </c>
      <c r="E36" s="108">
        <f>29/$H$3</f>
        <v>0.55769230769230771</v>
      </c>
      <c r="F36" s="108">
        <f>28/$H$3</f>
        <v>0.53846153846153844</v>
      </c>
      <c r="G36" s="108">
        <f t="shared" si="2"/>
        <v>5.8736018462634543E-2</v>
      </c>
      <c r="H36" s="108">
        <f t="shared" si="3"/>
        <v>3.9505249231865269E-2</v>
      </c>
      <c r="I36" s="108">
        <f t="shared" si="4"/>
        <v>5.8736018462634543E-2</v>
      </c>
    </row>
    <row r="37" spans="1:9" x14ac:dyDescent="0.45">
      <c r="A37" s="109">
        <v>30</v>
      </c>
      <c r="B37" s="110">
        <f>SMALL('[3]Data Residual'!$B$3:$B$54,30)</f>
        <v>1.1904999999999999</v>
      </c>
      <c r="C37" s="111">
        <f t="shared" si="0"/>
        <v>2.9294994414009321E-2</v>
      </c>
      <c r="D37" s="111">
        <f t="shared" si="1"/>
        <v>0.51168534046520464</v>
      </c>
      <c r="E37" s="111">
        <f>30/$H$3</f>
        <v>0.57692307692307687</v>
      </c>
      <c r="F37" s="111">
        <f>29/$H$3</f>
        <v>0.55769230769230771</v>
      </c>
      <c r="G37" s="111">
        <f t="shared" si="2"/>
        <v>6.5237736457872231E-2</v>
      </c>
      <c r="H37" s="111">
        <f t="shared" si="3"/>
        <v>4.6006967227103068E-2</v>
      </c>
      <c r="I37" s="111">
        <f t="shared" si="4"/>
        <v>6.5237736457872231E-2</v>
      </c>
    </row>
    <row r="38" spans="1:9" x14ac:dyDescent="0.45">
      <c r="A38" s="106">
        <v>31</v>
      </c>
      <c r="B38" s="107">
        <f>SMALL('[3]Data Residual'!$B$3:$B$54,31)</f>
        <v>4.3311000000000002</v>
      </c>
      <c r="C38" s="108">
        <f t="shared" si="0"/>
        <v>7.7055331155632734E-2</v>
      </c>
      <c r="D38" s="108">
        <f t="shared" si="1"/>
        <v>0.53071023606467238</v>
      </c>
      <c r="E38" s="108">
        <f>31/$H$3</f>
        <v>0.59615384615384615</v>
      </c>
      <c r="F38" s="108">
        <f>30/$H$3</f>
        <v>0.57692307692307687</v>
      </c>
      <c r="G38" s="108">
        <f t="shared" si="2"/>
        <v>6.5443610089173765E-2</v>
      </c>
      <c r="H38" s="108">
        <f t="shared" si="3"/>
        <v>4.6212840858404491E-2</v>
      </c>
      <c r="I38" s="108">
        <f t="shared" si="4"/>
        <v>6.5443610089173765E-2</v>
      </c>
    </row>
    <row r="39" spans="1:9" x14ac:dyDescent="0.45">
      <c r="A39" s="109">
        <v>32</v>
      </c>
      <c r="B39" s="110">
        <f>SMALL('[3]Data Residual'!$B$3:$B$54,32)</f>
        <v>9.5344999999999995</v>
      </c>
      <c r="C39" s="111">
        <f t="shared" si="0"/>
        <v>0.15618547705175553</v>
      </c>
      <c r="D39" s="111">
        <f t="shared" si="1"/>
        <v>0.56205658805831304</v>
      </c>
      <c r="E39" s="111">
        <f>32/$H$3</f>
        <v>0.61538461538461542</v>
      </c>
      <c r="F39" s="111">
        <f>31/$H$3</f>
        <v>0.59615384615384615</v>
      </c>
      <c r="G39" s="111">
        <f t="shared" si="2"/>
        <v>5.3328027326302374E-2</v>
      </c>
      <c r="H39" s="111">
        <f t="shared" si="3"/>
        <v>3.4097258095533101E-2</v>
      </c>
      <c r="I39" s="111">
        <f t="shared" si="4"/>
        <v>5.3328027326302374E-2</v>
      </c>
    </row>
    <row r="40" spans="1:9" x14ac:dyDescent="0.45">
      <c r="A40" s="106">
        <v>33</v>
      </c>
      <c r="B40" s="107">
        <f>SMALL('[3]Data Residual'!$B$3:$B$54,33)</f>
        <v>17.938099999999999</v>
      </c>
      <c r="C40" s="108">
        <f t="shared" si="0"/>
        <v>0.28398232027977133</v>
      </c>
      <c r="D40" s="108">
        <f t="shared" si="1"/>
        <v>0.61178803525558023</v>
      </c>
      <c r="E40" s="108">
        <f>33/$H$3</f>
        <v>0.63461538461538458</v>
      </c>
      <c r="F40" s="108">
        <f>32/$H$3</f>
        <v>0.61538461538461542</v>
      </c>
      <c r="G40" s="108">
        <f t="shared" si="2"/>
        <v>2.282734935980435E-2</v>
      </c>
      <c r="H40" s="108">
        <f t="shared" si="3"/>
        <v>3.5965801290351873E-3</v>
      </c>
      <c r="I40" s="108">
        <f t="shared" si="4"/>
        <v>2.282734935980435E-2</v>
      </c>
    </row>
    <row r="41" spans="1:9" x14ac:dyDescent="0.45">
      <c r="A41" s="109">
        <v>34</v>
      </c>
      <c r="B41" s="110">
        <f>SMALL('[3]Data Residual'!$B$3:$B$54,34)</f>
        <v>23.095099999999999</v>
      </c>
      <c r="C41" s="111">
        <f t="shared" si="0"/>
        <v>0.36240684316601979</v>
      </c>
      <c r="D41" s="111">
        <f t="shared" si="1"/>
        <v>0.64147598676309125</v>
      </c>
      <c r="E41" s="111">
        <f>34/$H$3</f>
        <v>0.65384615384615385</v>
      </c>
      <c r="F41" s="111">
        <f>33/$H$3</f>
        <v>0.63461538461538458</v>
      </c>
      <c r="G41" s="111">
        <f t="shared" si="2"/>
        <v>1.23701670830626E-2</v>
      </c>
      <c r="H41" s="111">
        <f t="shared" si="3"/>
        <v>6.8606021477066736E-3</v>
      </c>
      <c r="I41" s="111">
        <f t="shared" si="4"/>
        <v>1.23701670830626E-2</v>
      </c>
    </row>
    <row r="42" spans="1:9" x14ac:dyDescent="0.45">
      <c r="A42" s="106">
        <v>35</v>
      </c>
      <c r="B42" s="107">
        <f>SMALL('[3]Data Residual'!$B$3:$B$54,35)</f>
        <v>24.800999999999998</v>
      </c>
      <c r="C42" s="108">
        <f t="shared" si="0"/>
        <v>0.38834913395361942</v>
      </c>
      <c r="D42" s="108">
        <f t="shared" si="1"/>
        <v>0.65112115940117077</v>
      </c>
      <c r="E42" s="108">
        <f>35/$H$3</f>
        <v>0.67307692307692313</v>
      </c>
      <c r="F42" s="108">
        <f>34/$H$3</f>
        <v>0.65384615384615385</v>
      </c>
      <c r="G42" s="108">
        <f t="shared" si="2"/>
        <v>2.195576367575236E-2</v>
      </c>
      <c r="H42" s="108">
        <f t="shared" si="3"/>
        <v>2.7249944449830865E-3</v>
      </c>
      <c r="I42" s="108">
        <f t="shared" si="4"/>
        <v>2.195576367575236E-2</v>
      </c>
    </row>
    <row r="43" spans="1:9" x14ac:dyDescent="0.45">
      <c r="A43" s="109">
        <v>36</v>
      </c>
      <c r="B43" s="110">
        <f>SMALL('[3]Data Residual'!$B$3:$B$54,36)</f>
        <v>33.737299999999998</v>
      </c>
      <c r="C43" s="111">
        <f t="shared" si="0"/>
        <v>0.52424695514198127</v>
      </c>
      <c r="D43" s="111">
        <f t="shared" si="1"/>
        <v>0.69994660701891254</v>
      </c>
      <c r="E43" s="111">
        <f>36/$H$3</f>
        <v>0.69230769230769229</v>
      </c>
      <c r="F43" s="111">
        <f>35/$H$3</f>
        <v>0.67307692307692313</v>
      </c>
      <c r="G43" s="111">
        <f t="shared" si="2"/>
        <v>7.638914711220246E-3</v>
      </c>
      <c r="H43" s="111">
        <f t="shared" si="3"/>
        <v>2.6869683941989408E-2</v>
      </c>
      <c r="I43" s="111">
        <f t="shared" si="4"/>
        <v>2.6869683941989408E-2</v>
      </c>
    </row>
    <row r="44" spans="1:9" x14ac:dyDescent="0.45">
      <c r="A44" s="106">
        <v>37</v>
      </c>
      <c r="B44" s="107">
        <f>SMALL('[3]Data Residual'!$B$3:$B$54,37)</f>
        <v>38.919600000000003</v>
      </c>
      <c r="C44" s="108">
        <f t="shared" si="0"/>
        <v>0.60305622505732082</v>
      </c>
      <c r="D44" s="108">
        <f t="shared" si="1"/>
        <v>0.72676435687177598</v>
      </c>
      <c r="E44" s="108">
        <f>37/$H$3</f>
        <v>0.71153846153846156</v>
      </c>
      <c r="F44" s="108">
        <f>36/$H$3</f>
        <v>0.69230769230769229</v>
      </c>
      <c r="G44" s="108">
        <f t="shared" si="2"/>
        <v>1.5225895333314421E-2</v>
      </c>
      <c r="H44" s="108">
        <f t="shared" si="3"/>
        <v>3.4456664564083694E-2</v>
      </c>
      <c r="I44" s="108">
        <f t="shared" si="4"/>
        <v>3.4456664564083694E-2</v>
      </c>
    </row>
    <row r="45" spans="1:9" x14ac:dyDescent="0.45">
      <c r="A45" s="109">
        <v>38</v>
      </c>
      <c r="B45" s="110">
        <f>SMALL('[3]Data Residual'!$B$3:$B$54,38)</f>
        <v>39.710099999999997</v>
      </c>
      <c r="C45" s="111">
        <f t="shared" si="0"/>
        <v>0.61507766879235648</v>
      </c>
      <c r="D45" s="111">
        <f t="shared" si="1"/>
        <v>0.73074828555640003</v>
      </c>
      <c r="E45" s="111">
        <f>38/$H$3</f>
        <v>0.73076923076923073</v>
      </c>
      <c r="F45" s="111">
        <f>37/$H$3</f>
        <v>0.71153846153846156</v>
      </c>
      <c r="G45" s="111">
        <f t="shared" si="2"/>
        <v>2.0945212830691951E-5</v>
      </c>
      <c r="H45" s="111">
        <f t="shared" si="3"/>
        <v>1.920982401793847E-2</v>
      </c>
      <c r="I45" s="111">
        <f t="shared" si="4"/>
        <v>1.920982401793847E-2</v>
      </c>
    </row>
    <row r="46" spans="1:9" x14ac:dyDescent="0.45">
      <c r="A46" s="106">
        <v>39</v>
      </c>
      <c r="B46" s="107">
        <f>SMALL('[3]Data Residual'!$B$3:$B$54,39)</f>
        <v>42.010300000000001</v>
      </c>
      <c r="C46" s="108">
        <f t="shared" si="0"/>
        <v>0.6500577129154802</v>
      </c>
      <c r="D46" s="108">
        <f t="shared" si="1"/>
        <v>0.74217252852100646</v>
      </c>
      <c r="E46" s="108">
        <f>39/$H$3</f>
        <v>0.75</v>
      </c>
      <c r="F46" s="108">
        <f>38/$H$3</f>
        <v>0.73076923076923073</v>
      </c>
      <c r="G46" s="108">
        <f t="shared" si="2"/>
        <v>7.8274714789935418E-3</v>
      </c>
      <c r="H46" s="108">
        <f t="shared" si="3"/>
        <v>1.1403297751775732E-2</v>
      </c>
      <c r="I46" s="108">
        <f t="shared" si="4"/>
        <v>1.1403297751775732E-2</v>
      </c>
    </row>
    <row r="47" spans="1:9" x14ac:dyDescent="0.45">
      <c r="A47" s="109">
        <v>40</v>
      </c>
      <c r="B47" s="110">
        <f>SMALL('[3]Data Residual'!$B$3:$B$54,40)</f>
        <v>43.518500000000003</v>
      </c>
      <c r="C47" s="111">
        <f t="shared" si="0"/>
        <v>0.67299350221488685</v>
      </c>
      <c r="D47" s="111">
        <f t="shared" si="1"/>
        <v>0.74952428761707979</v>
      </c>
      <c r="E47" s="111">
        <f>40/$H$3</f>
        <v>0.76923076923076927</v>
      </c>
      <c r="F47" s="111">
        <f>39/$H$3</f>
        <v>0.75</v>
      </c>
      <c r="G47" s="111">
        <f t="shared" si="2"/>
        <v>1.9706481613689486E-2</v>
      </c>
      <c r="H47" s="111">
        <f t="shared" si="3"/>
        <v>4.7571238292021256E-4</v>
      </c>
      <c r="I47" s="111">
        <f t="shared" si="4"/>
        <v>1.9706481613689486E-2</v>
      </c>
    </row>
    <row r="48" spans="1:9" x14ac:dyDescent="0.45">
      <c r="A48" s="106">
        <v>41</v>
      </c>
      <c r="B48" s="107">
        <f>SMALL('[3]Data Residual'!$B$3:$B$54,41)</f>
        <v>44.846400000000003</v>
      </c>
      <c r="C48" s="108">
        <f t="shared" si="0"/>
        <v>0.69318739865480339</v>
      </c>
      <c r="D48" s="108">
        <f t="shared" si="1"/>
        <v>0.75590402238691057</v>
      </c>
      <c r="E48" s="108">
        <f>41/$H$3</f>
        <v>0.78846153846153844</v>
      </c>
      <c r="F48" s="108">
        <f>40/$H$3</f>
        <v>0.76923076923076927</v>
      </c>
      <c r="G48" s="108">
        <f t="shared" si="2"/>
        <v>3.2557516074627868E-2</v>
      </c>
      <c r="H48" s="108">
        <f t="shared" si="3"/>
        <v>1.3326746843858706E-2</v>
      </c>
      <c r="I48" s="108">
        <f t="shared" si="4"/>
        <v>3.2557516074627868E-2</v>
      </c>
    </row>
    <row r="49" spans="1:9" x14ac:dyDescent="0.45">
      <c r="A49" s="109">
        <v>42</v>
      </c>
      <c r="B49" s="110">
        <f>SMALL('[3]Data Residual'!$B$3:$B$54,42)</f>
        <v>48.555900000000001</v>
      </c>
      <c r="C49" s="111">
        <f t="shared" si="0"/>
        <v>0.74959922096361442</v>
      </c>
      <c r="D49" s="111">
        <f t="shared" si="1"/>
        <v>0.77325193991597374</v>
      </c>
      <c r="E49" s="111">
        <f>42/$H$3</f>
        <v>0.80769230769230771</v>
      </c>
      <c r="F49" s="111">
        <f>41/$H$3</f>
        <v>0.78846153846153844</v>
      </c>
      <c r="G49" s="111">
        <f t="shared" si="2"/>
        <v>3.4440367776333969E-2</v>
      </c>
      <c r="H49" s="111">
        <f t="shared" si="3"/>
        <v>1.5209598545564695E-2</v>
      </c>
      <c r="I49" s="111">
        <f t="shared" si="4"/>
        <v>3.4440367776333969E-2</v>
      </c>
    </row>
    <row r="50" spans="1:9" x14ac:dyDescent="0.45">
      <c r="A50" s="106">
        <v>43</v>
      </c>
      <c r="B50" s="107">
        <f>SMALL('[3]Data Residual'!$B$3:$B$54,43)</f>
        <v>49.460099999999997</v>
      </c>
      <c r="C50" s="108">
        <f t="shared" si="0"/>
        <v>0.76334974522069132</v>
      </c>
      <c r="D50" s="108">
        <f t="shared" si="1"/>
        <v>0.77737257882482569</v>
      </c>
      <c r="E50" s="108">
        <f>43/$H$3</f>
        <v>0.82692307692307687</v>
      </c>
      <c r="F50" s="108">
        <f>42/$H$3</f>
        <v>0.80769230769230771</v>
      </c>
      <c r="G50" s="108">
        <f t="shared" si="2"/>
        <v>4.9550498098251183E-2</v>
      </c>
      <c r="H50" s="108">
        <f t="shared" si="3"/>
        <v>3.0319728867482021E-2</v>
      </c>
      <c r="I50" s="108">
        <f t="shared" si="4"/>
        <v>4.9550498098251183E-2</v>
      </c>
    </row>
    <row r="51" spans="1:9" x14ac:dyDescent="0.45">
      <c r="A51" s="109">
        <v>44</v>
      </c>
      <c r="B51" s="110">
        <f>SMALL('[3]Data Residual'!$B$3:$B$54,44)</f>
        <v>63.043799999999997</v>
      </c>
      <c r="C51" s="111">
        <f t="shared" si="0"/>
        <v>0.9699224021006474</v>
      </c>
      <c r="D51" s="111">
        <f t="shared" si="1"/>
        <v>0.83395741366633502</v>
      </c>
      <c r="E51" s="111">
        <f>44/$H$3</f>
        <v>0.84615384615384615</v>
      </c>
      <c r="F51" s="111">
        <f>43/$H$3</f>
        <v>0.82692307692307687</v>
      </c>
      <c r="G51" s="111">
        <f t="shared" si="2"/>
        <v>1.2196432487511122E-2</v>
      </c>
      <c r="H51" s="111">
        <f t="shared" si="3"/>
        <v>7.0343367432581516E-3</v>
      </c>
      <c r="I51" s="111">
        <f t="shared" si="4"/>
        <v>1.2196432487511122E-2</v>
      </c>
    </row>
    <row r="52" spans="1:9" x14ac:dyDescent="0.45">
      <c r="A52" s="106">
        <v>45</v>
      </c>
      <c r="B52" s="107">
        <f>SMALL('[3]Data Residual'!$B$3:$B$54,45)</f>
        <v>75.075599999999994</v>
      </c>
      <c r="C52" s="108">
        <f t="shared" si="0"/>
        <v>1.1528947066309485</v>
      </c>
      <c r="D52" s="108">
        <f t="shared" si="1"/>
        <v>0.87552319749095853</v>
      </c>
      <c r="E52" s="108">
        <f>45/$H$3</f>
        <v>0.86538461538461542</v>
      </c>
      <c r="F52" s="108">
        <f>44/$H$3</f>
        <v>0.84615384615384615</v>
      </c>
      <c r="G52" s="108">
        <f t="shared" si="2"/>
        <v>1.0138582106343108E-2</v>
      </c>
      <c r="H52" s="108">
        <f t="shared" si="3"/>
        <v>2.9369351337112382E-2</v>
      </c>
      <c r="I52" s="108">
        <f t="shared" si="4"/>
        <v>2.9369351337112382E-2</v>
      </c>
    </row>
    <row r="53" spans="1:9" x14ac:dyDescent="0.45">
      <c r="A53" s="109">
        <v>46</v>
      </c>
      <c r="B53" s="110">
        <f>SMALL('[3]Data Residual'!$B$3:$B$54,46)</f>
        <v>78.680400000000006</v>
      </c>
      <c r="C53" s="111">
        <f t="shared" si="0"/>
        <v>1.2077143149498064</v>
      </c>
      <c r="D53" s="111">
        <f t="shared" si="1"/>
        <v>0.88642141507266314</v>
      </c>
      <c r="E53" s="111">
        <f>46/$H$3</f>
        <v>0.88461538461538458</v>
      </c>
      <c r="F53" s="111">
        <f>45/$H$3</f>
        <v>0.86538461538461542</v>
      </c>
      <c r="G53" s="111">
        <f t="shared" si="2"/>
        <v>1.8060304572785624E-3</v>
      </c>
      <c r="H53" s="111">
        <f t="shared" si="3"/>
        <v>2.1036799688047725E-2</v>
      </c>
      <c r="I53" s="111">
        <f t="shared" si="4"/>
        <v>2.1036799688047725E-2</v>
      </c>
    </row>
    <row r="54" spans="1:9" x14ac:dyDescent="0.45">
      <c r="A54" s="106">
        <v>47</v>
      </c>
      <c r="B54" s="107">
        <f>SMALL('[3]Data Residual'!$B$3:$B$54,47)</f>
        <v>83.253</v>
      </c>
      <c r="C54" s="108">
        <f t="shared" si="0"/>
        <v>1.2772516376858272</v>
      </c>
      <c r="D54" s="108">
        <f t="shared" si="1"/>
        <v>0.89924328911923013</v>
      </c>
      <c r="E54" s="108">
        <f>47/$H$3</f>
        <v>0.90384615384615385</v>
      </c>
      <c r="F54" s="108">
        <f>46/$H$3</f>
        <v>0.88461538461538458</v>
      </c>
      <c r="G54" s="108">
        <f t="shared" si="2"/>
        <v>4.6028647269237277E-3</v>
      </c>
      <c r="H54" s="108">
        <f t="shared" si="3"/>
        <v>1.4627904503845546E-2</v>
      </c>
      <c r="I54" s="108">
        <f t="shared" si="4"/>
        <v>1.4627904503845546E-2</v>
      </c>
    </row>
    <row r="55" spans="1:9" x14ac:dyDescent="0.45">
      <c r="A55" s="109">
        <v>48</v>
      </c>
      <c r="B55" s="110">
        <f>SMALL('[3]Data Residual'!$B$3:$B$54,48)</f>
        <v>106.62569999999999</v>
      </c>
      <c r="C55" s="111">
        <f t="shared" si="0"/>
        <v>1.6326894592998313</v>
      </c>
      <c r="D55" s="111">
        <f t="shared" si="1"/>
        <v>0.94873283727580349</v>
      </c>
      <c r="E55" s="111">
        <f>48/$H$3</f>
        <v>0.92307692307692313</v>
      </c>
      <c r="F55" s="111">
        <f>47/$H$3</f>
        <v>0.90384615384615385</v>
      </c>
      <c r="G55" s="111">
        <f t="shared" si="2"/>
        <v>2.5655914198880359E-2</v>
      </c>
      <c r="H55" s="111">
        <f t="shared" si="3"/>
        <v>4.4886683429649632E-2</v>
      </c>
      <c r="I55" s="111">
        <f t="shared" si="4"/>
        <v>4.4886683429649632E-2</v>
      </c>
    </row>
    <row r="56" spans="1:9" x14ac:dyDescent="0.45">
      <c r="A56" s="106">
        <v>49</v>
      </c>
      <c r="B56" s="107">
        <f>SMALL('[3]Data Residual'!$B$3:$B$54,49)</f>
        <v>110.08320000000001</v>
      </c>
      <c r="C56" s="108">
        <f t="shared" si="0"/>
        <v>1.6852690187101871</v>
      </c>
      <c r="D56" s="108">
        <f t="shared" si="1"/>
        <v>0.95403165988085881</v>
      </c>
      <c r="E56" s="108">
        <f>49/$H$3</f>
        <v>0.94230769230769229</v>
      </c>
      <c r="F56" s="108">
        <f>48/$H$3</f>
        <v>0.92307692307692313</v>
      </c>
      <c r="G56" s="108">
        <f t="shared" si="2"/>
        <v>1.1723967573166516E-2</v>
      </c>
      <c r="H56" s="108">
        <f t="shared" si="3"/>
        <v>3.0954736803935679E-2</v>
      </c>
      <c r="I56" s="108">
        <f t="shared" si="4"/>
        <v>3.0954736803935679E-2</v>
      </c>
    </row>
    <row r="57" spans="1:9" x14ac:dyDescent="0.45">
      <c r="A57" s="109">
        <v>50</v>
      </c>
      <c r="B57" s="110">
        <f>SMALL('[3]Data Residual'!$B$3:$B$54,50)</f>
        <v>116.17740000000001</v>
      </c>
      <c r="C57" s="111">
        <f t="shared" si="0"/>
        <v>1.7779459098045007</v>
      </c>
      <c r="D57" s="111">
        <f t="shared" si="1"/>
        <v>0.96229363048597938</v>
      </c>
      <c r="E57" s="111">
        <f>50/$H$3</f>
        <v>0.96153846153846156</v>
      </c>
      <c r="F57" s="111">
        <f>49/$H$3</f>
        <v>0.94230769230769229</v>
      </c>
      <c r="G57" s="111">
        <f t="shared" si="2"/>
        <v>7.5516894751781471E-4</v>
      </c>
      <c r="H57" s="111">
        <f t="shared" si="3"/>
        <v>1.9985938178287088E-2</v>
      </c>
      <c r="I57" s="111">
        <f t="shared" si="4"/>
        <v>1.9985938178287088E-2</v>
      </c>
    </row>
    <row r="58" spans="1:9" x14ac:dyDescent="0.45">
      <c r="A58" s="106">
        <v>51</v>
      </c>
      <c r="B58" s="107">
        <f>SMALL('[3]Data Residual'!$B$3:$B$54,51)</f>
        <v>119.55549999999999</v>
      </c>
      <c r="C58" s="108">
        <f t="shared" si="0"/>
        <v>1.8293180022539937</v>
      </c>
      <c r="D58" s="108">
        <f t="shared" si="1"/>
        <v>0.9663240083292054</v>
      </c>
      <c r="E58" s="108">
        <f>51/$H$3</f>
        <v>0.98076923076923073</v>
      </c>
      <c r="F58" s="108">
        <f>50/$H$3</f>
        <v>0.96153846153846156</v>
      </c>
      <c r="G58" s="108">
        <f t="shared" si="2"/>
        <v>1.4445222440025329E-2</v>
      </c>
      <c r="H58" s="108">
        <f t="shared" si="3"/>
        <v>4.7855467907438332E-3</v>
      </c>
      <c r="I58" s="108">
        <f t="shared" si="4"/>
        <v>1.4445222440025329E-2</v>
      </c>
    </row>
    <row r="59" spans="1:9" x14ac:dyDescent="0.45">
      <c r="A59" s="109">
        <v>52</v>
      </c>
      <c r="B59" s="110">
        <f>SMALL('[3]Data Residual'!$B$3:$B$54,52)</f>
        <v>148.18520000000001</v>
      </c>
      <c r="C59" s="111">
        <f t="shared" si="0"/>
        <v>2.2647010859996652</v>
      </c>
      <c r="D59" s="111">
        <f t="shared" si="1"/>
        <v>0.98823448559992322</v>
      </c>
      <c r="E59" s="111">
        <f>52/$H$3</f>
        <v>1</v>
      </c>
      <c r="F59" s="111">
        <f>51/$H$3</f>
        <v>0.98076923076923073</v>
      </c>
      <c r="G59" s="111">
        <f t="shared" si="2"/>
        <v>1.1765514400076782E-2</v>
      </c>
      <c r="H59" s="111">
        <f t="shared" si="3"/>
        <v>7.4652548306924915E-3</v>
      </c>
      <c r="I59" s="111">
        <f t="shared" si="4"/>
        <v>1.1765514400076782E-2</v>
      </c>
    </row>
    <row r="61" spans="1:9" x14ac:dyDescent="0.45">
      <c r="A61" s="153" t="s">
        <v>132</v>
      </c>
      <c r="B61" s="153"/>
      <c r="C61" s="153"/>
      <c r="D61" s="153"/>
      <c r="E61" s="153"/>
      <c r="F61" s="153"/>
      <c r="G61" s="153"/>
      <c r="H61" s="153"/>
      <c r="I61" s="153"/>
    </row>
    <row r="62" spans="1:9" x14ac:dyDescent="0.45">
      <c r="A62" s="146" t="s">
        <v>133</v>
      </c>
      <c r="B62" s="146"/>
      <c r="C62" s="146"/>
      <c r="D62" s="146"/>
      <c r="E62" s="146"/>
      <c r="F62" s="146"/>
      <c r="G62" s="146"/>
      <c r="H62" s="146"/>
      <c r="I62" s="93">
        <f>MAX(I8:I59)</f>
        <v>8.0614033570838128E-2</v>
      </c>
    </row>
    <row r="63" spans="1:9" x14ac:dyDescent="0.45">
      <c r="A63" s="146" t="s">
        <v>134</v>
      </c>
      <c r="B63" s="146"/>
      <c r="C63" s="146"/>
      <c r="D63" s="146"/>
      <c r="E63" s="146"/>
      <c r="F63" s="146"/>
      <c r="G63" s="146"/>
      <c r="H63" s="146"/>
      <c r="I63" s="94">
        <f>1.36/SQRT($H$3)</f>
        <v>0.18859806671657792</v>
      </c>
    </row>
    <row r="64" spans="1:9" x14ac:dyDescent="0.45">
      <c r="A64" s="146" t="s">
        <v>135</v>
      </c>
      <c r="B64" s="146"/>
      <c r="C64" s="146"/>
      <c r="D64" s="146"/>
      <c r="E64" s="146"/>
      <c r="F64" s="146"/>
      <c r="G64" s="146"/>
      <c r="H64" s="146"/>
      <c r="I64" s="94">
        <f>1.628/SQRT($H$3)</f>
        <v>0.22576297986366825</v>
      </c>
    </row>
    <row r="65" spans="1:9" x14ac:dyDescent="0.45">
      <c r="A65" s="146" t="s">
        <v>136</v>
      </c>
      <c r="B65" s="146"/>
      <c r="C65" s="146"/>
      <c r="D65" s="146"/>
      <c r="E65" s="146"/>
      <c r="F65" s="146"/>
      <c r="G65" s="146"/>
      <c r="H65" s="146"/>
      <c r="I65" s="95" t="str">
        <f>IF(I62&lt;=I63,"NORMAL","TIDAK NORMAL")</f>
        <v>NORMAL</v>
      </c>
    </row>
    <row r="66" spans="1:9" x14ac:dyDescent="0.45">
      <c r="A66" s="146" t="s">
        <v>137</v>
      </c>
      <c r="B66" s="146"/>
      <c r="C66" s="146"/>
      <c r="D66" s="146"/>
      <c r="E66" s="146"/>
      <c r="F66" s="146"/>
      <c r="G66" s="146"/>
      <c r="H66" s="146"/>
      <c r="I66" s="95" t="str">
        <f>IF(I62&lt;=I64,"NORMAL","TIDAK NORMAL")</f>
        <v>NORMAL</v>
      </c>
    </row>
  </sheetData>
  <mergeCells count="13">
    <mergeCell ref="A66:H66"/>
    <mergeCell ref="A1:I1"/>
    <mergeCell ref="A3:G3"/>
    <mergeCell ref="H3:I3"/>
    <mergeCell ref="A4:G4"/>
    <mergeCell ref="H4:I4"/>
    <mergeCell ref="A5:G5"/>
    <mergeCell ref="H5:I5"/>
    <mergeCell ref="A61:I61"/>
    <mergeCell ref="A62:H62"/>
    <mergeCell ref="A63:H63"/>
    <mergeCell ref="A64:H64"/>
    <mergeCell ref="A65:H6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3703-B8E6-4146-AD03-A225FCDDF617}">
  <dimension ref="A1:F83"/>
  <sheetViews>
    <sheetView topLeftCell="A36" zoomScale="83" workbookViewId="0">
      <selection activeCell="H93" sqref="H93"/>
    </sheetView>
  </sheetViews>
  <sheetFormatPr defaultRowHeight="14.25" x14ac:dyDescent="0.45"/>
  <cols>
    <col min="1" max="1" width="13.6640625" style="36" customWidth="1"/>
    <col min="2" max="2" width="9.06640625" style="36"/>
    <col min="6" max="6" width="11.46484375" bestFit="1" customWidth="1"/>
  </cols>
  <sheetData>
    <row r="1" spans="1:6" ht="28.5" x14ac:dyDescent="0.45">
      <c r="A1" s="40" t="s">
        <v>60</v>
      </c>
      <c r="B1" s="37" t="s">
        <v>59</v>
      </c>
    </row>
    <row r="2" spans="1:6" x14ac:dyDescent="0.45">
      <c r="A2" s="20">
        <v>-62.613599999999998</v>
      </c>
      <c r="B2" s="20">
        <f>A2^2</f>
        <v>3920.4629049599998</v>
      </c>
      <c r="E2" s="13"/>
      <c r="F2" s="13"/>
    </row>
    <row r="3" spans="1:6" x14ac:dyDescent="0.45">
      <c r="A3" s="20">
        <v>-40.784700000000001</v>
      </c>
      <c r="B3" s="20">
        <f t="shared" ref="B3:B66" si="0">A3^2</f>
        <v>1663.3917540900002</v>
      </c>
      <c r="E3" s="13"/>
      <c r="F3" s="13"/>
    </row>
    <row r="4" spans="1:6" x14ac:dyDescent="0.45">
      <c r="A4" s="20">
        <v>-47.162399999999998</v>
      </c>
      <c r="B4" s="20">
        <f t="shared" si="0"/>
        <v>2224.29197376</v>
      </c>
      <c r="E4" s="13"/>
      <c r="F4" s="13"/>
    </row>
    <row r="5" spans="1:6" x14ac:dyDescent="0.45">
      <c r="A5" s="20">
        <v>-21.322299999999998</v>
      </c>
      <c r="B5" s="20">
        <f t="shared" si="0"/>
        <v>454.64047728999992</v>
      </c>
      <c r="E5" s="13"/>
      <c r="F5" s="13"/>
    </row>
    <row r="6" spans="1:6" x14ac:dyDescent="0.45">
      <c r="A6" s="20">
        <v>20.957000000000001</v>
      </c>
      <c r="B6" s="20">
        <f t="shared" si="0"/>
        <v>439.19584900000001</v>
      </c>
      <c r="E6" s="13"/>
      <c r="F6" s="13"/>
    </row>
    <row r="7" spans="1:6" x14ac:dyDescent="0.45">
      <c r="A7" s="20">
        <v>-10.7194</v>
      </c>
      <c r="B7" s="20">
        <f t="shared" si="0"/>
        <v>114.90553636</v>
      </c>
      <c r="F7" s="13"/>
    </row>
    <row r="8" spans="1:6" x14ac:dyDescent="0.45">
      <c r="A8" s="20">
        <v>48.2226</v>
      </c>
      <c r="B8" s="20">
        <f t="shared" si="0"/>
        <v>2325.4191507599999</v>
      </c>
      <c r="F8" s="13"/>
    </row>
    <row r="9" spans="1:6" x14ac:dyDescent="0.45">
      <c r="A9" s="20">
        <v>3.7227000000000001</v>
      </c>
      <c r="B9" s="20">
        <f t="shared" si="0"/>
        <v>13.85849529</v>
      </c>
      <c r="F9" s="13"/>
    </row>
    <row r="10" spans="1:6" x14ac:dyDescent="0.45">
      <c r="A10" s="20">
        <v>-42.082299999999996</v>
      </c>
      <c r="B10" s="20">
        <f t="shared" si="0"/>
        <v>1770.9199732899997</v>
      </c>
      <c r="F10" s="13"/>
    </row>
    <row r="11" spans="1:6" x14ac:dyDescent="0.45">
      <c r="A11" s="20">
        <v>-56.824300000000001</v>
      </c>
      <c r="B11" s="20">
        <f t="shared" si="0"/>
        <v>3229.0010704900001</v>
      </c>
      <c r="F11" s="13"/>
    </row>
    <row r="12" spans="1:6" x14ac:dyDescent="0.45">
      <c r="A12" s="20">
        <v>-16.5321</v>
      </c>
      <c r="B12" s="20">
        <f t="shared" si="0"/>
        <v>273.31033041000001</v>
      </c>
      <c r="F12" s="13"/>
    </row>
    <row r="13" spans="1:6" x14ac:dyDescent="0.45">
      <c r="A13" s="20">
        <v>20.6126</v>
      </c>
      <c r="B13" s="20">
        <f t="shared" si="0"/>
        <v>424.87927876000003</v>
      </c>
      <c r="F13" s="13"/>
    </row>
    <row r="14" spans="1:6" x14ac:dyDescent="0.45">
      <c r="A14" s="20">
        <v>93.308899999999994</v>
      </c>
      <c r="B14" s="20">
        <f t="shared" si="0"/>
        <v>8706.5508192099987</v>
      </c>
      <c r="F14" s="13"/>
    </row>
    <row r="15" spans="1:6" x14ac:dyDescent="0.45">
      <c r="A15" s="20">
        <v>-7.8372000000000002</v>
      </c>
      <c r="B15" s="20">
        <f t="shared" si="0"/>
        <v>61.421703839999999</v>
      </c>
      <c r="F15" s="13"/>
    </row>
    <row r="16" spans="1:6" x14ac:dyDescent="0.45">
      <c r="A16" s="20">
        <v>70.283199999999994</v>
      </c>
      <c r="B16" s="20">
        <f t="shared" si="0"/>
        <v>4939.7282022399995</v>
      </c>
      <c r="F16" s="13"/>
    </row>
    <row r="17" spans="1:6" x14ac:dyDescent="0.45">
      <c r="A17" s="20">
        <v>-78.542699999999996</v>
      </c>
      <c r="B17" s="20">
        <f t="shared" si="0"/>
        <v>6168.9557232899997</v>
      </c>
      <c r="F17" s="13"/>
    </row>
    <row r="18" spans="1:6" x14ac:dyDescent="0.45">
      <c r="A18" s="20">
        <v>22.287099999999999</v>
      </c>
      <c r="B18" s="20">
        <f t="shared" si="0"/>
        <v>496.71482640999994</v>
      </c>
      <c r="F18" s="13"/>
    </row>
    <row r="19" spans="1:6" x14ac:dyDescent="0.45">
      <c r="A19" s="20">
        <v>-62.684399999999997</v>
      </c>
      <c r="B19" s="20">
        <f t="shared" si="0"/>
        <v>3929.3340033599998</v>
      </c>
      <c r="F19" s="13"/>
    </row>
    <row r="20" spans="1:6" x14ac:dyDescent="0.45">
      <c r="A20" s="20">
        <v>65.524600000000007</v>
      </c>
      <c r="B20" s="20">
        <f t="shared" si="0"/>
        <v>4293.4732051600013</v>
      </c>
      <c r="F20" s="13"/>
    </row>
    <row r="21" spans="1:6" x14ac:dyDescent="0.45">
      <c r="A21" s="20">
        <v>46.136899999999997</v>
      </c>
      <c r="B21" s="20">
        <f t="shared" si="0"/>
        <v>2128.6135416099996</v>
      </c>
      <c r="F21" s="13"/>
    </row>
    <row r="22" spans="1:6" x14ac:dyDescent="0.45">
      <c r="A22" s="20">
        <v>22.4953</v>
      </c>
      <c r="B22" s="20">
        <f t="shared" si="0"/>
        <v>506.03852209000001</v>
      </c>
      <c r="F22" s="13"/>
    </row>
    <row r="23" spans="1:6" x14ac:dyDescent="0.45">
      <c r="A23" s="20">
        <v>-19.6111</v>
      </c>
      <c r="B23" s="20">
        <f t="shared" si="0"/>
        <v>384.59524321000004</v>
      </c>
      <c r="F23" s="13"/>
    </row>
    <row r="24" spans="1:6" x14ac:dyDescent="0.45">
      <c r="A24" s="20">
        <v>79.290999999999997</v>
      </c>
      <c r="B24" s="20">
        <f t="shared" si="0"/>
        <v>6287.0626809999994</v>
      </c>
      <c r="F24" s="13"/>
    </row>
    <row r="25" spans="1:6" x14ac:dyDescent="0.45">
      <c r="A25" s="20">
        <v>9.1717999999999993</v>
      </c>
      <c r="B25" s="20">
        <f t="shared" si="0"/>
        <v>84.121915239999993</v>
      </c>
      <c r="F25" s="13"/>
    </row>
    <row r="26" spans="1:6" x14ac:dyDescent="0.45">
      <c r="A26" s="20">
        <v>-24.393000000000001</v>
      </c>
      <c r="B26" s="20">
        <f t="shared" si="0"/>
        <v>595.01844900000003</v>
      </c>
      <c r="F26" s="13"/>
    </row>
    <row r="27" spans="1:6" x14ac:dyDescent="0.45">
      <c r="A27" s="20">
        <v>105.7081</v>
      </c>
      <c r="B27" s="20">
        <f t="shared" si="0"/>
        <v>11174.20240561</v>
      </c>
      <c r="F27" s="13"/>
    </row>
    <row r="28" spans="1:6" x14ac:dyDescent="0.45">
      <c r="A28" s="20">
        <v>16.2758</v>
      </c>
      <c r="B28" s="20">
        <f t="shared" si="0"/>
        <v>264.90166564000003</v>
      </c>
      <c r="F28" s="13"/>
    </row>
    <row r="29" spans="1:6" x14ac:dyDescent="0.45">
      <c r="A29" s="20">
        <v>20.272400000000001</v>
      </c>
      <c r="B29" s="20">
        <f t="shared" si="0"/>
        <v>410.97020176000007</v>
      </c>
      <c r="F29" s="13"/>
    </row>
    <row r="30" spans="1:6" x14ac:dyDescent="0.45">
      <c r="A30" s="20">
        <v>27.483799999999999</v>
      </c>
      <c r="B30" s="20">
        <f t="shared" si="0"/>
        <v>755.35926243999995</v>
      </c>
      <c r="F30" s="13"/>
    </row>
    <row r="31" spans="1:6" x14ac:dyDescent="0.45">
      <c r="A31" s="20">
        <v>-116.7903</v>
      </c>
      <c r="B31" s="20">
        <f t="shared" si="0"/>
        <v>13639.974174090001</v>
      </c>
      <c r="F31" s="13"/>
    </row>
    <row r="32" spans="1:6" x14ac:dyDescent="0.45">
      <c r="A32" s="20">
        <v>71.447599999999994</v>
      </c>
      <c r="B32" s="20">
        <f t="shared" si="0"/>
        <v>5104.7595457599991</v>
      </c>
      <c r="F32" s="13"/>
    </row>
    <row r="33" spans="1:6" x14ac:dyDescent="0.45">
      <c r="A33" s="20">
        <v>-22.120899999999999</v>
      </c>
      <c r="B33" s="20">
        <f t="shared" si="0"/>
        <v>489.33421680999993</v>
      </c>
      <c r="F33" s="13"/>
    </row>
    <row r="34" spans="1:6" x14ac:dyDescent="0.45">
      <c r="A34" s="20">
        <v>-139.9967</v>
      </c>
      <c r="B34" s="20">
        <f t="shared" si="0"/>
        <v>19599.076010889999</v>
      </c>
      <c r="F34" s="13"/>
    </row>
    <row r="35" spans="1:6" x14ac:dyDescent="0.45">
      <c r="A35" s="20">
        <v>-19.713799999999999</v>
      </c>
      <c r="B35" s="20">
        <f t="shared" si="0"/>
        <v>388.63391043999997</v>
      </c>
      <c r="F35" s="13"/>
    </row>
    <row r="36" spans="1:6" x14ac:dyDescent="0.45">
      <c r="A36" s="20">
        <v>20.598199999999999</v>
      </c>
      <c r="B36" s="20">
        <f t="shared" si="0"/>
        <v>424.28584323999996</v>
      </c>
      <c r="F36" s="13"/>
    </row>
    <row r="37" spans="1:6" x14ac:dyDescent="0.45">
      <c r="A37" s="20">
        <v>90.492000000000004</v>
      </c>
      <c r="B37" s="20">
        <f t="shared" si="0"/>
        <v>8188.8020640000004</v>
      </c>
      <c r="F37" s="13"/>
    </row>
    <row r="38" spans="1:6" x14ac:dyDescent="0.45">
      <c r="A38" s="20">
        <v>-125.86839999999999</v>
      </c>
      <c r="B38" s="20">
        <f t="shared" si="0"/>
        <v>15842.854118559999</v>
      </c>
      <c r="F38" s="13"/>
    </row>
    <row r="39" spans="1:6" x14ac:dyDescent="0.45">
      <c r="A39" s="20">
        <v>7.8410000000000002</v>
      </c>
      <c r="B39" s="20">
        <f t="shared" si="0"/>
        <v>61.481281000000003</v>
      </c>
      <c r="F39" s="13"/>
    </row>
    <row r="40" spans="1:6" x14ac:dyDescent="0.45">
      <c r="A40" s="20">
        <v>-56.174199999999999</v>
      </c>
      <c r="B40" s="20">
        <f t="shared" si="0"/>
        <v>3155.5407456399998</v>
      </c>
      <c r="F40" s="13"/>
    </row>
    <row r="41" spans="1:6" x14ac:dyDescent="0.45">
      <c r="A41" s="20">
        <v>-15.773999999999999</v>
      </c>
      <c r="B41" s="20">
        <f t="shared" si="0"/>
        <v>248.81907599999997</v>
      </c>
      <c r="F41" s="13"/>
    </row>
    <row r="42" spans="1:6" x14ac:dyDescent="0.45">
      <c r="A42" s="20">
        <v>-21.9117</v>
      </c>
      <c r="B42" s="20">
        <f t="shared" si="0"/>
        <v>480.12259689000001</v>
      </c>
      <c r="F42" s="13"/>
    </row>
    <row r="43" spans="1:6" x14ac:dyDescent="0.45">
      <c r="A43" s="20">
        <v>-1.2174</v>
      </c>
      <c r="B43" s="20">
        <f t="shared" si="0"/>
        <v>1.48206276</v>
      </c>
      <c r="F43" s="13"/>
    </row>
    <row r="44" spans="1:6" x14ac:dyDescent="0.45">
      <c r="A44" s="20">
        <v>5.8997000000000002</v>
      </c>
      <c r="B44" s="20">
        <f t="shared" si="0"/>
        <v>34.806460090000002</v>
      </c>
      <c r="F44" s="13"/>
    </row>
    <row r="45" spans="1:6" x14ac:dyDescent="0.45">
      <c r="A45" s="20">
        <v>-35.350299999999997</v>
      </c>
      <c r="B45" s="20">
        <f t="shared" si="0"/>
        <v>1249.6437100899998</v>
      </c>
      <c r="F45" s="13"/>
    </row>
    <row r="46" spans="1:6" x14ac:dyDescent="0.45">
      <c r="A46" s="20">
        <v>90.989000000000004</v>
      </c>
      <c r="B46" s="20">
        <f t="shared" si="0"/>
        <v>8278.9981210000005</v>
      </c>
      <c r="F46" s="13"/>
    </row>
    <row r="47" spans="1:6" x14ac:dyDescent="0.45">
      <c r="A47" s="20">
        <v>5.9542999999999999</v>
      </c>
      <c r="B47" s="20">
        <f t="shared" si="0"/>
        <v>35.453688489999998</v>
      </c>
      <c r="F47" s="13"/>
    </row>
    <row r="48" spans="1:6" x14ac:dyDescent="0.45">
      <c r="A48" s="20">
        <v>-36.043999999999997</v>
      </c>
      <c r="B48" s="20">
        <f t="shared" si="0"/>
        <v>1299.1699359999998</v>
      </c>
      <c r="F48" s="13"/>
    </row>
    <row r="49" spans="1:6" x14ac:dyDescent="0.45">
      <c r="A49" s="20">
        <v>-58.923900000000003</v>
      </c>
      <c r="B49" s="20">
        <f t="shared" si="0"/>
        <v>3472.0259912100005</v>
      </c>
      <c r="F49" s="13"/>
    </row>
    <row r="50" spans="1:6" x14ac:dyDescent="0.45">
      <c r="A50" s="20">
        <v>-20.6861</v>
      </c>
      <c r="B50" s="20">
        <f t="shared" si="0"/>
        <v>427.91473321000001</v>
      </c>
      <c r="F50" s="13"/>
    </row>
    <row r="51" spans="1:6" x14ac:dyDescent="0.45">
      <c r="A51" s="20">
        <v>-70.846999999999994</v>
      </c>
      <c r="B51" s="20">
        <f t="shared" si="0"/>
        <v>5019.2974089999989</v>
      </c>
      <c r="F51" s="13"/>
    </row>
    <row r="52" spans="1:6" x14ac:dyDescent="0.45">
      <c r="A52" s="20">
        <v>-26.7605</v>
      </c>
      <c r="B52" s="20">
        <f t="shared" si="0"/>
        <v>716.12436025</v>
      </c>
      <c r="F52" s="13"/>
    </row>
    <row r="53" spans="1:6" x14ac:dyDescent="0.45">
      <c r="A53" s="20">
        <v>-40.812600000000003</v>
      </c>
      <c r="B53" s="20">
        <f t="shared" si="0"/>
        <v>1665.6683187600004</v>
      </c>
      <c r="F53" s="13"/>
    </row>
    <row r="54" spans="1:6" x14ac:dyDescent="0.45">
      <c r="A54" s="20">
        <v>-80.233999999999995</v>
      </c>
      <c r="B54" s="20">
        <f t="shared" si="0"/>
        <v>6437.4947559999991</v>
      </c>
      <c r="F54" s="13"/>
    </row>
    <row r="55" spans="1:6" x14ac:dyDescent="0.45">
      <c r="A55" s="20">
        <v>94.731099999999998</v>
      </c>
      <c r="B55" s="20">
        <f t="shared" si="0"/>
        <v>8973.9813072099987</v>
      </c>
      <c r="F55" s="13"/>
    </row>
    <row r="56" spans="1:6" x14ac:dyDescent="0.45">
      <c r="A56" s="20">
        <v>63.404400000000003</v>
      </c>
      <c r="B56" s="20">
        <f t="shared" si="0"/>
        <v>4020.1179393600005</v>
      </c>
      <c r="F56" s="13"/>
    </row>
    <row r="57" spans="1:6" x14ac:dyDescent="0.45">
      <c r="A57" s="20">
        <v>49.078499999999998</v>
      </c>
      <c r="B57" s="20">
        <f t="shared" si="0"/>
        <v>2408.69916225</v>
      </c>
      <c r="F57" s="13"/>
    </row>
    <row r="58" spans="1:6" x14ac:dyDescent="0.45">
      <c r="A58" s="20">
        <v>-121.6966</v>
      </c>
      <c r="B58" s="20">
        <f t="shared" si="0"/>
        <v>14810.062451560001</v>
      </c>
      <c r="F58" s="13"/>
    </row>
    <row r="59" spans="1:6" x14ac:dyDescent="0.45">
      <c r="A59" s="20">
        <v>116.4059</v>
      </c>
      <c r="B59" s="20">
        <f t="shared" si="0"/>
        <v>13550.33355481</v>
      </c>
      <c r="F59" s="13"/>
    </row>
    <row r="60" spans="1:6" x14ac:dyDescent="0.45">
      <c r="A60" s="20">
        <v>-39.5077</v>
      </c>
      <c r="B60" s="20">
        <f t="shared" si="0"/>
        <v>1560.85835929</v>
      </c>
      <c r="F60" s="13"/>
    </row>
    <row r="61" spans="1:6" x14ac:dyDescent="0.45">
      <c r="A61" s="20">
        <v>-9.6221999999999994</v>
      </c>
      <c r="B61" s="20">
        <f t="shared" si="0"/>
        <v>92.586732839999982</v>
      </c>
      <c r="F61" s="13"/>
    </row>
    <row r="62" spans="1:6" x14ac:dyDescent="0.45">
      <c r="A62" s="20">
        <v>-8.2711000000000006</v>
      </c>
      <c r="B62" s="20">
        <f t="shared" si="0"/>
        <v>68.411095210000013</v>
      </c>
      <c r="F62" s="13"/>
    </row>
    <row r="63" spans="1:6" x14ac:dyDescent="0.45">
      <c r="A63" s="20">
        <v>14.690200000000001</v>
      </c>
      <c r="B63" s="20">
        <f t="shared" si="0"/>
        <v>215.80197604000003</v>
      </c>
      <c r="F63" s="13"/>
    </row>
    <row r="64" spans="1:6" x14ac:dyDescent="0.45">
      <c r="A64" s="20">
        <v>-117.14490000000001</v>
      </c>
      <c r="B64" s="20">
        <f t="shared" si="0"/>
        <v>13722.927596010002</v>
      </c>
      <c r="F64" s="13"/>
    </row>
    <row r="65" spans="1:6" x14ac:dyDescent="0.45">
      <c r="A65" s="20">
        <v>-41.028399999999998</v>
      </c>
      <c r="B65" s="20">
        <f t="shared" si="0"/>
        <v>1683.3296065599998</v>
      </c>
      <c r="F65" s="13"/>
    </row>
    <row r="66" spans="1:6" x14ac:dyDescent="0.45">
      <c r="A66" s="20">
        <v>109.11060000000001</v>
      </c>
      <c r="B66" s="20">
        <f t="shared" si="0"/>
        <v>11905.123032360001</v>
      </c>
      <c r="F66" s="13"/>
    </row>
    <row r="67" spans="1:6" x14ac:dyDescent="0.45">
      <c r="A67" s="20">
        <v>16.357800000000001</v>
      </c>
      <c r="B67" s="20">
        <f t="shared" ref="B67:B76" si="1">A67^2</f>
        <v>267.57762084000001</v>
      </c>
      <c r="F67" s="13"/>
    </row>
    <row r="68" spans="1:6" x14ac:dyDescent="0.45">
      <c r="A68" s="20">
        <v>1.5618000000000001</v>
      </c>
      <c r="B68" s="20">
        <f t="shared" si="1"/>
        <v>2.4392192400000003</v>
      </c>
      <c r="F68" s="13"/>
    </row>
    <row r="69" spans="1:6" x14ac:dyDescent="0.45">
      <c r="A69" s="20">
        <v>-42.400799999999997</v>
      </c>
      <c r="B69" s="20">
        <f t="shared" si="1"/>
        <v>1797.8278406399997</v>
      </c>
      <c r="F69" s="13"/>
    </row>
    <row r="70" spans="1:6" x14ac:dyDescent="0.45">
      <c r="A70" s="20">
        <v>-62.193199999999997</v>
      </c>
      <c r="B70" s="20">
        <f t="shared" si="1"/>
        <v>3867.9941262399998</v>
      </c>
      <c r="F70" s="13"/>
    </row>
    <row r="71" spans="1:6" x14ac:dyDescent="0.45">
      <c r="A71" s="20">
        <v>150.94229999999999</v>
      </c>
      <c r="B71" s="20">
        <f t="shared" si="1"/>
        <v>22783.577929289997</v>
      </c>
      <c r="F71" s="13"/>
    </row>
    <row r="72" spans="1:6" x14ac:dyDescent="0.45">
      <c r="A72" s="20">
        <v>77.912800000000004</v>
      </c>
      <c r="B72" s="20">
        <f t="shared" si="1"/>
        <v>6070.4044038400007</v>
      </c>
      <c r="F72" s="13"/>
    </row>
    <row r="73" spans="1:6" x14ac:dyDescent="0.45">
      <c r="A73" s="20">
        <v>16.61</v>
      </c>
      <c r="B73" s="20">
        <f t="shared" si="1"/>
        <v>275.89209999999997</v>
      </c>
      <c r="F73" s="13"/>
    </row>
    <row r="74" spans="1:6" x14ac:dyDescent="0.45">
      <c r="A74" s="20">
        <v>-17.694900000000001</v>
      </c>
      <c r="B74" s="20">
        <f t="shared" si="1"/>
        <v>313.10948601000001</v>
      </c>
      <c r="F74" s="13"/>
    </row>
    <row r="75" spans="1:6" x14ac:dyDescent="0.45">
      <c r="A75" s="20">
        <v>103.02460000000001</v>
      </c>
      <c r="B75" s="20">
        <f t="shared" si="1"/>
        <v>10614.068205160002</v>
      </c>
      <c r="F75" s="13"/>
    </row>
    <row r="76" spans="1:6" x14ac:dyDescent="0.45">
      <c r="A76" s="20">
        <v>1.8184</v>
      </c>
      <c r="B76" s="20">
        <f t="shared" si="1"/>
        <v>3.3065785600000002</v>
      </c>
      <c r="F76" s="13"/>
    </row>
    <row r="77" spans="1:6" x14ac:dyDescent="0.45">
      <c r="A77" s="37" t="s">
        <v>57</v>
      </c>
      <c r="B77" s="37">
        <f>SUM(B2:B76)</f>
        <v>283311.53261906997</v>
      </c>
      <c r="F77" s="13"/>
    </row>
    <row r="78" spans="1:6" x14ac:dyDescent="0.45">
      <c r="A78" s="37" t="s">
        <v>58</v>
      </c>
      <c r="B78" s="37">
        <f>B77/75</f>
        <v>3777.4871015875997</v>
      </c>
      <c r="F78" s="13"/>
    </row>
    <row r="79" spans="1:6" x14ac:dyDescent="0.45">
      <c r="A79" s="37" t="s">
        <v>55</v>
      </c>
      <c r="B79" s="37">
        <f>LN(B78)</f>
        <v>8.23681427960436</v>
      </c>
      <c r="F79" s="13"/>
    </row>
    <row r="80" spans="1:6" x14ac:dyDescent="0.45">
      <c r="A80" s="37" t="s">
        <v>56</v>
      </c>
      <c r="B80" s="37">
        <f>76*B79+10+76*(1.17435900562)+75</f>
        <v>800.24916967705144</v>
      </c>
      <c r="F80" s="13"/>
    </row>
    <row r="81" spans="6:6" x14ac:dyDescent="0.45">
      <c r="F81" s="13"/>
    </row>
    <row r="82" spans="6:6" x14ac:dyDescent="0.45">
      <c r="F82" s="13"/>
    </row>
    <row r="83" spans="6:6" x14ac:dyDescent="0.45">
      <c r="F83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9B39-725E-445B-BB75-901921308A10}">
  <dimension ref="A1:C64"/>
  <sheetViews>
    <sheetView topLeftCell="A53" workbookViewId="0">
      <selection activeCell="E69" sqref="E69"/>
    </sheetView>
  </sheetViews>
  <sheetFormatPr defaultRowHeight="14.25" x14ac:dyDescent="0.45"/>
  <cols>
    <col min="1" max="1" width="8" customWidth="1"/>
    <col min="2" max="2" width="25.53125" customWidth="1"/>
    <col min="3" max="3" width="18" customWidth="1"/>
  </cols>
  <sheetData>
    <row r="1" spans="1:3" x14ac:dyDescent="0.45">
      <c r="A1" s="114" t="s">
        <v>141</v>
      </c>
      <c r="B1" s="114" t="s">
        <v>142</v>
      </c>
      <c r="C1" s="114" t="s">
        <v>143</v>
      </c>
    </row>
    <row r="2" spans="1:3" x14ac:dyDescent="0.45">
      <c r="A2" s="115">
        <v>29</v>
      </c>
      <c r="B2" s="116">
        <v>33.737299999999998</v>
      </c>
      <c r="C2" s="117">
        <f t="shared" ref="C2:C53" si="0">B2^2</f>
        <v>1138.2054112899998</v>
      </c>
    </row>
    <row r="3" spans="1:3" x14ac:dyDescent="0.45">
      <c r="A3" s="115">
        <v>30</v>
      </c>
      <c r="B3" s="116">
        <v>4.3311000000000002</v>
      </c>
      <c r="C3" s="117">
        <f t="shared" si="0"/>
        <v>18.758427210000001</v>
      </c>
    </row>
    <row r="4" spans="1:3" x14ac:dyDescent="0.45">
      <c r="A4" s="115">
        <v>31</v>
      </c>
      <c r="B4" s="116">
        <v>148.18520000000001</v>
      </c>
      <c r="C4" s="117">
        <f t="shared" si="0"/>
        <v>21958.853499040004</v>
      </c>
    </row>
    <row r="5" spans="1:3" x14ac:dyDescent="0.45">
      <c r="A5" s="115">
        <v>32</v>
      </c>
      <c r="B5" s="116">
        <v>-29.552</v>
      </c>
      <c r="C5" s="117">
        <f t="shared" si="0"/>
        <v>873.32070399999998</v>
      </c>
    </row>
    <row r="6" spans="1:3" x14ac:dyDescent="0.45">
      <c r="A6" s="115">
        <v>33</v>
      </c>
      <c r="B6" s="116">
        <v>-122.8664</v>
      </c>
      <c r="C6" s="117">
        <f t="shared" si="0"/>
        <v>15096.152248959999</v>
      </c>
    </row>
    <row r="7" spans="1:3" x14ac:dyDescent="0.45">
      <c r="A7" s="115">
        <v>34</v>
      </c>
      <c r="B7" s="116">
        <v>-66.205500000000001</v>
      </c>
      <c r="C7" s="117">
        <f t="shared" si="0"/>
        <v>4383.1682302500003</v>
      </c>
    </row>
    <row r="8" spans="1:3" x14ac:dyDescent="0.45">
      <c r="A8" s="115">
        <v>35</v>
      </c>
      <c r="B8" s="116">
        <v>-150.85380000000001</v>
      </c>
      <c r="C8" s="117">
        <f t="shared" si="0"/>
        <v>22756.868974440004</v>
      </c>
    </row>
    <row r="9" spans="1:3" x14ac:dyDescent="0.45">
      <c r="A9" s="115">
        <v>36</v>
      </c>
      <c r="B9" s="116">
        <v>24.800999999999998</v>
      </c>
      <c r="C9" s="117">
        <f t="shared" si="0"/>
        <v>615.0896009999999</v>
      </c>
    </row>
    <row r="10" spans="1:3" x14ac:dyDescent="0.45">
      <c r="A10" s="115">
        <v>37</v>
      </c>
      <c r="B10" s="116">
        <v>-68.082800000000006</v>
      </c>
      <c r="C10" s="117">
        <f t="shared" si="0"/>
        <v>4635.2676558400008</v>
      </c>
    </row>
    <row r="11" spans="1:3" x14ac:dyDescent="0.45">
      <c r="A11" s="115">
        <v>38</v>
      </c>
      <c r="B11" s="116">
        <v>-79.753100000000003</v>
      </c>
      <c r="C11" s="117">
        <f t="shared" si="0"/>
        <v>6360.5569596100004</v>
      </c>
    </row>
    <row r="12" spans="1:3" x14ac:dyDescent="0.45">
      <c r="A12" s="115">
        <v>39</v>
      </c>
      <c r="B12" s="116">
        <v>23.095099999999999</v>
      </c>
      <c r="C12" s="117">
        <f t="shared" si="0"/>
        <v>533.3836440099999</v>
      </c>
    </row>
    <row r="13" spans="1:3" x14ac:dyDescent="0.45">
      <c r="A13" s="115">
        <v>40</v>
      </c>
      <c r="B13" s="116">
        <v>42.010300000000001</v>
      </c>
      <c r="C13" s="117">
        <f t="shared" si="0"/>
        <v>1764.8653060900001</v>
      </c>
    </row>
    <row r="14" spans="1:3" x14ac:dyDescent="0.45">
      <c r="A14" s="115">
        <v>41</v>
      </c>
      <c r="B14" s="116">
        <v>75.075599999999994</v>
      </c>
      <c r="C14" s="117">
        <f t="shared" si="0"/>
        <v>5636.3457153599993</v>
      </c>
    </row>
    <row r="15" spans="1:3" x14ac:dyDescent="0.45">
      <c r="A15" s="115">
        <v>42</v>
      </c>
      <c r="B15" s="116">
        <v>-140.51570000000001</v>
      </c>
      <c r="C15" s="117">
        <f t="shared" si="0"/>
        <v>19744.661946490003</v>
      </c>
    </row>
    <row r="16" spans="1:3" x14ac:dyDescent="0.45">
      <c r="A16" s="115">
        <v>43</v>
      </c>
      <c r="B16" s="116">
        <v>9.5344999999999995</v>
      </c>
      <c r="C16" s="117">
        <f t="shared" si="0"/>
        <v>90.906690249999997</v>
      </c>
    </row>
    <row r="17" spans="1:3" x14ac:dyDescent="0.45">
      <c r="A17" s="115">
        <v>44</v>
      </c>
      <c r="B17" s="116">
        <v>-63.026800000000001</v>
      </c>
      <c r="C17" s="117">
        <f t="shared" si="0"/>
        <v>3972.37751824</v>
      </c>
    </row>
    <row r="18" spans="1:3" x14ac:dyDescent="0.45">
      <c r="A18" s="115">
        <v>45</v>
      </c>
      <c r="B18" s="116">
        <v>-74.332300000000004</v>
      </c>
      <c r="C18" s="117">
        <f t="shared" si="0"/>
        <v>5525.2908232900008</v>
      </c>
    </row>
    <row r="19" spans="1:3" x14ac:dyDescent="0.45">
      <c r="A19" s="115">
        <v>46</v>
      </c>
      <c r="B19" s="116">
        <v>-15.6546</v>
      </c>
      <c r="C19" s="117">
        <f t="shared" si="0"/>
        <v>245.06650116</v>
      </c>
    </row>
    <row r="20" spans="1:3" x14ac:dyDescent="0.45">
      <c r="A20" s="115">
        <v>47</v>
      </c>
      <c r="B20" s="116">
        <v>-22.325399999999998</v>
      </c>
      <c r="C20" s="117">
        <f t="shared" si="0"/>
        <v>498.42348515999993</v>
      </c>
    </row>
    <row r="21" spans="1:3" x14ac:dyDescent="0.45">
      <c r="A21" s="115">
        <v>48</v>
      </c>
      <c r="B21" s="116">
        <v>-0.90790000000000004</v>
      </c>
      <c r="C21" s="117">
        <f t="shared" si="0"/>
        <v>0.82428241000000002</v>
      </c>
    </row>
    <row r="22" spans="1:3" x14ac:dyDescent="0.45">
      <c r="A22" s="115">
        <v>49</v>
      </c>
      <c r="B22" s="116">
        <v>-28.090800000000002</v>
      </c>
      <c r="C22" s="117">
        <f t="shared" si="0"/>
        <v>789.09304464000013</v>
      </c>
    </row>
    <row r="23" spans="1:3" x14ac:dyDescent="0.45">
      <c r="A23" s="115">
        <v>50</v>
      </c>
      <c r="B23" s="116">
        <v>110.08320000000001</v>
      </c>
      <c r="C23" s="117">
        <f t="shared" si="0"/>
        <v>12118.310922240002</v>
      </c>
    </row>
    <row r="24" spans="1:3" x14ac:dyDescent="0.45">
      <c r="A24" s="115">
        <v>51</v>
      </c>
      <c r="B24" s="116">
        <v>-22.634899999999998</v>
      </c>
      <c r="C24" s="117">
        <f t="shared" si="0"/>
        <v>512.33869800999992</v>
      </c>
    </row>
    <row r="25" spans="1:3" x14ac:dyDescent="0.45">
      <c r="A25" s="115">
        <v>52</v>
      </c>
      <c r="B25" s="116">
        <v>-10.1944</v>
      </c>
      <c r="C25" s="117">
        <f t="shared" si="0"/>
        <v>103.92579136000001</v>
      </c>
    </row>
    <row r="26" spans="1:3" x14ac:dyDescent="0.45">
      <c r="A26" s="115">
        <v>53</v>
      </c>
      <c r="B26" s="116">
        <v>-19.238499999999998</v>
      </c>
      <c r="C26" s="117">
        <f t="shared" si="0"/>
        <v>370.11988224999993</v>
      </c>
    </row>
    <row r="27" spans="1:3" x14ac:dyDescent="0.45">
      <c r="A27" s="115">
        <v>54</v>
      </c>
      <c r="B27" s="116">
        <v>-3.9655</v>
      </c>
      <c r="C27" s="117">
        <f t="shared" si="0"/>
        <v>15.725190250000001</v>
      </c>
    </row>
    <row r="28" spans="1:3" x14ac:dyDescent="0.45">
      <c r="A28" s="115">
        <v>55</v>
      </c>
      <c r="B28" s="116">
        <v>-27.866</v>
      </c>
      <c r="C28" s="117">
        <f t="shared" si="0"/>
        <v>776.51395600000001</v>
      </c>
    </row>
    <row r="29" spans="1:3" x14ac:dyDescent="0.45">
      <c r="A29" s="115">
        <v>56</v>
      </c>
      <c r="B29" s="116">
        <v>63.043799999999997</v>
      </c>
      <c r="C29" s="117">
        <f t="shared" si="0"/>
        <v>3974.5207184399997</v>
      </c>
    </row>
    <row r="30" spans="1:3" x14ac:dyDescent="0.45">
      <c r="A30" s="115">
        <v>57</v>
      </c>
      <c r="B30" s="116">
        <v>-19.7532</v>
      </c>
      <c r="C30" s="117">
        <f t="shared" si="0"/>
        <v>390.18891023999998</v>
      </c>
    </row>
    <row r="31" spans="1:3" x14ac:dyDescent="0.45">
      <c r="A31" s="115">
        <v>58</v>
      </c>
      <c r="B31" s="116">
        <v>-52.995899999999999</v>
      </c>
      <c r="C31" s="117">
        <f t="shared" si="0"/>
        <v>2808.56541681</v>
      </c>
    </row>
    <row r="32" spans="1:3" x14ac:dyDescent="0.45">
      <c r="A32" s="115">
        <v>59</v>
      </c>
      <c r="B32" s="116">
        <v>106.62569999999999</v>
      </c>
      <c r="C32" s="117">
        <f t="shared" si="0"/>
        <v>11369.039900489999</v>
      </c>
    </row>
    <row r="33" spans="1:3" x14ac:dyDescent="0.45">
      <c r="A33" s="115">
        <v>60</v>
      </c>
      <c r="B33" s="116">
        <v>48.555900000000001</v>
      </c>
      <c r="C33" s="117">
        <f t="shared" si="0"/>
        <v>2357.6754248100001</v>
      </c>
    </row>
    <row r="34" spans="1:3" x14ac:dyDescent="0.45">
      <c r="A34" s="115">
        <v>61</v>
      </c>
      <c r="B34" s="116">
        <v>83.253</v>
      </c>
      <c r="C34" s="117">
        <f t="shared" si="0"/>
        <v>6931.0620090000002</v>
      </c>
    </row>
    <row r="35" spans="1:3" x14ac:dyDescent="0.45">
      <c r="A35" s="115">
        <v>62</v>
      </c>
      <c r="B35" s="116">
        <v>-42.077199999999998</v>
      </c>
      <c r="C35" s="117">
        <f t="shared" si="0"/>
        <v>1770.4907598399998</v>
      </c>
    </row>
    <row r="36" spans="1:3" x14ac:dyDescent="0.45">
      <c r="A36" s="115">
        <v>63</v>
      </c>
      <c r="B36" s="116">
        <v>116.17740000000001</v>
      </c>
      <c r="C36" s="117">
        <f t="shared" si="0"/>
        <v>13497.188270760002</v>
      </c>
    </row>
    <row r="37" spans="1:3" x14ac:dyDescent="0.45">
      <c r="A37" s="115">
        <v>64</v>
      </c>
      <c r="B37" s="116">
        <v>44.846400000000003</v>
      </c>
      <c r="C37" s="117">
        <f t="shared" si="0"/>
        <v>2011.1995929600002</v>
      </c>
    </row>
    <row r="38" spans="1:3" x14ac:dyDescent="0.45">
      <c r="A38" s="115">
        <v>65</v>
      </c>
      <c r="B38" s="116">
        <v>-21.774999999999999</v>
      </c>
      <c r="C38" s="117">
        <f t="shared" si="0"/>
        <v>474.15062499999993</v>
      </c>
    </row>
    <row r="39" spans="1:3" x14ac:dyDescent="0.45">
      <c r="A39" s="115">
        <v>66</v>
      </c>
      <c r="B39" s="116">
        <v>-24.532299999999999</v>
      </c>
      <c r="C39" s="117">
        <f t="shared" si="0"/>
        <v>601.83374328999992</v>
      </c>
    </row>
    <row r="40" spans="1:3" x14ac:dyDescent="0.45">
      <c r="A40" s="115">
        <v>67</v>
      </c>
      <c r="B40" s="116">
        <v>-13.624499999999999</v>
      </c>
      <c r="C40" s="117">
        <f t="shared" si="0"/>
        <v>185.62700024999998</v>
      </c>
    </row>
    <row r="41" spans="1:3" x14ac:dyDescent="0.45">
      <c r="A41" s="115">
        <v>68</v>
      </c>
      <c r="B41" s="116">
        <v>1.1904999999999999</v>
      </c>
      <c r="C41" s="117">
        <f t="shared" si="0"/>
        <v>1.4172902499999998</v>
      </c>
    </row>
    <row r="42" spans="1:3" x14ac:dyDescent="0.45">
      <c r="A42" s="115">
        <v>69</v>
      </c>
      <c r="B42" s="116">
        <v>-88.799000000000007</v>
      </c>
      <c r="C42" s="117">
        <f t="shared" si="0"/>
        <v>7885.2624010000009</v>
      </c>
    </row>
    <row r="43" spans="1:3" x14ac:dyDescent="0.45">
      <c r="A43" s="115">
        <v>70</v>
      </c>
      <c r="B43" s="116">
        <v>78.680400000000006</v>
      </c>
      <c r="C43" s="117">
        <f t="shared" si="0"/>
        <v>6190.6053441600006</v>
      </c>
    </row>
    <row r="44" spans="1:3" x14ac:dyDescent="0.45">
      <c r="A44" s="115">
        <v>71</v>
      </c>
      <c r="B44" s="116">
        <v>39.710099999999997</v>
      </c>
      <c r="C44" s="117">
        <f t="shared" si="0"/>
        <v>1576.8920420099998</v>
      </c>
    </row>
    <row r="45" spans="1:3" x14ac:dyDescent="0.45">
      <c r="A45" s="115">
        <v>72</v>
      </c>
      <c r="B45" s="116">
        <v>49.460099999999997</v>
      </c>
      <c r="C45" s="117">
        <f t="shared" si="0"/>
        <v>2446.3014920099995</v>
      </c>
    </row>
    <row r="46" spans="1:3" x14ac:dyDescent="0.45">
      <c r="A46" s="115">
        <v>73</v>
      </c>
      <c r="B46" s="116">
        <v>-67.265100000000004</v>
      </c>
      <c r="C46" s="117">
        <f t="shared" si="0"/>
        <v>4524.5936780100001</v>
      </c>
    </row>
    <row r="47" spans="1:3" x14ac:dyDescent="0.45">
      <c r="A47" s="115">
        <v>74</v>
      </c>
      <c r="B47" s="116">
        <v>43.518500000000003</v>
      </c>
      <c r="C47" s="117">
        <f t="shared" si="0"/>
        <v>1893.8598422500002</v>
      </c>
    </row>
    <row r="48" spans="1:3" x14ac:dyDescent="0.45">
      <c r="A48" s="115">
        <v>75</v>
      </c>
      <c r="B48" s="116">
        <v>119.55549999999999</v>
      </c>
      <c r="C48" s="117">
        <f t="shared" si="0"/>
        <v>14293.517580249998</v>
      </c>
    </row>
    <row r="49" spans="1:3" x14ac:dyDescent="0.45">
      <c r="A49" s="115">
        <v>76</v>
      </c>
      <c r="B49" s="116">
        <v>17.938099999999999</v>
      </c>
      <c r="C49" s="117">
        <f t="shared" si="0"/>
        <v>321.77543160999994</v>
      </c>
    </row>
    <row r="50" spans="1:3" x14ac:dyDescent="0.45">
      <c r="A50" s="115">
        <v>77</v>
      </c>
      <c r="B50" s="116">
        <v>-17.966699999999999</v>
      </c>
      <c r="C50" s="117">
        <f t="shared" si="0"/>
        <v>322.80230889000001</v>
      </c>
    </row>
    <row r="51" spans="1:3" x14ac:dyDescent="0.45">
      <c r="A51" s="115">
        <v>78</v>
      </c>
      <c r="B51" s="116">
        <v>-48.933500000000002</v>
      </c>
      <c r="C51" s="117">
        <f t="shared" si="0"/>
        <v>2394.4874222500002</v>
      </c>
    </row>
    <row r="52" spans="1:3" x14ac:dyDescent="0.45">
      <c r="A52" s="115">
        <v>79</v>
      </c>
      <c r="B52" s="116">
        <v>38.919600000000003</v>
      </c>
      <c r="C52" s="117">
        <f t="shared" si="0"/>
        <v>1514.7352641600003</v>
      </c>
    </row>
    <row r="53" spans="1:3" x14ac:dyDescent="0.45">
      <c r="A53" s="115">
        <v>80</v>
      </c>
      <c r="B53" s="116">
        <v>-16.804500000000001</v>
      </c>
      <c r="C53" s="117">
        <f t="shared" si="0"/>
        <v>282.39122025</v>
      </c>
    </row>
    <row r="55" spans="1:3" x14ac:dyDescent="0.45">
      <c r="A55" s="156" t="s">
        <v>144</v>
      </c>
      <c r="B55" s="156"/>
      <c r="C55" s="118">
        <v>52</v>
      </c>
    </row>
    <row r="56" spans="1:3" x14ac:dyDescent="0.45">
      <c r="A56" s="156" t="s">
        <v>145</v>
      </c>
      <c r="B56" s="156"/>
      <c r="C56" s="118">
        <v>6</v>
      </c>
    </row>
    <row r="57" spans="1:3" x14ac:dyDescent="0.45">
      <c r="A57" s="156" t="s">
        <v>146</v>
      </c>
      <c r="B57" s="156"/>
      <c r="C57" s="119">
        <f>SUM(C2:C53)</f>
        <v>220554.59879784004</v>
      </c>
    </row>
    <row r="58" spans="1:3" x14ac:dyDescent="0.45">
      <c r="A58" s="156" t="s">
        <v>147</v>
      </c>
      <c r="B58" s="156"/>
      <c r="C58" s="120">
        <f>C57/C55</f>
        <v>4241.4345922661541</v>
      </c>
    </row>
    <row r="59" spans="1:3" x14ac:dyDescent="0.45">
      <c r="A59" s="156" t="s">
        <v>148</v>
      </c>
      <c r="B59" s="156"/>
      <c r="C59" s="121">
        <f>LN(C58)</f>
        <v>8.3526568382320701</v>
      </c>
    </row>
    <row r="60" spans="1:3" x14ac:dyDescent="0.45">
      <c r="A60" s="156" t="s">
        <v>149</v>
      </c>
      <c r="B60" s="156"/>
      <c r="C60" s="121">
        <f>LN(2*PI())</f>
        <v>1.8378770664093453</v>
      </c>
    </row>
    <row r="61" spans="1:3" x14ac:dyDescent="0.45">
      <c r="A61" s="156" t="s">
        <v>150</v>
      </c>
      <c r="B61" s="156"/>
      <c r="C61" s="119">
        <f>C55*C59</f>
        <v>434.33815558806765</v>
      </c>
    </row>
    <row r="62" spans="1:3" x14ac:dyDescent="0.45">
      <c r="A62" s="156" t="s">
        <v>151</v>
      </c>
      <c r="B62" s="156"/>
      <c r="C62" s="119">
        <f>C55*C60</f>
        <v>95.569607453285954</v>
      </c>
    </row>
    <row r="63" spans="1:3" x14ac:dyDescent="0.45">
      <c r="A63" s="156" t="s">
        <v>152</v>
      </c>
      <c r="B63" s="156"/>
      <c r="C63" s="122">
        <f>2*C56</f>
        <v>12</v>
      </c>
    </row>
    <row r="64" spans="1:3" x14ac:dyDescent="0.45">
      <c r="A64" s="157" t="s">
        <v>153</v>
      </c>
      <c r="B64" s="157"/>
      <c r="C64" s="123">
        <f>C61+C62+C55+C63</f>
        <v>593.90776304135363</v>
      </c>
    </row>
  </sheetData>
  <mergeCells count="10"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60:B6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9876-FD45-4441-BFDD-19C6342C8444}">
  <dimension ref="A1:AA1028"/>
  <sheetViews>
    <sheetView zoomScale="71" workbookViewId="0">
      <selection activeCell="E80" sqref="E80"/>
    </sheetView>
  </sheetViews>
  <sheetFormatPr defaultRowHeight="14.25" x14ac:dyDescent="0.45"/>
  <cols>
    <col min="1" max="1" width="13.19921875" customWidth="1"/>
    <col min="2" max="2" width="9.19921875" bestFit="1" customWidth="1"/>
    <col min="3" max="5" width="9.1328125" bestFit="1" customWidth="1"/>
    <col min="6" max="6" width="18.86328125" style="3" customWidth="1"/>
    <col min="7" max="7" width="9.1328125" bestFit="1" customWidth="1"/>
    <col min="11" max="11" width="13.19921875" customWidth="1"/>
    <col min="12" max="12" width="12.6640625" customWidth="1"/>
    <col min="13" max="15" width="9.1328125" bestFit="1" customWidth="1"/>
    <col min="16" max="16" width="18.86328125" style="3" customWidth="1"/>
    <col min="17" max="17" width="9.1328125" bestFit="1" customWidth="1"/>
    <col min="20" max="20" width="13.19921875" customWidth="1"/>
    <col min="21" max="21" width="9.1328125" bestFit="1" customWidth="1"/>
    <col min="25" max="25" width="18.86328125" style="3" customWidth="1"/>
    <col min="26" max="26" width="9.1328125" bestFit="1" customWidth="1"/>
    <col min="27" max="27" width="9.53125" bestFit="1" customWidth="1"/>
  </cols>
  <sheetData>
    <row r="1" spans="1:27" x14ac:dyDescent="0.45">
      <c r="A1" s="17" t="s">
        <v>14</v>
      </c>
      <c r="B1" s="17" t="s">
        <v>3</v>
      </c>
      <c r="C1" s="18" t="s">
        <v>0</v>
      </c>
      <c r="D1" s="158"/>
      <c r="E1" s="159"/>
      <c r="F1" s="159"/>
      <c r="G1" s="159"/>
      <c r="H1" s="160"/>
      <c r="K1" s="17" t="s">
        <v>14</v>
      </c>
      <c r="L1" s="17" t="s">
        <v>10</v>
      </c>
      <c r="M1" s="18" t="s">
        <v>11</v>
      </c>
      <c r="N1" s="158"/>
      <c r="O1" s="159"/>
      <c r="P1" s="159"/>
      <c r="Q1" s="159"/>
      <c r="R1" s="160"/>
      <c r="V1" s="1"/>
    </row>
    <row r="2" spans="1:27" x14ac:dyDescent="0.45">
      <c r="A2" s="4">
        <v>43101</v>
      </c>
      <c r="B2" s="5">
        <v>13910.2</v>
      </c>
      <c r="C2" s="2"/>
      <c r="D2" s="16" t="s">
        <v>4</v>
      </c>
      <c r="E2" s="16" t="s">
        <v>5</v>
      </c>
      <c r="F2" s="17" t="s">
        <v>6</v>
      </c>
      <c r="G2" s="16" t="s">
        <v>7</v>
      </c>
      <c r="H2" s="16" t="s">
        <v>8</v>
      </c>
      <c r="K2" s="4">
        <v>43101</v>
      </c>
      <c r="L2" s="5">
        <v>13910.2</v>
      </c>
      <c r="M2" s="2"/>
      <c r="N2" s="16" t="s">
        <v>4</v>
      </c>
      <c r="O2" s="16" t="s">
        <v>5</v>
      </c>
      <c r="P2" s="17" t="s">
        <v>6</v>
      </c>
      <c r="Q2" s="16" t="s">
        <v>7</v>
      </c>
      <c r="R2" s="16" t="s">
        <v>8</v>
      </c>
      <c r="T2" s="10"/>
      <c r="U2" s="13"/>
      <c r="V2" s="1"/>
      <c r="Z2" s="1"/>
      <c r="AA2" s="24"/>
    </row>
    <row r="3" spans="1:27" x14ac:dyDescent="0.45">
      <c r="A3" s="4">
        <v>43132</v>
      </c>
      <c r="B3" s="5">
        <v>13947.2</v>
      </c>
      <c r="C3" s="2">
        <v>49</v>
      </c>
      <c r="D3" s="14">
        <f>C3-$C$82</f>
        <v>-43.221518987341767</v>
      </c>
      <c r="E3" s="14">
        <f>C4-$C$82</f>
        <v>-28.821518987340312</v>
      </c>
      <c r="F3" s="15">
        <f>D3*E3</f>
        <v>1245.7098301553606</v>
      </c>
      <c r="G3" s="14">
        <f>(C3-$C$82)^2</f>
        <v>1868.099703573145</v>
      </c>
      <c r="H3" s="14">
        <f>SUM(F3:F81)</f>
        <v>1912897.636119212</v>
      </c>
      <c r="K3" s="4">
        <v>43132</v>
      </c>
      <c r="L3" s="5">
        <v>13947.2</v>
      </c>
      <c r="M3" s="2">
        <v>-109.98000000000002</v>
      </c>
      <c r="N3" s="14">
        <f>M3-$M$82</f>
        <v>-145.73430379746839</v>
      </c>
      <c r="O3" s="14">
        <f>M4-$M$82</f>
        <v>-108.71430379746839</v>
      </c>
      <c r="P3" s="15">
        <f>N3*O3</f>
        <v>15843.40337675053</v>
      </c>
      <c r="Q3" s="14">
        <f>(M3-$M$82)^2</f>
        <v>21238.487303332808</v>
      </c>
      <c r="R3" s="14">
        <f>SUM(P3:P81)</f>
        <v>-376802.80392611749</v>
      </c>
      <c r="T3" s="10"/>
      <c r="U3" s="13"/>
      <c r="V3" s="1"/>
      <c r="Z3" s="1"/>
      <c r="AA3" s="25"/>
    </row>
    <row r="4" spans="1:27" x14ac:dyDescent="0.45">
      <c r="A4" s="4">
        <v>43160</v>
      </c>
      <c r="B4" s="5">
        <v>14003.5</v>
      </c>
      <c r="C4" s="2">
        <v>63.400000000001455</v>
      </c>
      <c r="D4" s="14">
        <f t="shared" ref="D4:D67" si="0">C4-$C$82</f>
        <v>-28.821518987340312</v>
      </c>
      <c r="E4" s="14">
        <f t="shared" ref="E4:E67" si="1">C5-$C$82</f>
        <v>-69.021518987342859</v>
      </c>
      <c r="F4" s="15">
        <f t="shared" ref="F4:F67" si="2">D4*E4</f>
        <v>1989.3050200287721</v>
      </c>
      <c r="G4" s="14">
        <f t="shared" ref="G4:G67" si="3">(C4-$C$82)^2</f>
        <v>830.67995673761811</v>
      </c>
      <c r="H4" s="14">
        <f>SUM(G3:G81)</f>
        <v>2561754.6534177251</v>
      </c>
      <c r="K4" s="4">
        <v>43160</v>
      </c>
      <c r="L4" s="5">
        <v>14003.5</v>
      </c>
      <c r="M4" s="2">
        <v>-72.960000000000036</v>
      </c>
      <c r="N4" s="14">
        <f t="shared" ref="N4:N67" si="4">M4-$M$82</f>
        <v>-108.71430379746839</v>
      </c>
      <c r="O4" s="14">
        <f t="shared" ref="O4:O67" si="5">M5-$M$82</f>
        <v>-28.574303797468062</v>
      </c>
      <c r="P4" s="15">
        <f t="shared" ref="P4:P67" si="6">N4*O4</f>
        <v>3106.4355438390976</v>
      </c>
      <c r="Q4" s="14">
        <f t="shared" ref="Q4:Q67" si="7">(M4-$M$82)^2</f>
        <v>11818.79985016825</v>
      </c>
      <c r="R4" s="14">
        <f>SUM(Q3:Q81)</f>
        <v>2624865.1681367098</v>
      </c>
      <c r="T4" s="10"/>
      <c r="U4" s="13"/>
      <c r="V4" s="1"/>
      <c r="Z4" s="1"/>
      <c r="AA4" s="25"/>
    </row>
    <row r="5" spans="1:27" x14ac:dyDescent="0.45">
      <c r="A5" s="4">
        <v>43191</v>
      </c>
      <c r="B5" s="5">
        <v>14021.4</v>
      </c>
      <c r="C5" s="2">
        <v>23.199999999998909</v>
      </c>
      <c r="D5" s="14">
        <f t="shared" si="0"/>
        <v>-69.021518987342859</v>
      </c>
      <c r="E5" s="14">
        <f t="shared" si="1"/>
        <v>-35.721518987341767</v>
      </c>
      <c r="F5" s="15">
        <f t="shared" si="2"/>
        <v>2465.5535010415383</v>
      </c>
      <c r="G5" s="14">
        <f t="shared" si="3"/>
        <v>4763.9700833201305</v>
      </c>
      <c r="H5" s="14" t="s">
        <v>9</v>
      </c>
      <c r="K5" s="4">
        <v>43191</v>
      </c>
      <c r="L5" s="5">
        <v>14021.4</v>
      </c>
      <c r="M5" s="2">
        <v>7.180000000000291</v>
      </c>
      <c r="N5" s="14">
        <f t="shared" si="4"/>
        <v>-28.574303797468062</v>
      </c>
      <c r="O5" s="14">
        <f t="shared" si="5"/>
        <v>21.465696202531447</v>
      </c>
      <c r="P5" s="15">
        <f t="shared" si="6"/>
        <v>-613.36732451529008</v>
      </c>
      <c r="Q5" s="14">
        <f t="shared" si="7"/>
        <v>816.49083750999773</v>
      </c>
      <c r="R5" s="14" t="s">
        <v>9</v>
      </c>
      <c r="T5" s="10"/>
      <c r="U5" s="13"/>
      <c r="V5" s="1"/>
      <c r="Z5" s="1"/>
      <c r="AA5" s="25"/>
    </row>
    <row r="6" spans="1:27" x14ac:dyDescent="0.45">
      <c r="A6" s="4">
        <v>43221</v>
      </c>
      <c r="B6" s="5">
        <v>14077.4</v>
      </c>
      <c r="C6" s="2">
        <v>56.5</v>
      </c>
      <c r="D6" s="14">
        <f t="shared" si="0"/>
        <v>-35.721518987341767</v>
      </c>
      <c r="E6" s="14">
        <f t="shared" si="1"/>
        <v>-47.421518987340676</v>
      </c>
      <c r="F6" s="15">
        <f t="shared" si="2"/>
        <v>1693.9686909148782</v>
      </c>
      <c r="G6" s="14">
        <f t="shared" si="3"/>
        <v>1276.0269187630183</v>
      </c>
      <c r="H6" s="14">
        <f>H3/H4</f>
        <v>0.74671383286730808</v>
      </c>
      <c r="K6" s="4">
        <v>43221</v>
      </c>
      <c r="L6" s="5">
        <v>14077.4</v>
      </c>
      <c r="M6" s="2">
        <v>57.2199999999998</v>
      </c>
      <c r="N6" s="14">
        <f t="shared" si="4"/>
        <v>21.465696202531447</v>
      </c>
      <c r="O6" s="14">
        <f t="shared" si="5"/>
        <v>-22.654303797468444</v>
      </c>
      <c r="P6" s="15">
        <f t="shared" si="6"/>
        <v>-486.29040299631214</v>
      </c>
      <c r="Q6" s="14">
        <f t="shared" si="7"/>
        <v>460.77611345937299</v>
      </c>
      <c r="R6" s="14">
        <f>R3/R4</f>
        <v>-0.14355129874864972</v>
      </c>
      <c r="T6" s="10"/>
      <c r="U6" s="13"/>
      <c r="V6" s="1"/>
      <c r="Z6" s="1"/>
      <c r="AA6" s="25"/>
    </row>
    <row r="7" spans="1:27" x14ac:dyDescent="0.45">
      <c r="A7" s="4">
        <v>43252</v>
      </c>
      <c r="B7" s="5">
        <v>14137.7</v>
      </c>
      <c r="C7" s="2">
        <v>44.800000000001091</v>
      </c>
      <c r="D7" s="14">
        <f t="shared" si="0"/>
        <v>-47.421518987340676</v>
      </c>
      <c r="E7" s="14">
        <f t="shared" si="1"/>
        <v>-54.821518987342131</v>
      </c>
      <c r="F7" s="15">
        <f t="shared" si="2"/>
        <v>2599.7197035731024</v>
      </c>
      <c r="G7" s="14">
        <f t="shared" si="3"/>
        <v>2248.8004630667124</v>
      </c>
      <c r="H7" s="161"/>
      <c r="K7" s="4">
        <v>43252</v>
      </c>
      <c r="L7" s="5">
        <v>14137.7</v>
      </c>
      <c r="M7" s="2">
        <v>13.099999999999909</v>
      </c>
      <c r="N7" s="14">
        <f t="shared" si="4"/>
        <v>-22.654303797468444</v>
      </c>
      <c r="O7" s="14">
        <f t="shared" si="5"/>
        <v>62.16569620253172</v>
      </c>
      <c r="P7" s="15">
        <f t="shared" si="6"/>
        <v>-1408.320567553284</v>
      </c>
      <c r="Q7" s="14">
        <f t="shared" si="7"/>
        <v>513.2174805479932</v>
      </c>
      <c r="R7" s="161"/>
      <c r="T7" s="10"/>
      <c r="U7" s="13"/>
      <c r="V7" s="1"/>
      <c r="Z7" s="1"/>
      <c r="AA7" s="25"/>
    </row>
    <row r="8" spans="1:27" x14ac:dyDescent="0.45">
      <c r="A8" s="4">
        <v>43282</v>
      </c>
      <c r="B8" s="5">
        <v>14171.1</v>
      </c>
      <c r="C8" s="2">
        <v>37.399999999999636</v>
      </c>
      <c r="D8" s="14">
        <f t="shared" si="0"/>
        <v>-54.821518987342131</v>
      </c>
      <c r="E8" s="14">
        <f t="shared" si="1"/>
        <v>-43.621518987341403</v>
      </c>
      <c r="F8" s="15">
        <f t="shared" si="2"/>
        <v>2391.397931421242</v>
      </c>
      <c r="G8" s="14">
        <f t="shared" si="3"/>
        <v>3005.398944079514</v>
      </c>
      <c r="H8" s="162"/>
      <c r="K8" s="4">
        <v>43282</v>
      </c>
      <c r="L8" s="5">
        <v>14171.1</v>
      </c>
      <c r="M8" s="2">
        <v>97.920000000000073</v>
      </c>
      <c r="N8" s="14">
        <f t="shared" si="4"/>
        <v>62.16569620253172</v>
      </c>
      <c r="O8" s="14">
        <f t="shared" si="5"/>
        <v>49.475696202531665</v>
      </c>
      <c r="P8" s="15">
        <f t="shared" si="6"/>
        <v>3075.691099535336</v>
      </c>
      <c r="Q8" s="14">
        <f t="shared" si="7"/>
        <v>3864.5737843454667</v>
      </c>
      <c r="R8" s="162"/>
      <c r="T8" s="10"/>
      <c r="U8" s="13"/>
      <c r="V8" s="1"/>
      <c r="Z8" s="1"/>
      <c r="AA8" s="25"/>
    </row>
    <row r="9" spans="1:27" x14ac:dyDescent="0.45">
      <c r="A9" s="4">
        <v>43313</v>
      </c>
      <c r="B9" s="5">
        <v>14219.4</v>
      </c>
      <c r="C9" s="2">
        <v>48.600000000000364</v>
      </c>
      <c r="D9" s="14">
        <f t="shared" si="0"/>
        <v>-43.621518987341403</v>
      </c>
      <c r="E9" s="14">
        <f t="shared" si="1"/>
        <v>-69.921518987342495</v>
      </c>
      <c r="F9" s="15">
        <f t="shared" si="2"/>
        <v>3050.0828681301132</v>
      </c>
      <c r="G9" s="14">
        <f t="shared" si="3"/>
        <v>1902.8369187629867</v>
      </c>
      <c r="H9" s="162"/>
      <c r="K9" s="4">
        <v>43313</v>
      </c>
      <c r="L9" s="5">
        <v>14219.4</v>
      </c>
      <c r="M9" s="2">
        <v>85.230000000000018</v>
      </c>
      <c r="N9" s="14">
        <f t="shared" si="4"/>
        <v>49.475696202531665</v>
      </c>
      <c r="O9" s="14">
        <f t="shared" si="5"/>
        <v>-23.294303797468316</v>
      </c>
      <c r="P9" s="15">
        <f t="shared" si="6"/>
        <v>-1152.5018979330221</v>
      </c>
      <c r="Q9" s="14">
        <f t="shared" si="7"/>
        <v>2447.8445147252064</v>
      </c>
      <c r="R9" s="162"/>
      <c r="T9" s="10"/>
      <c r="U9" s="13"/>
      <c r="V9" s="1"/>
      <c r="Z9" s="1"/>
      <c r="AA9" s="25"/>
    </row>
    <row r="10" spans="1:27" x14ac:dyDescent="0.45">
      <c r="A10" s="4">
        <v>43344</v>
      </c>
      <c r="B10" s="5">
        <v>14253.8</v>
      </c>
      <c r="C10" s="2">
        <v>22.299999999999272</v>
      </c>
      <c r="D10" s="14">
        <f t="shared" si="0"/>
        <v>-69.921518987342495</v>
      </c>
      <c r="E10" s="14">
        <f t="shared" si="1"/>
        <v>-81.121518987341403</v>
      </c>
      <c r="F10" s="15">
        <f t="shared" si="2"/>
        <v>5672.1398301554564</v>
      </c>
      <c r="G10" s="14">
        <f t="shared" si="3"/>
        <v>4889.0188174972973</v>
      </c>
      <c r="H10" s="162"/>
      <c r="K10" s="4">
        <v>43344</v>
      </c>
      <c r="L10" s="5">
        <v>14253.8</v>
      </c>
      <c r="M10" s="2">
        <v>12.460000000000036</v>
      </c>
      <c r="N10" s="14">
        <f t="shared" si="4"/>
        <v>-23.294303797468316</v>
      </c>
      <c r="O10" s="14">
        <f t="shared" si="5"/>
        <v>-237.9943037974686</v>
      </c>
      <c r="P10" s="15">
        <f t="shared" si="6"/>
        <v>5543.9116147252007</v>
      </c>
      <c r="Q10" s="14">
        <f t="shared" si="7"/>
        <v>542.62458940874683</v>
      </c>
      <c r="R10" s="162"/>
      <c r="T10" s="10"/>
      <c r="U10" s="13"/>
      <c r="V10" s="1"/>
      <c r="Z10" s="1"/>
      <c r="AA10" s="25"/>
    </row>
    <row r="11" spans="1:27" x14ac:dyDescent="0.45">
      <c r="A11" s="4">
        <v>43374</v>
      </c>
      <c r="B11" s="5">
        <v>14265.4</v>
      </c>
      <c r="C11" s="2">
        <v>11.100000000000364</v>
      </c>
      <c r="D11" s="14">
        <f t="shared" si="0"/>
        <v>-81.121518987341403</v>
      </c>
      <c r="E11" s="14">
        <f t="shared" si="1"/>
        <v>-66.021518987342859</v>
      </c>
      <c r="F11" s="15">
        <f t="shared" si="2"/>
        <v>5355.7659061048544</v>
      </c>
      <c r="G11" s="14">
        <f t="shared" si="3"/>
        <v>6580.7008428135914</v>
      </c>
      <c r="H11" s="162"/>
      <c r="K11" s="4">
        <v>43374</v>
      </c>
      <c r="L11" s="5">
        <v>14265.4</v>
      </c>
      <c r="M11" s="2">
        <v>-202.24000000000024</v>
      </c>
      <c r="N11" s="14">
        <f t="shared" si="4"/>
        <v>-237.9943037974686</v>
      </c>
      <c r="O11" s="14">
        <f t="shared" si="5"/>
        <v>12.675696202531938</v>
      </c>
      <c r="P11" s="15">
        <f t="shared" si="6"/>
        <v>-3016.7434928698053</v>
      </c>
      <c r="Q11" s="14">
        <f t="shared" si="7"/>
        <v>56641.288640041777</v>
      </c>
      <c r="R11" s="162"/>
      <c r="T11" s="10"/>
      <c r="U11" s="13"/>
      <c r="V11" s="1"/>
      <c r="Z11" s="1"/>
      <c r="AA11" s="25"/>
    </row>
    <row r="12" spans="1:27" x14ac:dyDescent="0.45">
      <c r="A12" s="4">
        <v>43405</v>
      </c>
      <c r="B12" s="5">
        <v>14285.7</v>
      </c>
      <c r="C12" s="2">
        <v>26.199999999998909</v>
      </c>
      <c r="D12" s="14">
        <f t="shared" si="0"/>
        <v>-66.021518987342859</v>
      </c>
      <c r="E12" s="14">
        <f t="shared" si="1"/>
        <v>11.778481012658233</v>
      </c>
      <c r="F12" s="15">
        <f t="shared" si="2"/>
        <v>-777.63320781927291</v>
      </c>
      <c r="G12" s="14">
        <f t="shared" si="3"/>
        <v>4358.8409693960739</v>
      </c>
      <c r="H12" s="162"/>
      <c r="K12" s="4">
        <v>43405</v>
      </c>
      <c r="L12" s="5">
        <v>14285.7</v>
      </c>
      <c r="M12" s="2">
        <v>48.430000000000291</v>
      </c>
      <c r="N12" s="14">
        <f t="shared" si="4"/>
        <v>12.675696202531938</v>
      </c>
      <c r="O12" s="14">
        <f t="shared" si="5"/>
        <v>-289.07430379746853</v>
      </c>
      <c r="P12" s="15">
        <f t="shared" si="6"/>
        <v>-3664.2180548951355</v>
      </c>
      <c r="Q12" s="14">
        <f t="shared" si="7"/>
        <v>160.6732742188826</v>
      </c>
      <c r="R12" s="162"/>
      <c r="T12" s="10"/>
      <c r="U12" s="13"/>
      <c r="V12" s="1"/>
      <c r="Z12" s="1"/>
      <c r="AA12" s="25"/>
    </row>
    <row r="13" spans="1:27" x14ac:dyDescent="0.45">
      <c r="A13" s="4">
        <v>43435</v>
      </c>
      <c r="B13" s="5">
        <v>14407.5</v>
      </c>
      <c r="C13" s="2">
        <v>104</v>
      </c>
      <c r="D13" s="14">
        <f t="shared" si="0"/>
        <v>11.778481012658233</v>
      </c>
      <c r="E13" s="14">
        <f t="shared" si="1"/>
        <v>-19.321518987340312</v>
      </c>
      <c r="F13" s="15">
        <f t="shared" si="2"/>
        <v>-227.57814452810339</v>
      </c>
      <c r="G13" s="14">
        <f t="shared" si="3"/>
        <v>138.73261496555051</v>
      </c>
      <c r="H13" s="162"/>
      <c r="K13" s="4">
        <v>43435</v>
      </c>
      <c r="L13" s="5">
        <v>14407.5</v>
      </c>
      <c r="M13" s="2">
        <v>-253.32000000000016</v>
      </c>
      <c r="N13" s="14">
        <f t="shared" si="4"/>
        <v>-289.07430379746853</v>
      </c>
      <c r="O13" s="14">
        <f t="shared" si="5"/>
        <v>161.49569620253163</v>
      </c>
      <c r="P13" s="15">
        <f t="shared" si="6"/>
        <v>-46684.255946034311</v>
      </c>
      <c r="Q13" s="14">
        <f t="shared" si="7"/>
        <v>83563.953115991128</v>
      </c>
      <c r="R13" s="162"/>
      <c r="T13" s="10"/>
      <c r="U13" s="13"/>
      <c r="V13" s="1"/>
      <c r="Z13" s="1"/>
      <c r="AA13" s="25"/>
    </row>
    <row r="14" spans="1:27" x14ac:dyDescent="0.45">
      <c r="A14" s="4">
        <v>43466</v>
      </c>
      <c r="B14" s="5">
        <v>14471.5</v>
      </c>
      <c r="C14" s="2">
        <v>72.900000000001455</v>
      </c>
      <c r="D14" s="14">
        <f t="shared" si="0"/>
        <v>-19.321518987340312</v>
      </c>
      <c r="E14" s="14">
        <f t="shared" si="1"/>
        <v>-45.621518987343222</v>
      </c>
      <c r="F14" s="15">
        <f t="shared" si="2"/>
        <v>881.4770453452586</v>
      </c>
      <c r="G14" s="14">
        <f t="shared" si="3"/>
        <v>373.32109597815219</v>
      </c>
      <c r="H14" s="162"/>
      <c r="K14" s="4">
        <v>43466</v>
      </c>
      <c r="L14" s="5">
        <v>14471.5</v>
      </c>
      <c r="M14" s="2">
        <v>197.25</v>
      </c>
      <c r="N14" s="14">
        <f t="shared" si="4"/>
        <v>161.49569620253163</v>
      </c>
      <c r="O14" s="14">
        <f t="shared" si="5"/>
        <v>44.63569620253152</v>
      </c>
      <c r="P14" s="15">
        <f t="shared" si="6"/>
        <v>7208.4728337125252</v>
      </c>
      <c r="Q14" s="14">
        <f t="shared" si="7"/>
        <v>26080.859891940388</v>
      </c>
      <c r="R14" s="162"/>
      <c r="T14" s="10"/>
      <c r="U14" s="13"/>
      <c r="V14" s="1"/>
      <c r="Z14" s="1"/>
      <c r="AA14" s="25"/>
    </row>
    <row r="15" spans="1:27" x14ac:dyDescent="0.45">
      <c r="A15" s="4">
        <v>43497</v>
      </c>
      <c r="B15" s="5">
        <v>14506.7</v>
      </c>
      <c r="C15" s="2">
        <v>46.599999999998545</v>
      </c>
      <c r="D15" s="14">
        <f t="shared" si="0"/>
        <v>-45.621518987343222</v>
      </c>
      <c r="E15" s="14">
        <f t="shared" si="1"/>
        <v>-41.02151898734104</v>
      </c>
      <c r="F15" s="15">
        <f t="shared" si="2"/>
        <v>1871.4640073706398</v>
      </c>
      <c r="G15" s="14">
        <f t="shared" si="3"/>
        <v>2081.3229947125183</v>
      </c>
      <c r="H15" s="162"/>
      <c r="K15" s="4">
        <v>43497</v>
      </c>
      <c r="L15" s="5">
        <v>14506.7</v>
      </c>
      <c r="M15" s="2">
        <v>80.389999999999873</v>
      </c>
      <c r="N15" s="14">
        <f t="shared" si="4"/>
        <v>44.63569620253152</v>
      </c>
      <c r="O15" s="14">
        <f t="shared" si="5"/>
        <v>14.155696202531956</v>
      </c>
      <c r="P15" s="15">
        <f t="shared" si="6"/>
        <v>631.84935523154547</v>
      </c>
      <c r="Q15" s="14">
        <f t="shared" si="7"/>
        <v>1992.3453754846867</v>
      </c>
      <c r="R15" s="162"/>
      <c r="T15" s="10"/>
      <c r="U15" s="13"/>
      <c r="V15" s="1"/>
      <c r="Z15" s="1"/>
      <c r="AA15" s="25"/>
    </row>
    <row r="16" spans="1:27" x14ac:dyDescent="0.45">
      <c r="A16" s="4">
        <v>43525</v>
      </c>
      <c r="B16" s="5">
        <v>14550.5</v>
      </c>
      <c r="C16" s="2">
        <v>51.200000000000728</v>
      </c>
      <c r="D16" s="14">
        <f t="shared" si="0"/>
        <v>-41.02151898734104</v>
      </c>
      <c r="E16" s="14">
        <f t="shared" si="1"/>
        <v>-55.02151898734104</v>
      </c>
      <c r="F16" s="15">
        <f t="shared" si="2"/>
        <v>2257.0662858515561</v>
      </c>
      <c r="G16" s="14">
        <f t="shared" si="3"/>
        <v>1682.7650200287815</v>
      </c>
      <c r="H16" s="162"/>
      <c r="K16" s="4">
        <v>43525</v>
      </c>
      <c r="L16" s="5">
        <v>14550.5</v>
      </c>
      <c r="M16" s="2">
        <v>49.910000000000309</v>
      </c>
      <c r="N16" s="14">
        <f t="shared" si="4"/>
        <v>14.155696202531956</v>
      </c>
      <c r="O16" s="14">
        <f t="shared" si="5"/>
        <v>75.675696202531483</v>
      </c>
      <c r="P16" s="15">
        <f t="shared" si="6"/>
        <v>1071.2421653581368</v>
      </c>
      <c r="Q16" s="14">
        <f t="shared" si="7"/>
        <v>200.38373497837765</v>
      </c>
      <c r="R16" s="162"/>
      <c r="T16" s="10"/>
      <c r="U16" s="13"/>
      <c r="V16" s="1"/>
      <c r="Z16" s="1"/>
      <c r="AA16" s="25"/>
    </row>
    <row r="17" spans="1:27" x14ac:dyDescent="0.45">
      <c r="A17" s="4">
        <v>43556</v>
      </c>
      <c r="B17" s="5">
        <v>14579</v>
      </c>
      <c r="C17" s="2">
        <v>37.200000000000728</v>
      </c>
      <c r="D17" s="14">
        <f t="shared" si="0"/>
        <v>-55.02151898734104</v>
      </c>
      <c r="E17" s="14">
        <f t="shared" si="1"/>
        <v>17.478481012657141</v>
      </c>
      <c r="F17" s="15">
        <f t="shared" si="2"/>
        <v>-961.69257490779478</v>
      </c>
      <c r="G17" s="14">
        <f t="shared" si="3"/>
        <v>3027.3675516743306</v>
      </c>
      <c r="H17" s="162"/>
      <c r="K17" s="4">
        <v>43556</v>
      </c>
      <c r="L17" s="5">
        <v>14579</v>
      </c>
      <c r="M17" s="2">
        <v>111.42999999999984</v>
      </c>
      <c r="N17" s="14">
        <f t="shared" si="4"/>
        <v>75.675696202531483</v>
      </c>
      <c r="O17" s="14">
        <f t="shared" si="5"/>
        <v>-229.52430379746835</v>
      </c>
      <c r="P17" s="15">
        <f t="shared" si="6"/>
        <v>-17369.411485274759</v>
      </c>
      <c r="Q17" s="14">
        <f t="shared" si="7"/>
        <v>5726.8109957378383</v>
      </c>
      <c r="R17" s="162"/>
      <c r="T17" s="10"/>
      <c r="U17" s="13"/>
      <c r="V17" s="1"/>
      <c r="Z17" s="1"/>
      <c r="AA17" s="25"/>
    </row>
    <row r="18" spans="1:27" x14ac:dyDescent="0.45">
      <c r="A18" s="4">
        <v>43586</v>
      </c>
      <c r="B18" s="5">
        <v>14678.3</v>
      </c>
      <c r="C18" s="2">
        <v>109.69999999999891</v>
      </c>
      <c r="D18" s="14">
        <f t="shared" si="0"/>
        <v>17.478481012657141</v>
      </c>
      <c r="E18" s="14">
        <f t="shared" si="1"/>
        <v>6.1784810126578691</v>
      </c>
      <c r="F18" s="15">
        <f t="shared" si="2"/>
        <v>107.99046306680323</v>
      </c>
      <c r="G18" s="14">
        <f t="shared" si="3"/>
        <v>305.49729850981623</v>
      </c>
      <c r="H18" s="162"/>
      <c r="K18" s="4">
        <v>43586</v>
      </c>
      <c r="L18" s="5">
        <v>14678.3</v>
      </c>
      <c r="M18" s="2">
        <v>-193.76999999999998</v>
      </c>
      <c r="N18" s="14">
        <f t="shared" si="4"/>
        <v>-229.52430379746835</v>
      </c>
      <c r="O18" s="14">
        <f t="shared" si="5"/>
        <v>153.94569620253191</v>
      </c>
      <c r="P18" s="15">
        <f t="shared" si="6"/>
        <v>-35334.278743502706</v>
      </c>
      <c r="Q18" s="14">
        <f t="shared" si="7"/>
        <v>52681.406033712541</v>
      </c>
      <c r="R18" s="162"/>
      <c r="T18" s="10"/>
      <c r="U18" s="13"/>
      <c r="V18" s="1"/>
      <c r="Z18" s="1"/>
      <c r="AA18" s="25"/>
    </row>
    <row r="19" spans="1:27" x14ac:dyDescent="0.45">
      <c r="A19" s="4">
        <v>43617</v>
      </c>
      <c r="B19" s="5">
        <v>14798.6</v>
      </c>
      <c r="C19" s="2">
        <v>98.399999999999636</v>
      </c>
      <c r="D19" s="14">
        <f t="shared" si="0"/>
        <v>6.1784810126578691</v>
      </c>
      <c r="E19" s="14">
        <f t="shared" si="1"/>
        <v>-8.2215189873417671</v>
      </c>
      <c r="F19" s="15">
        <f t="shared" si="2"/>
        <v>-50.79649895849726</v>
      </c>
      <c r="G19" s="14">
        <f t="shared" si="3"/>
        <v>38.173627623773804</v>
      </c>
      <c r="H19" s="162"/>
      <c r="K19" s="4">
        <v>43617</v>
      </c>
      <c r="L19" s="5">
        <v>14798.6</v>
      </c>
      <c r="M19" s="2">
        <v>189.70000000000027</v>
      </c>
      <c r="N19" s="14">
        <f t="shared" si="4"/>
        <v>153.94569620253191</v>
      </c>
      <c r="O19" s="14">
        <f t="shared" si="5"/>
        <v>2.865696202531538</v>
      </c>
      <c r="P19" s="15">
        <f t="shared" si="6"/>
        <v>441.1615970036695</v>
      </c>
      <c r="Q19" s="14">
        <f t="shared" si="7"/>
        <v>23699.277379282248</v>
      </c>
      <c r="R19" s="162"/>
      <c r="T19" s="10"/>
      <c r="U19" s="13"/>
      <c r="V19" s="1"/>
      <c r="Z19" s="1"/>
      <c r="AA19" s="25"/>
    </row>
    <row r="20" spans="1:27" x14ac:dyDescent="0.45">
      <c r="A20" s="4">
        <v>43647</v>
      </c>
      <c r="B20" s="5">
        <v>14881.8</v>
      </c>
      <c r="C20" s="2">
        <v>84</v>
      </c>
      <c r="D20" s="14">
        <f t="shared" si="0"/>
        <v>-8.2215189873417671</v>
      </c>
      <c r="E20" s="14">
        <f t="shared" si="1"/>
        <v>-4.6215189873414033</v>
      </c>
      <c r="F20" s="15">
        <f t="shared" si="2"/>
        <v>37.995906104787842</v>
      </c>
      <c r="G20" s="14">
        <f t="shared" si="3"/>
        <v>67.593374459221195</v>
      </c>
      <c r="H20" s="162"/>
      <c r="K20" s="4">
        <v>43647</v>
      </c>
      <c r="L20" s="5">
        <v>14881.8</v>
      </c>
      <c r="M20" s="2">
        <v>38.619999999999891</v>
      </c>
      <c r="N20" s="14">
        <f t="shared" si="4"/>
        <v>2.865696202531538</v>
      </c>
      <c r="O20" s="14">
        <f t="shared" si="5"/>
        <v>-89.674303797468426</v>
      </c>
      <c r="P20" s="15">
        <f t="shared" si="6"/>
        <v>-256.97931185706477</v>
      </c>
      <c r="Q20" s="14">
        <f t="shared" si="7"/>
        <v>8.2122147252036779</v>
      </c>
      <c r="R20" s="162"/>
      <c r="T20" s="10"/>
      <c r="U20" s="13"/>
      <c r="V20" s="1"/>
      <c r="Z20" s="1"/>
      <c r="AA20" s="25"/>
    </row>
    <row r="21" spans="1:27" x14ac:dyDescent="0.45">
      <c r="A21" s="4">
        <v>43678</v>
      </c>
      <c r="B21" s="5">
        <v>14964.1</v>
      </c>
      <c r="C21" s="2">
        <v>87.600000000000364</v>
      </c>
      <c r="D21" s="14">
        <f t="shared" si="0"/>
        <v>-4.6215189873414033</v>
      </c>
      <c r="E21" s="14">
        <f t="shared" si="1"/>
        <v>-19.621518987341403</v>
      </c>
      <c r="F21" s="15">
        <f t="shared" si="2"/>
        <v>90.681222560478162</v>
      </c>
      <c r="G21" s="14">
        <f t="shared" si="3"/>
        <v>21.358437750357108</v>
      </c>
      <c r="H21" s="162"/>
      <c r="K21" s="4">
        <v>43678</v>
      </c>
      <c r="L21" s="5">
        <v>14964.1</v>
      </c>
      <c r="M21" s="2">
        <v>-53.920000000000073</v>
      </c>
      <c r="N21" s="14">
        <f t="shared" si="4"/>
        <v>-89.674303797468426</v>
      </c>
      <c r="O21" s="14">
        <f t="shared" si="5"/>
        <v>14.525696202531392</v>
      </c>
      <c r="P21" s="15">
        <f t="shared" si="6"/>
        <v>-1302.5816941355336</v>
      </c>
      <c r="Q21" s="14">
        <f t="shared" si="7"/>
        <v>8041.4807615606605</v>
      </c>
      <c r="R21" s="162"/>
      <c r="T21" s="10"/>
      <c r="U21" s="13"/>
      <c r="V21" s="1"/>
      <c r="Z21" s="1"/>
      <c r="AA21" s="25"/>
    </row>
    <row r="22" spans="1:27" x14ac:dyDescent="0.45">
      <c r="A22" s="4">
        <v>43709</v>
      </c>
      <c r="B22" s="5">
        <v>15062.4</v>
      </c>
      <c r="C22" s="2">
        <v>72.600000000000364</v>
      </c>
      <c r="D22" s="14">
        <f t="shared" si="0"/>
        <v>-19.621518987341403</v>
      </c>
      <c r="E22" s="14">
        <f t="shared" si="1"/>
        <v>44.878481012658597</v>
      </c>
      <c r="F22" s="15">
        <f t="shared" si="2"/>
        <v>-880.58396731292135</v>
      </c>
      <c r="G22" s="14">
        <f t="shared" si="3"/>
        <v>385.0040073705992</v>
      </c>
      <c r="H22" s="162"/>
      <c r="K22" s="4">
        <v>43709</v>
      </c>
      <c r="L22" s="5">
        <v>15062.4</v>
      </c>
      <c r="M22" s="2">
        <v>50.279999999999745</v>
      </c>
      <c r="N22" s="14">
        <f t="shared" si="4"/>
        <v>14.525696202531392</v>
      </c>
      <c r="O22" s="14">
        <f t="shared" si="5"/>
        <v>25.065696202531811</v>
      </c>
      <c r="P22" s="15">
        <f t="shared" si="6"/>
        <v>364.09668814292189</v>
      </c>
      <c r="Q22" s="14">
        <f t="shared" si="7"/>
        <v>210.99585016823491</v>
      </c>
      <c r="R22" s="162"/>
      <c r="T22" s="10"/>
      <c r="U22" s="13"/>
      <c r="V22" s="1"/>
      <c r="Z22" s="1"/>
      <c r="AA22" s="25"/>
    </row>
    <row r="23" spans="1:27" x14ac:dyDescent="0.45">
      <c r="A23" s="4">
        <v>43739</v>
      </c>
      <c r="B23" s="5">
        <v>15197.3</v>
      </c>
      <c r="C23" s="2">
        <v>137.10000000000036</v>
      </c>
      <c r="D23" s="14">
        <f t="shared" si="0"/>
        <v>44.878481012658597</v>
      </c>
      <c r="E23" s="14">
        <f t="shared" si="1"/>
        <v>19.678481012657869</v>
      </c>
      <c r="F23" s="15">
        <f t="shared" si="2"/>
        <v>883.14033648452892</v>
      </c>
      <c r="G23" s="14">
        <f t="shared" si="3"/>
        <v>2014.0780580035582</v>
      </c>
      <c r="H23" s="162"/>
      <c r="K23" s="4">
        <v>43739</v>
      </c>
      <c r="L23" s="5">
        <v>15197.3</v>
      </c>
      <c r="M23" s="2">
        <v>60.820000000000164</v>
      </c>
      <c r="N23" s="14">
        <f t="shared" si="4"/>
        <v>25.065696202531811</v>
      </c>
      <c r="O23" s="14">
        <f t="shared" si="5"/>
        <v>67.66569620253172</v>
      </c>
      <c r="P23" s="15">
        <f t="shared" si="6"/>
        <v>1696.0877843454705</v>
      </c>
      <c r="Q23" s="14">
        <f t="shared" si="7"/>
        <v>628.28912611761768</v>
      </c>
      <c r="R23" s="162"/>
      <c r="T23" s="10"/>
      <c r="U23" s="13"/>
      <c r="V23" s="1"/>
      <c r="Z23" s="1"/>
      <c r="AA23" s="25"/>
    </row>
    <row r="24" spans="1:27" x14ac:dyDescent="0.45">
      <c r="A24" s="4">
        <v>43770</v>
      </c>
      <c r="B24" s="5">
        <v>15305.1</v>
      </c>
      <c r="C24" s="2">
        <v>111.89999999999964</v>
      </c>
      <c r="D24" s="14">
        <f t="shared" si="0"/>
        <v>19.678481012657869</v>
      </c>
      <c r="E24" s="14">
        <f t="shared" si="1"/>
        <v>-40.721518987341767</v>
      </c>
      <c r="F24" s="15">
        <f t="shared" si="2"/>
        <v>-801.33763819899184</v>
      </c>
      <c r="G24" s="14">
        <f t="shared" si="3"/>
        <v>387.24261496553629</v>
      </c>
      <c r="H24" s="162"/>
      <c r="K24" s="4">
        <v>43770</v>
      </c>
      <c r="L24" s="5">
        <v>15305.1</v>
      </c>
      <c r="M24" s="2">
        <v>103.42000000000007</v>
      </c>
      <c r="N24" s="14">
        <f t="shared" si="4"/>
        <v>67.66569620253172</v>
      </c>
      <c r="O24" s="14">
        <f t="shared" si="5"/>
        <v>54.045696202531829</v>
      </c>
      <c r="P24" s="15">
        <f t="shared" si="6"/>
        <v>3657.0396602948408</v>
      </c>
      <c r="Q24" s="14">
        <f t="shared" si="7"/>
        <v>4578.6464425733157</v>
      </c>
      <c r="R24" s="162"/>
      <c r="T24" s="10"/>
      <c r="U24" s="13"/>
      <c r="V24" s="1"/>
      <c r="Z24" s="1"/>
      <c r="AA24" s="25"/>
    </row>
    <row r="25" spans="1:27" x14ac:dyDescent="0.45">
      <c r="A25" s="4">
        <v>43800</v>
      </c>
      <c r="B25" s="5">
        <v>15373.7</v>
      </c>
      <c r="C25" s="2">
        <v>51.5</v>
      </c>
      <c r="D25" s="14">
        <f t="shared" si="0"/>
        <v>-40.721518987341767</v>
      </c>
      <c r="E25" s="14">
        <f t="shared" si="1"/>
        <v>-12.621518987341403</v>
      </c>
      <c r="F25" s="15">
        <f t="shared" si="2"/>
        <v>513.96742509211754</v>
      </c>
      <c r="G25" s="14">
        <f t="shared" si="3"/>
        <v>1658.2421086364361</v>
      </c>
      <c r="H25" s="162"/>
      <c r="K25" s="4">
        <v>43800</v>
      </c>
      <c r="L25" s="5">
        <v>15373.7</v>
      </c>
      <c r="M25" s="2">
        <v>89.800000000000182</v>
      </c>
      <c r="N25" s="14">
        <f t="shared" si="4"/>
        <v>54.045696202531829</v>
      </c>
      <c r="O25" s="14">
        <f t="shared" si="5"/>
        <v>-41.014303797468571</v>
      </c>
      <c r="P25" s="15">
        <f t="shared" si="6"/>
        <v>-2216.646602996334</v>
      </c>
      <c r="Q25" s="14">
        <f t="shared" si="7"/>
        <v>2920.9372780163635</v>
      </c>
      <c r="R25" s="162"/>
      <c r="T25" s="10"/>
      <c r="U25" s="13"/>
      <c r="V25" s="1"/>
      <c r="Z25" s="1"/>
      <c r="AA25" s="25"/>
    </row>
    <row r="26" spans="1:27" x14ac:dyDescent="0.45">
      <c r="A26" s="4">
        <v>43831</v>
      </c>
      <c r="B26" s="5">
        <v>15443.2</v>
      </c>
      <c r="C26" s="2">
        <v>79.600000000000364</v>
      </c>
      <c r="D26" s="14">
        <f t="shared" si="0"/>
        <v>-12.621518987341403</v>
      </c>
      <c r="E26" s="14">
        <f t="shared" si="1"/>
        <v>-25.921518987342495</v>
      </c>
      <c r="F26" s="15">
        <f t="shared" si="2"/>
        <v>327.16894407947399</v>
      </c>
      <c r="G26" s="14">
        <f t="shared" si="3"/>
        <v>159.30274154781955</v>
      </c>
      <c r="H26" s="162"/>
      <c r="K26" s="4">
        <v>43831</v>
      </c>
      <c r="L26" s="5">
        <v>15443.2</v>
      </c>
      <c r="M26" s="2">
        <v>-5.2600000000002183</v>
      </c>
      <c r="N26" s="14">
        <f t="shared" si="4"/>
        <v>-41.014303797468571</v>
      </c>
      <c r="O26" s="14">
        <f t="shared" si="5"/>
        <v>-307.05430379746855</v>
      </c>
      <c r="P26" s="15">
        <f t="shared" si="6"/>
        <v>12593.618498269583</v>
      </c>
      <c r="Q26" s="14">
        <f t="shared" si="7"/>
        <v>1682.1731159910448</v>
      </c>
      <c r="R26" s="162"/>
      <c r="T26" s="10"/>
      <c r="U26" s="13"/>
      <c r="V26" s="1"/>
      <c r="Z26" s="1"/>
      <c r="AA26" s="25"/>
    </row>
    <row r="27" spans="1:27" x14ac:dyDescent="0.45">
      <c r="A27" s="4">
        <v>43862</v>
      </c>
      <c r="B27" s="5">
        <v>15497.1</v>
      </c>
      <c r="C27" s="2">
        <v>66.299999999999272</v>
      </c>
      <c r="D27" s="14">
        <f t="shared" si="0"/>
        <v>-25.921518987342495</v>
      </c>
      <c r="E27" s="14">
        <f t="shared" si="1"/>
        <v>447.3784810126586</v>
      </c>
      <c r="F27" s="15">
        <f t="shared" si="2"/>
        <v>-11596.729790098074</v>
      </c>
      <c r="G27" s="14">
        <f t="shared" si="3"/>
        <v>671.92514661115752</v>
      </c>
      <c r="H27" s="162"/>
      <c r="K27" s="4">
        <v>43862</v>
      </c>
      <c r="L27" s="5">
        <v>15497.1</v>
      </c>
      <c r="M27" s="2">
        <v>-271.30000000000018</v>
      </c>
      <c r="N27" s="14">
        <f t="shared" si="4"/>
        <v>-307.05430379746855</v>
      </c>
      <c r="O27" s="14">
        <f t="shared" si="5"/>
        <v>-405.38430379746802</v>
      </c>
      <c r="P27" s="15">
        <f t="shared" si="6"/>
        <v>124474.99517295303</v>
      </c>
      <c r="Q27" s="14">
        <f t="shared" si="7"/>
        <v>94282.345480548101</v>
      </c>
      <c r="R27" s="162"/>
      <c r="T27" s="10"/>
      <c r="U27" s="13"/>
      <c r="V27" s="1"/>
      <c r="Z27" s="1"/>
      <c r="AA27" s="25"/>
    </row>
    <row r="28" spans="1:27" x14ac:dyDescent="0.45">
      <c r="A28" s="4">
        <v>43891</v>
      </c>
      <c r="B28" s="5">
        <v>16025.9</v>
      </c>
      <c r="C28" s="2">
        <v>539.60000000000036</v>
      </c>
      <c r="D28" s="14">
        <f t="shared" si="0"/>
        <v>447.3784810126586</v>
      </c>
      <c r="E28" s="14">
        <f t="shared" si="1"/>
        <v>940.07848101265745</v>
      </c>
      <c r="F28" s="15">
        <f t="shared" si="2"/>
        <v>420570.88286813011</v>
      </c>
      <c r="G28" s="14">
        <f t="shared" si="3"/>
        <v>200147.50527319373</v>
      </c>
      <c r="H28" s="162"/>
      <c r="K28" s="4">
        <v>43891</v>
      </c>
      <c r="L28" s="5">
        <v>16025.9</v>
      </c>
      <c r="M28" s="2">
        <v>-369.62999999999965</v>
      </c>
      <c r="N28" s="14">
        <f t="shared" si="4"/>
        <v>-405.38430379746802</v>
      </c>
      <c r="O28" s="14">
        <f t="shared" si="5"/>
        <v>292.08569620253132</v>
      </c>
      <c r="P28" s="15">
        <f t="shared" si="6"/>
        <v>-118406.95660426191</v>
      </c>
      <c r="Q28" s="14">
        <f t="shared" si="7"/>
        <v>164336.43376535786</v>
      </c>
      <c r="R28" s="162"/>
      <c r="T28" s="10"/>
      <c r="U28" s="13"/>
      <c r="V28" s="1"/>
      <c r="Z28" s="1"/>
      <c r="AA28" s="25"/>
    </row>
    <row r="29" spans="1:27" x14ac:dyDescent="0.45">
      <c r="A29" s="4">
        <v>43922</v>
      </c>
      <c r="B29" s="5">
        <v>17039.099999999999</v>
      </c>
      <c r="C29" s="2">
        <v>1032.2999999999993</v>
      </c>
      <c r="D29" s="14">
        <f t="shared" si="0"/>
        <v>940.07848101265745</v>
      </c>
      <c r="E29" s="14">
        <f t="shared" si="1"/>
        <v>775.37848101266036</v>
      </c>
      <c r="F29" s="15">
        <f t="shared" si="2"/>
        <v>728916.62464028341</v>
      </c>
      <c r="G29" s="14">
        <f t="shared" si="3"/>
        <v>883747.55046306539</v>
      </c>
      <c r="H29" s="162"/>
      <c r="K29" s="4">
        <v>43922</v>
      </c>
      <c r="L29" s="5">
        <v>17039.099999999999</v>
      </c>
      <c r="M29" s="2">
        <v>327.83999999999969</v>
      </c>
      <c r="N29" s="14">
        <f t="shared" si="4"/>
        <v>292.08569620253132</v>
      </c>
      <c r="O29" s="14">
        <f t="shared" si="5"/>
        <v>96.125696202531756</v>
      </c>
      <c r="P29" s="15">
        <f t="shared" si="6"/>
        <v>28076.940898269509</v>
      </c>
      <c r="Q29" s="14">
        <f t="shared" si="7"/>
        <v>85314.053926117427</v>
      </c>
      <c r="R29" s="162"/>
      <c r="T29" s="10"/>
      <c r="U29" s="13"/>
      <c r="V29" s="1"/>
      <c r="Z29" s="1"/>
      <c r="AA29" s="25"/>
    </row>
    <row r="30" spans="1:27" x14ac:dyDescent="0.45">
      <c r="A30" s="4">
        <v>43952</v>
      </c>
      <c r="B30" s="5">
        <v>17886.400000000001</v>
      </c>
      <c r="C30" s="2">
        <v>867.60000000000218</v>
      </c>
      <c r="D30" s="14">
        <f t="shared" si="0"/>
        <v>775.37848101266036</v>
      </c>
      <c r="E30" s="14">
        <f t="shared" si="1"/>
        <v>159.17848101265605</v>
      </c>
      <c r="F30" s="15">
        <f t="shared" si="2"/>
        <v>123423.56881749585</v>
      </c>
      <c r="G30" s="14">
        <f t="shared" si="3"/>
        <v>601211.78881750046</v>
      </c>
      <c r="H30" s="162"/>
      <c r="K30" s="4">
        <v>43952</v>
      </c>
      <c r="L30" s="5">
        <v>17886.400000000001</v>
      </c>
      <c r="M30" s="2">
        <v>131.88000000000011</v>
      </c>
      <c r="N30" s="14">
        <f t="shared" si="4"/>
        <v>96.125696202531756</v>
      </c>
      <c r="O30" s="14">
        <f t="shared" si="5"/>
        <v>20.225696202531665</v>
      </c>
      <c r="P30" s="15">
        <f t="shared" si="6"/>
        <v>1944.2091286492591</v>
      </c>
      <c r="Q30" s="14">
        <f t="shared" si="7"/>
        <v>9240.1494704214274</v>
      </c>
      <c r="R30" s="162"/>
      <c r="T30" s="10"/>
      <c r="U30" s="13"/>
      <c r="V30" s="1"/>
      <c r="Z30" s="1"/>
      <c r="AA30" s="25"/>
    </row>
    <row r="31" spans="1:27" x14ac:dyDescent="0.45">
      <c r="A31" s="4">
        <v>43983</v>
      </c>
      <c r="B31" s="5">
        <v>18173.5</v>
      </c>
      <c r="C31" s="2">
        <v>251.39999999999782</v>
      </c>
      <c r="D31" s="14">
        <f t="shared" si="0"/>
        <v>159.17848101265605</v>
      </c>
      <c r="E31" s="14">
        <f t="shared" si="1"/>
        <v>58.878481012660416</v>
      </c>
      <c r="F31" s="15">
        <f t="shared" si="2"/>
        <v>9372.1871719277951</v>
      </c>
      <c r="G31" s="14">
        <f t="shared" si="3"/>
        <v>25337.788817496501</v>
      </c>
      <c r="H31" s="162"/>
      <c r="K31" s="4">
        <v>43983</v>
      </c>
      <c r="L31" s="5">
        <v>18173.5</v>
      </c>
      <c r="M31" s="2">
        <v>55.980000000000018</v>
      </c>
      <c r="N31" s="14">
        <f t="shared" si="4"/>
        <v>20.225696202531665</v>
      </c>
      <c r="O31" s="14">
        <f t="shared" si="5"/>
        <v>135.07569620253156</v>
      </c>
      <c r="P31" s="15">
        <f t="shared" si="6"/>
        <v>2731.9999957378636</v>
      </c>
      <c r="Q31" s="14">
        <f t="shared" si="7"/>
        <v>409.07878687710382</v>
      </c>
      <c r="R31" s="162"/>
      <c r="T31" s="10"/>
      <c r="U31" s="13"/>
      <c r="V31" s="1"/>
      <c r="Z31" s="1"/>
      <c r="AA31" s="25"/>
    </row>
    <row r="32" spans="1:27" x14ac:dyDescent="0.45">
      <c r="A32" s="4">
        <v>44013</v>
      </c>
      <c r="B32" s="5">
        <v>18330.099999999999</v>
      </c>
      <c r="C32" s="2">
        <v>151.10000000000218</v>
      </c>
      <c r="D32" s="14">
        <f t="shared" si="0"/>
        <v>58.878481012660416</v>
      </c>
      <c r="E32" s="14">
        <f t="shared" si="1"/>
        <v>-16.421518987342495</v>
      </c>
      <c r="F32" s="15">
        <f t="shared" si="2"/>
        <v>-966.87409389528761</v>
      </c>
      <c r="G32" s="14">
        <f t="shared" si="3"/>
        <v>3466.6755263582131</v>
      </c>
      <c r="H32" s="162"/>
      <c r="K32" s="4">
        <v>44013</v>
      </c>
      <c r="L32" s="5">
        <v>18330.099999999999</v>
      </c>
      <c r="M32" s="2">
        <v>170.82999999999993</v>
      </c>
      <c r="N32" s="14">
        <f t="shared" si="4"/>
        <v>135.07569620253156</v>
      </c>
      <c r="O32" s="14">
        <f t="shared" si="5"/>
        <v>193.43569620253169</v>
      </c>
      <c r="P32" s="15">
        <f t="shared" si="6"/>
        <v>26128.461334978358</v>
      </c>
      <c r="Q32" s="14">
        <f t="shared" si="7"/>
        <v>18245.443704598598</v>
      </c>
      <c r="R32" s="162"/>
      <c r="T32" s="10"/>
      <c r="U32" s="13"/>
      <c r="V32" s="1"/>
      <c r="Z32" s="1"/>
      <c r="AA32" s="25"/>
    </row>
    <row r="33" spans="1:27" x14ac:dyDescent="0.45">
      <c r="A33" s="4">
        <v>44044</v>
      </c>
      <c r="B33" s="5">
        <v>18396.3</v>
      </c>
      <c r="C33" s="2">
        <v>75.799999999999272</v>
      </c>
      <c r="D33" s="14">
        <f t="shared" si="0"/>
        <v>-16.421518987342495</v>
      </c>
      <c r="E33" s="14">
        <f t="shared" si="1"/>
        <v>99.078481012657505</v>
      </c>
      <c r="F33" s="15">
        <f t="shared" si="2"/>
        <v>-1627.0191571864082</v>
      </c>
      <c r="G33" s="14">
        <f t="shared" si="3"/>
        <v>269.66628585165006</v>
      </c>
      <c r="H33" s="162"/>
      <c r="K33" s="4">
        <v>44044</v>
      </c>
      <c r="L33" s="5">
        <v>18396.3</v>
      </c>
      <c r="M33" s="2">
        <v>229.19000000000005</v>
      </c>
      <c r="N33" s="14">
        <f t="shared" si="4"/>
        <v>193.43569620253169</v>
      </c>
      <c r="O33" s="14">
        <f t="shared" si="5"/>
        <v>-173.06430379746831</v>
      </c>
      <c r="P33" s="15">
        <f t="shared" si="6"/>
        <v>-33476.814092869732</v>
      </c>
      <c r="Q33" s="14">
        <f t="shared" si="7"/>
        <v>37417.368565358134</v>
      </c>
      <c r="R33" s="162"/>
      <c r="T33" s="10"/>
      <c r="U33" s="13"/>
      <c r="V33" s="1"/>
      <c r="Z33" s="1"/>
      <c r="AA33" s="25"/>
    </row>
    <row r="34" spans="1:27" x14ac:dyDescent="0.45">
      <c r="A34" s="4">
        <v>44075</v>
      </c>
      <c r="B34" s="5">
        <v>18628.8</v>
      </c>
      <c r="C34" s="2">
        <v>191.29999999999927</v>
      </c>
      <c r="D34" s="14">
        <f t="shared" si="0"/>
        <v>99.078481012657505</v>
      </c>
      <c r="E34" s="14">
        <f t="shared" si="1"/>
        <v>62.878481012656778</v>
      </c>
      <c r="F34" s="15">
        <f t="shared" si="2"/>
        <v>6229.9043871172598</v>
      </c>
      <c r="G34" s="14">
        <f t="shared" si="3"/>
        <v>9816.545399775534</v>
      </c>
      <c r="H34" s="162"/>
      <c r="K34" s="4">
        <v>44075</v>
      </c>
      <c r="L34" s="5">
        <v>18628.8</v>
      </c>
      <c r="M34" s="2">
        <v>-137.30999999999995</v>
      </c>
      <c r="N34" s="14">
        <f t="shared" si="4"/>
        <v>-173.06430379746831</v>
      </c>
      <c r="O34" s="14">
        <f t="shared" si="5"/>
        <v>-128.79430379746833</v>
      </c>
      <c r="P34" s="15">
        <f t="shared" si="6"/>
        <v>22289.696519788486</v>
      </c>
      <c r="Q34" s="14">
        <f t="shared" si="7"/>
        <v>29951.253248902405</v>
      </c>
      <c r="R34" s="162"/>
      <c r="T34" s="10"/>
      <c r="U34" s="13"/>
      <c r="V34" s="1"/>
      <c r="Z34" s="1"/>
      <c r="AA34" s="25"/>
    </row>
    <row r="35" spans="1:27" x14ac:dyDescent="0.45">
      <c r="A35" s="4">
        <v>44105</v>
      </c>
      <c r="B35" s="5">
        <v>18783.400000000001</v>
      </c>
      <c r="C35" s="2">
        <v>155.09999999999854</v>
      </c>
      <c r="D35" s="14">
        <f t="shared" si="0"/>
        <v>62.878481012656778</v>
      </c>
      <c r="E35" s="14">
        <f t="shared" si="1"/>
        <v>147.17848101265969</v>
      </c>
      <c r="F35" s="15">
        <f t="shared" si="2"/>
        <v>9254.3593238261874</v>
      </c>
      <c r="G35" s="14">
        <f t="shared" si="3"/>
        <v>3953.703374459039</v>
      </c>
      <c r="H35" s="162"/>
      <c r="K35" s="4">
        <v>44105</v>
      </c>
      <c r="L35" s="5">
        <v>18783.400000000001</v>
      </c>
      <c r="M35" s="2">
        <v>-93.039999999999964</v>
      </c>
      <c r="N35" s="14">
        <f t="shared" si="4"/>
        <v>-128.79430379746833</v>
      </c>
      <c r="O35" s="14">
        <f t="shared" si="5"/>
        <v>315.91569620253171</v>
      </c>
      <c r="P35" s="15">
        <f t="shared" si="6"/>
        <v>-40688.142151097578</v>
      </c>
      <c r="Q35" s="14">
        <f t="shared" si="7"/>
        <v>16587.972690674564</v>
      </c>
      <c r="R35" s="162"/>
      <c r="T35" s="10"/>
      <c r="U35" s="13"/>
      <c r="V35" s="1"/>
      <c r="Z35" s="1"/>
      <c r="AA35" s="25"/>
    </row>
    <row r="36" spans="1:27" x14ac:dyDescent="0.45">
      <c r="A36" s="4">
        <v>44136</v>
      </c>
      <c r="B36" s="5">
        <v>19012.099999999999</v>
      </c>
      <c r="C36" s="2">
        <v>239.40000000000146</v>
      </c>
      <c r="D36" s="14">
        <f t="shared" si="0"/>
        <v>147.17848101265969</v>
      </c>
      <c r="E36" s="14">
        <f t="shared" si="1"/>
        <v>26.47848101265896</v>
      </c>
      <c r="F36" s="15">
        <f t="shared" si="2"/>
        <v>3897.0626149656969</v>
      </c>
      <c r="G36" s="14">
        <f t="shared" si="3"/>
        <v>21661.505273193827</v>
      </c>
      <c r="H36" s="162"/>
      <c r="K36" s="4">
        <v>44136</v>
      </c>
      <c r="L36" s="5">
        <v>19012.099999999999</v>
      </c>
      <c r="M36" s="2">
        <v>351.67000000000007</v>
      </c>
      <c r="N36" s="14">
        <f t="shared" si="4"/>
        <v>315.91569620253171</v>
      </c>
      <c r="O36" s="14">
        <f t="shared" si="5"/>
        <v>98.685696202531702</v>
      </c>
      <c r="P36" s="15">
        <f t="shared" si="6"/>
        <v>31176.360421054342</v>
      </c>
      <c r="Q36" s="14">
        <f t="shared" si="7"/>
        <v>99802.727107130311</v>
      </c>
      <c r="R36" s="162"/>
      <c r="T36" s="10"/>
      <c r="U36" s="13"/>
      <c r="V36" s="1"/>
      <c r="Z36" s="1"/>
      <c r="AA36" s="25"/>
    </row>
    <row r="37" spans="1:27" x14ac:dyDescent="0.45">
      <c r="A37" s="4">
        <v>44166</v>
      </c>
      <c r="B37" s="5">
        <v>19165.900000000001</v>
      </c>
      <c r="C37" s="2">
        <v>118.70000000000073</v>
      </c>
      <c r="D37" s="14">
        <f t="shared" si="0"/>
        <v>26.47848101265896</v>
      </c>
      <c r="E37" s="14">
        <f t="shared" si="1"/>
        <v>171.07848101265751</v>
      </c>
      <c r="F37" s="15">
        <f t="shared" si="2"/>
        <v>4529.8983111681882</v>
      </c>
      <c r="G37" s="14">
        <f t="shared" si="3"/>
        <v>701.10995673774107</v>
      </c>
      <c r="H37" s="162"/>
      <c r="K37" s="4">
        <v>44166</v>
      </c>
      <c r="L37" s="5">
        <v>19165.900000000001</v>
      </c>
      <c r="M37" s="2">
        <v>134.44000000000005</v>
      </c>
      <c r="N37" s="14">
        <f t="shared" si="4"/>
        <v>98.685696202531702</v>
      </c>
      <c r="O37" s="14">
        <f t="shared" si="5"/>
        <v>-77.584303797468735</v>
      </c>
      <c r="P37" s="15">
        <f t="shared" si="6"/>
        <v>-7656.4610346419258</v>
      </c>
      <c r="Q37" s="14">
        <f t="shared" si="7"/>
        <v>9738.8666349783798</v>
      </c>
      <c r="R37" s="162"/>
      <c r="T37" s="10"/>
      <c r="U37" s="13"/>
      <c r="V37" s="1"/>
      <c r="Z37" s="1"/>
      <c r="AA37" s="25"/>
    </row>
    <row r="38" spans="1:27" x14ac:dyDescent="0.45">
      <c r="A38" s="4">
        <v>44197</v>
      </c>
      <c r="B38" s="5">
        <v>19392.5</v>
      </c>
      <c r="C38" s="2">
        <v>263.29999999999927</v>
      </c>
      <c r="D38" s="14">
        <f t="shared" si="0"/>
        <v>171.07848101265751</v>
      </c>
      <c r="E38" s="14">
        <f t="shared" si="1"/>
        <v>170.57848101265751</v>
      </c>
      <c r="F38" s="15">
        <f t="shared" si="2"/>
        <v>29182.307425091887</v>
      </c>
      <c r="G38" s="14">
        <f t="shared" si="3"/>
        <v>29267.846665598216</v>
      </c>
      <c r="H38" s="162"/>
      <c r="K38" s="4">
        <v>44197</v>
      </c>
      <c r="L38" s="5">
        <v>19392.5</v>
      </c>
      <c r="M38" s="2">
        <v>-41.830000000000382</v>
      </c>
      <c r="N38" s="14">
        <f t="shared" si="4"/>
        <v>-77.584303797468735</v>
      </c>
      <c r="O38" s="14">
        <f t="shared" si="5"/>
        <v>61.155696202531956</v>
      </c>
      <c r="P38" s="15">
        <f t="shared" si="6"/>
        <v>-4744.7221131229444</v>
      </c>
      <c r="Q38" s="14">
        <f t="shared" si="7"/>
        <v>6019.3241957379214</v>
      </c>
      <c r="R38" s="162"/>
      <c r="T38" s="10"/>
      <c r="U38" s="13"/>
      <c r="V38" s="1"/>
      <c r="Z38" s="1"/>
      <c r="AA38" s="25"/>
    </row>
    <row r="39" spans="1:27" x14ac:dyDescent="0.45">
      <c r="A39" s="4">
        <v>44228</v>
      </c>
      <c r="B39" s="5">
        <v>19628.2</v>
      </c>
      <c r="C39" s="2">
        <v>262.79999999999927</v>
      </c>
      <c r="D39" s="14">
        <f t="shared" si="0"/>
        <v>170.57848101265751</v>
      </c>
      <c r="E39" s="14">
        <f t="shared" si="1"/>
        <v>139.17848101265969</v>
      </c>
      <c r="F39" s="15">
        <f t="shared" si="2"/>
        <v>23740.853880788483</v>
      </c>
      <c r="G39" s="14">
        <f t="shared" si="3"/>
        <v>29097.018184585559</v>
      </c>
      <c r="H39" s="162"/>
      <c r="K39" s="4">
        <v>44228</v>
      </c>
      <c r="L39" s="5">
        <v>19628.2</v>
      </c>
      <c r="M39" s="2">
        <v>96.910000000000309</v>
      </c>
      <c r="N39" s="14">
        <f t="shared" si="4"/>
        <v>61.155696202531956</v>
      </c>
      <c r="O39" s="14">
        <f t="shared" si="5"/>
        <v>125.98569620253143</v>
      </c>
      <c r="P39" s="15">
        <f t="shared" si="6"/>
        <v>7704.7429628264963</v>
      </c>
      <c r="Q39" s="14">
        <f t="shared" si="7"/>
        <v>3740.0191780163814</v>
      </c>
      <c r="R39" s="162"/>
      <c r="T39" s="10"/>
      <c r="U39" s="13"/>
      <c r="V39" s="1"/>
      <c r="Z39" s="1"/>
      <c r="AA39" s="25"/>
    </row>
    <row r="40" spans="1:27" x14ac:dyDescent="0.45">
      <c r="A40" s="4">
        <v>44256</v>
      </c>
      <c r="B40" s="5">
        <v>19852.2</v>
      </c>
      <c r="C40" s="2">
        <v>231.40000000000146</v>
      </c>
      <c r="D40" s="14">
        <f t="shared" si="0"/>
        <v>139.17848101265969</v>
      </c>
      <c r="E40" s="14">
        <f t="shared" si="1"/>
        <v>211.47848101265896</v>
      </c>
      <c r="F40" s="15">
        <f t="shared" si="2"/>
        <v>29433.253754206467</v>
      </c>
      <c r="G40" s="14">
        <f t="shared" si="3"/>
        <v>19370.649576991273</v>
      </c>
      <c r="H40" s="162"/>
      <c r="K40" s="4">
        <v>44256</v>
      </c>
      <c r="L40" s="5">
        <v>19852.2</v>
      </c>
      <c r="M40" s="2">
        <v>161.73999999999978</v>
      </c>
      <c r="N40" s="14">
        <f t="shared" si="4"/>
        <v>125.98569620253143</v>
      </c>
      <c r="O40" s="14">
        <f t="shared" si="5"/>
        <v>172.52569620253183</v>
      </c>
      <c r="P40" s="15">
        <f t="shared" si="6"/>
        <v>21735.769948902405</v>
      </c>
      <c r="Q40" s="14">
        <f t="shared" si="7"/>
        <v>15872.395647636542</v>
      </c>
      <c r="R40" s="162"/>
      <c r="T40" s="10"/>
      <c r="U40" s="13"/>
      <c r="V40" s="1"/>
      <c r="Z40" s="1"/>
      <c r="AA40" s="25"/>
    </row>
    <row r="41" spans="1:27" x14ac:dyDescent="0.45">
      <c r="A41" s="4">
        <v>44287</v>
      </c>
      <c r="B41" s="5">
        <v>20189</v>
      </c>
      <c r="C41" s="2">
        <v>303.70000000000073</v>
      </c>
      <c r="D41" s="14">
        <f t="shared" si="0"/>
        <v>211.47848101265896</v>
      </c>
      <c r="E41" s="14">
        <f t="shared" si="1"/>
        <v>191.27848101265823</v>
      </c>
      <c r="F41" s="15">
        <f t="shared" si="2"/>
        <v>40451.28261496569</v>
      </c>
      <c r="G41" s="14">
        <f t="shared" si="3"/>
        <v>44723.147931421554</v>
      </c>
      <c r="H41" s="162"/>
      <c r="K41" s="4">
        <v>44287</v>
      </c>
      <c r="L41" s="5">
        <v>20189</v>
      </c>
      <c r="M41" s="2">
        <v>208.2800000000002</v>
      </c>
      <c r="N41" s="14">
        <f t="shared" si="4"/>
        <v>172.52569620253183</v>
      </c>
      <c r="O41" s="14">
        <f t="shared" si="5"/>
        <v>-12.814303797468753</v>
      </c>
      <c r="P41" s="15">
        <f t="shared" si="6"/>
        <v>-2210.7966840090439</v>
      </c>
      <c r="Q41" s="14">
        <f t="shared" si="7"/>
        <v>29765.115850168306</v>
      </c>
      <c r="R41" s="162"/>
      <c r="T41" s="10"/>
      <c r="U41" s="13"/>
      <c r="V41" s="1"/>
      <c r="Z41" s="1"/>
      <c r="AA41" s="25"/>
    </row>
    <row r="42" spans="1:27" x14ac:dyDescent="0.45">
      <c r="A42" s="4">
        <v>44317</v>
      </c>
      <c r="B42" s="5">
        <v>20457</v>
      </c>
      <c r="C42" s="2">
        <v>283.5</v>
      </c>
      <c r="D42" s="14">
        <f t="shared" si="0"/>
        <v>191.27848101265823</v>
      </c>
      <c r="E42" s="14">
        <f t="shared" si="1"/>
        <v>-74.82151898734395</v>
      </c>
      <c r="F42" s="15">
        <f t="shared" si="2"/>
        <v>-14311.746498958917</v>
      </c>
      <c r="G42" s="14">
        <f t="shared" si="3"/>
        <v>36587.457298509857</v>
      </c>
      <c r="H42" s="162"/>
      <c r="K42" s="4">
        <v>44317</v>
      </c>
      <c r="L42" s="5">
        <v>20457</v>
      </c>
      <c r="M42" s="2">
        <v>22.9399999999996</v>
      </c>
      <c r="N42" s="14">
        <f t="shared" si="4"/>
        <v>-12.814303797468753</v>
      </c>
      <c r="O42" s="14">
        <f t="shared" si="5"/>
        <v>57.635696202531975</v>
      </c>
      <c r="P42" s="15">
        <f t="shared" si="6"/>
        <v>-738.56132071786089</v>
      </c>
      <c r="Q42" s="14">
        <f t="shared" si="7"/>
        <v>164.20638181382211</v>
      </c>
      <c r="R42" s="162"/>
      <c r="T42" s="10"/>
      <c r="U42" s="13"/>
      <c r="V42" s="1"/>
      <c r="Z42" s="1"/>
      <c r="AA42" s="25"/>
    </row>
    <row r="43" spans="1:27" x14ac:dyDescent="0.45">
      <c r="A43" s="4">
        <v>44348</v>
      </c>
      <c r="B43" s="5">
        <v>20499.2</v>
      </c>
      <c r="C43" s="2">
        <v>17.399999999997817</v>
      </c>
      <c r="D43" s="14">
        <f t="shared" si="0"/>
        <v>-74.82151898734395</v>
      </c>
      <c r="E43" s="14">
        <f t="shared" si="1"/>
        <v>63.278481012658233</v>
      </c>
      <c r="F43" s="15">
        <f t="shared" si="2"/>
        <v>-4734.5920685788915</v>
      </c>
      <c r="G43" s="14">
        <f t="shared" si="3"/>
        <v>5598.2597035734716</v>
      </c>
      <c r="H43" s="162"/>
      <c r="K43" s="4">
        <v>44348</v>
      </c>
      <c r="L43" s="5">
        <v>20499.2</v>
      </c>
      <c r="M43" s="2">
        <v>93.390000000000327</v>
      </c>
      <c r="N43" s="14">
        <f t="shared" si="4"/>
        <v>57.635696202531975</v>
      </c>
      <c r="O43" s="14">
        <f t="shared" si="5"/>
        <v>62.005696202531865</v>
      </c>
      <c r="P43" s="15">
        <f t="shared" si="6"/>
        <v>3573.7414691556173</v>
      </c>
      <c r="Q43" s="14">
        <f t="shared" si="7"/>
        <v>3321.8734767505589</v>
      </c>
      <c r="R43" s="162"/>
      <c r="T43" s="10"/>
      <c r="U43" s="13"/>
      <c r="V43" s="1"/>
      <c r="Z43" s="1"/>
      <c r="AA43" s="25"/>
    </row>
    <row r="44" spans="1:27" x14ac:dyDescent="0.45">
      <c r="A44" s="4">
        <v>44378</v>
      </c>
      <c r="B44" s="5">
        <v>20654.400000000001</v>
      </c>
      <c r="C44" s="2">
        <v>155.5</v>
      </c>
      <c r="D44" s="14">
        <f t="shared" si="0"/>
        <v>63.278481012658233</v>
      </c>
      <c r="E44" s="14">
        <f t="shared" si="1"/>
        <v>115.37848101266042</v>
      </c>
      <c r="F44" s="15">
        <f t="shared" si="2"/>
        <v>7300.9750200289809</v>
      </c>
      <c r="G44" s="14">
        <f t="shared" si="3"/>
        <v>4004.1661592693486</v>
      </c>
      <c r="H44" s="162"/>
      <c r="K44" s="4">
        <v>44378</v>
      </c>
      <c r="L44" s="5">
        <v>20654.400000000001</v>
      </c>
      <c r="M44" s="2">
        <v>97.760000000000218</v>
      </c>
      <c r="N44" s="14">
        <f t="shared" si="4"/>
        <v>62.005696202531865</v>
      </c>
      <c r="O44" s="14">
        <f t="shared" si="5"/>
        <v>91.66569620253172</v>
      </c>
      <c r="P44" s="15">
        <f t="shared" si="6"/>
        <v>5683.7953109277605</v>
      </c>
      <c r="Q44" s="14">
        <f t="shared" si="7"/>
        <v>3844.7063615606744</v>
      </c>
      <c r="R44" s="162"/>
      <c r="T44" s="10"/>
      <c r="U44" s="13"/>
      <c r="V44" s="1"/>
      <c r="Z44" s="1"/>
      <c r="AA44" s="25"/>
    </row>
    <row r="45" spans="1:27" x14ac:dyDescent="0.45">
      <c r="A45" s="4">
        <v>44409</v>
      </c>
      <c r="B45" s="5">
        <v>20837</v>
      </c>
      <c r="C45" s="2">
        <v>207.60000000000218</v>
      </c>
      <c r="D45" s="14">
        <f t="shared" si="0"/>
        <v>115.37848101266042</v>
      </c>
      <c r="E45" s="14">
        <f t="shared" si="1"/>
        <v>47.878481012656778</v>
      </c>
      <c r="F45" s="15">
        <f t="shared" si="2"/>
        <v>5524.1464124338427</v>
      </c>
      <c r="G45" s="14">
        <f t="shared" si="3"/>
        <v>13312.19388078884</v>
      </c>
      <c r="H45" s="162"/>
      <c r="K45" s="4">
        <v>44409</v>
      </c>
      <c r="L45" s="5">
        <v>20837</v>
      </c>
      <c r="M45" s="2">
        <v>127.42000000000007</v>
      </c>
      <c r="N45" s="14">
        <f t="shared" si="4"/>
        <v>91.66569620253172</v>
      </c>
      <c r="O45" s="14">
        <f t="shared" si="5"/>
        <v>-250.89430379746869</v>
      </c>
      <c r="P45" s="15">
        <f t="shared" si="6"/>
        <v>-22998.401030844467</v>
      </c>
      <c r="Q45" s="14">
        <f t="shared" si="7"/>
        <v>8402.5998602948384</v>
      </c>
      <c r="R45" s="162"/>
      <c r="T45" s="10"/>
      <c r="U45" s="13"/>
      <c r="V45" s="1"/>
      <c r="Z45" s="1"/>
      <c r="AA45" s="25"/>
    </row>
    <row r="46" spans="1:27" x14ac:dyDescent="0.45">
      <c r="A46" s="4">
        <v>44440</v>
      </c>
      <c r="B46" s="5">
        <v>21004.6</v>
      </c>
      <c r="C46" s="2">
        <v>140.09999999999854</v>
      </c>
      <c r="D46" s="14">
        <f t="shared" si="0"/>
        <v>47.878481012656778</v>
      </c>
      <c r="E46" s="14">
        <f t="shared" si="1"/>
        <v>87.378481012656778</v>
      </c>
      <c r="F46" s="15">
        <f t="shared" si="2"/>
        <v>4183.548944079278</v>
      </c>
      <c r="G46" s="14">
        <f t="shared" si="3"/>
        <v>2292.3489440793355</v>
      </c>
      <c r="H46" s="162"/>
      <c r="K46" s="4">
        <v>44440</v>
      </c>
      <c r="L46" s="5">
        <v>21004.6</v>
      </c>
      <c r="M46" s="2">
        <v>-215.14000000000033</v>
      </c>
      <c r="N46" s="14">
        <f t="shared" si="4"/>
        <v>-250.89430379746869</v>
      </c>
      <c r="O46" s="14">
        <f t="shared" si="5"/>
        <v>262.08569620253178</v>
      </c>
      <c r="P46" s="15">
        <f t="shared" si="6"/>
        <v>-65755.808284009094</v>
      </c>
      <c r="Q46" s="14">
        <f t="shared" si="7"/>
        <v>62947.951678016514</v>
      </c>
      <c r="R46" s="162"/>
      <c r="T46" s="10"/>
      <c r="U46" s="13"/>
      <c r="V46" s="1"/>
      <c r="Z46" s="1"/>
      <c r="AA46" s="25"/>
    </row>
    <row r="47" spans="1:27" x14ac:dyDescent="0.45">
      <c r="A47" s="4">
        <v>44470</v>
      </c>
      <c r="B47" s="5">
        <v>21168</v>
      </c>
      <c r="C47" s="2">
        <v>179.59999999999854</v>
      </c>
      <c r="D47" s="14">
        <f t="shared" si="0"/>
        <v>87.378481012656778</v>
      </c>
      <c r="E47" s="14">
        <f t="shared" si="1"/>
        <v>82.678481012659688</v>
      </c>
      <c r="F47" s="15">
        <f t="shared" si="2"/>
        <v>7224.320083319988</v>
      </c>
      <c r="G47" s="14">
        <f t="shared" si="3"/>
        <v>7634.9989440792206</v>
      </c>
      <c r="H47" s="162"/>
      <c r="K47" s="4">
        <v>44470</v>
      </c>
      <c r="L47" s="5">
        <v>21168</v>
      </c>
      <c r="M47" s="2">
        <v>297.84000000000015</v>
      </c>
      <c r="N47" s="14">
        <f t="shared" si="4"/>
        <v>262.08569620253178</v>
      </c>
      <c r="O47" s="14">
        <f t="shared" si="5"/>
        <v>-74.134303797468462</v>
      </c>
      <c r="P47" s="15">
        <f t="shared" si="6"/>
        <v>-19429.540623249519</v>
      </c>
      <c r="Q47" s="14">
        <f t="shared" si="7"/>
        <v>68688.912153965779</v>
      </c>
      <c r="R47" s="162"/>
      <c r="T47" s="10"/>
      <c r="U47" s="13"/>
      <c r="V47" s="1"/>
      <c r="Z47" s="1"/>
      <c r="AA47" s="25"/>
    </row>
    <row r="48" spans="1:27" x14ac:dyDescent="0.45">
      <c r="A48" s="4">
        <v>44501</v>
      </c>
      <c r="B48" s="5">
        <v>21337.9</v>
      </c>
      <c r="C48" s="2">
        <v>174.90000000000146</v>
      </c>
      <c r="D48" s="14">
        <f t="shared" si="0"/>
        <v>82.678481012659688</v>
      </c>
      <c r="E48" s="14">
        <f t="shared" si="1"/>
        <v>70.778481012658233</v>
      </c>
      <c r="F48" s="15">
        <f t="shared" si="2"/>
        <v>5851.8572985099581</v>
      </c>
      <c r="G48" s="14">
        <f t="shared" si="3"/>
        <v>6835.7312225607284</v>
      </c>
      <c r="H48" s="162"/>
      <c r="K48" s="4">
        <v>44501</v>
      </c>
      <c r="L48" s="5">
        <v>21337.9</v>
      </c>
      <c r="M48" s="2">
        <v>-38.380000000000109</v>
      </c>
      <c r="N48" s="14">
        <f t="shared" si="4"/>
        <v>-74.134303797468462</v>
      </c>
      <c r="O48" s="14">
        <f t="shared" si="5"/>
        <v>163.42569620253192</v>
      </c>
      <c r="P48" s="15">
        <f t="shared" si="6"/>
        <v>-12115.450210591289</v>
      </c>
      <c r="Q48" s="14">
        <f t="shared" si="7"/>
        <v>5495.8949995353469</v>
      </c>
      <c r="R48" s="162"/>
      <c r="T48" s="10"/>
      <c r="U48" s="13"/>
      <c r="V48" s="1"/>
      <c r="Z48" s="1"/>
      <c r="AA48" s="25"/>
    </row>
    <row r="49" spans="1:27" x14ac:dyDescent="0.45">
      <c r="A49" s="4">
        <v>44531</v>
      </c>
      <c r="B49" s="5">
        <v>21494</v>
      </c>
      <c r="C49" s="2">
        <v>163</v>
      </c>
      <c r="D49" s="14">
        <f t="shared" si="0"/>
        <v>70.778481012658233</v>
      </c>
      <c r="E49" s="14">
        <f t="shared" si="1"/>
        <v>59.378481012656778</v>
      </c>
      <c r="F49" s="15">
        <f t="shared" si="2"/>
        <v>4202.7186909148149</v>
      </c>
      <c r="G49" s="14">
        <f t="shared" si="3"/>
        <v>5009.5933744592221</v>
      </c>
      <c r="H49" s="162"/>
      <c r="K49" s="4">
        <v>44531</v>
      </c>
      <c r="L49" s="5">
        <v>21494</v>
      </c>
      <c r="M49" s="2">
        <v>199.18000000000029</v>
      </c>
      <c r="N49" s="14">
        <f t="shared" si="4"/>
        <v>163.42569620253192</v>
      </c>
      <c r="O49" s="14">
        <f t="shared" si="5"/>
        <v>-286.38430379746848</v>
      </c>
      <c r="P49" s="15">
        <f t="shared" si="6"/>
        <v>-46802.554229578695</v>
      </c>
      <c r="Q49" s="14">
        <f t="shared" si="7"/>
        <v>26707.958179282257</v>
      </c>
      <c r="R49" s="162"/>
      <c r="T49" s="10"/>
      <c r="U49" s="13"/>
      <c r="V49" s="1"/>
      <c r="Z49" s="1"/>
      <c r="AA49" s="25"/>
    </row>
    <row r="50" spans="1:27" x14ac:dyDescent="0.45">
      <c r="A50" s="4">
        <v>44562</v>
      </c>
      <c r="B50" s="5">
        <v>21614</v>
      </c>
      <c r="C50" s="2">
        <v>151.59999999999854</v>
      </c>
      <c r="D50" s="14">
        <f t="shared" si="0"/>
        <v>59.378481012656778</v>
      </c>
      <c r="E50" s="14">
        <f t="shared" si="1"/>
        <v>-17.121518987339584</v>
      </c>
      <c r="F50" s="15">
        <f t="shared" si="2"/>
        <v>-1016.649790097586</v>
      </c>
      <c r="G50" s="14">
        <f t="shared" si="3"/>
        <v>3525.8040073704415</v>
      </c>
      <c r="H50" s="162"/>
      <c r="K50" s="4">
        <v>44562</v>
      </c>
      <c r="L50" s="5">
        <v>21614</v>
      </c>
      <c r="M50" s="2">
        <v>-250.63000000000011</v>
      </c>
      <c r="N50" s="14">
        <f t="shared" si="4"/>
        <v>-286.38430379746848</v>
      </c>
      <c r="O50" s="14">
        <f t="shared" si="5"/>
        <v>-177.36430379746895</v>
      </c>
      <c r="P50" s="15">
        <f t="shared" si="6"/>
        <v>50794.352661560843</v>
      </c>
      <c r="Q50" s="14">
        <f t="shared" si="7"/>
        <v>82015.969461560715</v>
      </c>
      <c r="R50" s="162"/>
      <c r="T50" s="10"/>
      <c r="U50" s="13"/>
      <c r="V50" s="1"/>
      <c r="Z50" s="1"/>
      <c r="AA50" s="25"/>
    </row>
    <row r="51" spans="1:27" x14ac:dyDescent="0.45">
      <c r="A51" s="4">
        <v>44593</v>
      </c>
      <c r="B51" s="5">
        <v>21712.7</v>
      </c>
      <c r="C51" s="2">
        <v>75.100000000002183</v>
      </c>
      <c r="D51" s="14">
        <f t="shared" si="0"/>
        <v>-17.121518987339584</v>
      </c>
      <c r="E51" s="14">
        <f t="shared" si="1"/>
        <v>-30.221518987341767</v>
      </c>
      <c r="F51" s="15">
        <f t="shared" si="2"/>
        <v>517.43831116801584</v>
      </c>
      <c r="G51" s="14">
        <f t="shared" si="3"/>
        <v>293.14641243382988</v>
      </c>
      <c r="H51" s="162"/>
      <c r="K51" s="4">
        <v>44593</v>
      </c>
      <c r="L51" s="5">
        <v>21712.7</v>
      </c>
      <c r="M51" s="2">
        <v>-141.61000000000058</v>
      </c>
      <c r="N51" s="14">
        <f t="shared" si="4"/>
        <v>-177.36430379746895</v>
      </c>
      <c r="O51" s="14">
        <f t="shared" si="5"/>
        <v>120.7156962025319</v>
      </c>
      <c r="P51" s="15">
        <f t="shared" si="6"/>
        <v>-21410.655414388835</v>
      </c>
      <c r="Q51" s="14">
        <f t="shared" si="7"/>
        <v>31458.096261560859</v>
      </c>
      <c r="R51" s="162"/>
      <c r="T51" s="10"/>
      <c r="U51" s="13"/>
      <c r="V51" s="1"/>
      <c r="Z51" s="1"/>
      <c r="AA51" s="25"/>
    </row>
    <row r="52" spans="1:27" x14ac:dyDescent="0.45">
      <c r="A52" s="4">
        <v>44621</v>
      </c>
      <c r="B52" s="5">
        <v>21749.8</v>
      </c>
      <c r="C52" s="2">
        <v>62</v>
      </c>
      <c r="D52" s="14">
        <f t="shared" si="0"/>
        <v>-30.221518987341767</v>
      </c>
      <c r="E52" s="14">
        <f t="shared" si="1"/>
        <v>-110.02151898734104</v>
      </c>
      <c r="F52" s="15">
        <f t="shared" si="2"/>
        <v>3325.01742509211</v>
      </c>
      <c r="G52" s="14">
        <f t="shared" si="3"/>
        <v>913.34020990225895</v>
      </c>
      <c r="H52" s="162"/>
      <c r="K52" s="4">
        <v>44621</v>
      </c>
      <c r="L52" s="5">
        <v>21749.8</v>
      </c>
      <c r="M52" s="2">
        <v>156.47000000000025</v>
      </c>
      <c r="N52" s="14">
        <f t="shared" si="4"/>
        <v>120.7156962025319</v>
      </c>
      <c r="O52" s="14">
        <f t="shared" si="5"/>
        <v>-434.23430379746793</v>
      </c>
      <c r="P52" s="15">
        <f t="shared" si="6"/>
        <v>-52418.896297933083</v>
      </c>
      <c r="Q52" s="14">
        <f t="shared" si="7"/>
        <v>14572.279309661975</v>
      </c>
      <c r="R52" s="162"/>
      <c r="T52" s="10"/>
      <c r="U52" s="13"/>
      <c r="V52" s="1"/>
      <c r="Z52" s="1"/>
      <c r="AA52" s="25"/>
    </row>
    <row r="53" spans="1:27" x14ac:dyDescent="0.45">
      <c r="A53" s="4">
        <v>44652</v>
      </c>
      <c r="B53" s="5">
        <v>21780.3</v>
      </c>
      <c r="C53" s="2">
        <v>-17.799999999999272</v>
      </c>
      <c r="D53" s="14">
        <f t="shared" si="0"/>
        <v>-110.02151898734104</v>
      </c>
      <c r="E53" s="14">
        <f t="shared" si="1"/>
        <v>-141.72151898734177</v>
      </c>
      <c r="F53" s="15">
        <f t="shared" si="2"/>
        <v>15592.416792180637</v>
      </c>
      <c r="G53" s="14">
        <f t="shared" si="3"/>
        <v>12104.734640281846</v>
      </c>
      <c r="H53" s="162"/>
      <c r="K53" s="4">
        <v>44652</v>
      </c>
      <c r="L53" s="5">
        <v>21780.3</v>
      </c>
      <c r="M53" s="2">
        <v>-398.47999999999956</v>
      </c>
      <c r="N53" s="14">
        <f t="shared" si="4"/>
        <v>-434.23430379746793</v>
      </c>
      <c r="O53" s="14">
        <f t="shared" si="5"/>
        <v>-35.534303797469008</v>
      </c>
      <c r="P53" s="15">
        <f t="shared" si="6"/>
        <v>15430.213670421675</v>
      </c>
      <c r="Q53" s="14">
        <f t="shared" si="7"/>
        <v>188559.43059447166</v>
      </c>
      <c r="R53" s="162"/>
      <c r="T53" s="10"/>
      <c r="U53" s="13"/>
      <c r="V53" s="1"/>
      <c r="Z53" s="1"/>
      <c r="AA53" s="25"/>
    </row>
    <row r="54" spans="1:27" x14ac:dyDescent="0.45">
      <c r="A54" s="4">
        <v>44682</v>
      </c>
      <c r="B54" s="5">
        <v>21723.200000000001</v>
      </c>
      <c r="C54" s="2">
        <v>-49.5</v>
      </c>
      <c r="D54" s="14">
        <f t="shared" si="0"/>
        <v>-141.72151898734177</v>
      </c>
      <c r="E54" s="14">
        <f t="shared" si="1"/>
        <v>-160.62151898734322</v>
      </c>
      <c r="F54" s="15">
        <f t="shared" si="2"/>
        <v>22763.52565294044</v>
      </c>
      <c r="G54" s="14">
        <f t="shared" si="3"/>
        <v>20084.988944079472</v>
      </c>
      <c r="H54" s="162"/>
      <c r="K54" s="4">
        <v>44682</v>
      </c>
      <c r="L54" s="5">
        <v>21723.200000000001</v>
      </c>
      <c r="M54" s="2">
        <v>0.21999999999934516</v>
      </c>
      <c r="N54" s="14">
        <f t="shared" si="4"/>
        <v>-35.534303797469008</v>
      </c>
      <c r="O54" s="14">
        <f t="shared" si="5"/>
        <v>-382.52430379746789</v>
      </c>
      <c r="P54" s="15">
        <f t="shared" si="6"/>
        <v>13592.734821054552</v>
      </c>
      <c r="Q54" s="14">
        <f t="shared" si="7"/>
        <v>1262.6867463708204</v>
      </c>
      <c r="R54" s="162"/>
      <c r="T54" s="10"/>
      <c r="U54" s="13"/>
      <c r="V54" s="1"/>
      <c r="Z54" s="1"/>
      <c r="AA54" s="25"/>
    </row>
    <row r="55" spans="1:27" x14ac:dyDescent="0.45">
      <c r="A55" s="4">
        <v>44713</v>
      </c>
      <c r="B55" s="5">
        <v>21676.799999999999</v>
      </c>
      <c r="C55" s="2">
        <v>-68.400000000001455</v>
      </c>
      <c r="D55" s="14">
        <f t="shared" si="0"/>
        <v>-160.62151898734322</v>
      </c>
      <c r="E55" s="14">
        <f t="shared" si="1"/>
        <v>-90.821518987340312</v>
      </c>
      <c r="F55" s="15">
        <f t="shared" si="2"/>
        <v>14587.890336484435</v>
      </c>
      <c r="G55" s="14">
        <f t="shared" si="3"/>
        <v>25799.272361801461</v>
      </c>
      <c r="H55" s="162"/>
      <c r="K55" s="4">
        <v>44713</v>
      </c>
      <c r="L55" s="5">
        <v>21676.799999999999</v>
      </c>
      <c r="M55" s="2">
        <v>-346.76999999999953</v>
      </c>
      <c r="N55" s="14">
        <f t="shared" si="4"/>
        <v>-382.52430379746789</v>
      </c>
      <c r="O55" s="14">
        <f t="shared" si="5"/>
        <v>309.15569620253149</v>
      </c>
      <c r="P55" s="15">
        <f t="shared" si="6"/>
        <v>-118259.56745489484</v>
      </c>
      <c r="Q55" s="14">
        <f t="shared" si="7"/>
        <v>146324.8429957375</v>
      </c>
      <c r="R55" s="162"/>
      <c r="T55" s="10"/>
      <c r="U55" s="13"/>
      <c r="V55" s="1"/>
      <c r="Z55" s="1"/>
      <c r="AA55" s="25"/>
    </row>
    <row r="56" spans="1:27" x14ac:dyDescent="0.45">
      <c r="A56" s="4">
        <v>44743</v>
      </c>
      <c r="B56" s="5">
        <v>21676.5</v>
      </c>
      <c r="C56" s="2">
        <v>1.4000000000014552</v>
      </c>
      <c r="D56" s="14">
        <f t="shared" si="0"/>
        <v>-90.821518987340312</v>
      </c>
      <c r="E56" s="14">
        <f t="shared" si="1"/>
        <v>-106.72151898734177</v>
      </c>
      <c r="F56" s="15">
        <f t="shared" si="2"/>
        <v>9692.6104630666596</v>
      </c>
      <c r="G56" s="14">
        <f t="shared" si="3"/>
        <v>8248.5483111678168</v>
      </c>
      <c r="H56" s="162"/>
      <c r="K56" s="4">
        <v>44743</v>
      </c>
      <c r="L56" s="5">
        <v>21676.5</v>
      </c>
      <c r="M56" s="2">
        <v>344.90999999999985</v>
      </c>
      <c r="N56" s="14">
        <f t="shared" si="4"/>
        <v>309.15569620253149</v>
      </c>
      <c r="O56" s="14">
        <f t="shared" si="5"/>
        <v>-211.04430379746833</v>
      </c>
      <c r="P56" s="15">
        <f t="shared" si="6"/>
        <v>-65245.548670084885</v>
      </c>
      <c r="Q56" s="14">
        <f t="shared" si="7"/>
        <v>95577.244494471946</v>
      </c>
      <c r="R56" s="162"/>
      <c r="T56" s="10"/>
      <c r="U56" s="13"/>
      <c r="V56" s="1"/>
      <c r="Z56" s="1"/>
      <c r="AA56" s="25"/>
    </row>
    <row r="57" spans="1:27" x14ac:dyDescent="0.45">
      <c r="A57" s="4">
        <v>44774</v>
      </c>
      <c r="B57" s="5">
        <v>21644</v>
      </c>
      <c r="C57" s="2">
        <v>-14.5</v>
      </c>
      <c r="D57" s="14">
        <f t="shared" si="0"/>
        <v>-106.72151898734177</v>
      </c>
      <c r="E57" s="14">
        <f t="shared" si="1"/>
        <v>-193.92151898734249</v>
      </c>
      <c r="F57" s="15">
        <f t="shared" si="2"/>
        <v>20695.599070661829</v>
      </c>
      <c r="G57" s="14">
        <f t="shared" si="3"/>
        <v>11389.482614965549</v>
      </c>
      <c r="H57" s="162"/>
      <c r="K57" s="4">
        <v>44774</v>
      </c>
      <c r="L57" s="5">
        <v>21644</v>
      </c>
      <c r="M57" s="2">
        <v>-175.28999999999996</v>
      </c>
      <c r="N57" s="14">
        <f t="shared" si="4"/>
        <v>-211.04430379746833</v>
      </c>
      <c r="O57" s="14">
        <f t="shared" si="5"/>
        <v>-405.13430379746848</v>
      </c>
      <c r="P57" s="15">
        <f t="shared" si="6"/>
        <v>85501.287089408768</v>
      </c>
      <c r="Q57" s="14">
        <f t="shared" si="7"/>
        <v>44539.698165358102</v>
      </c>
      <c r="R57" s="162"/>
      <c r="T57" s="10"/>
      <c r="U57" s="13"/>
      <c r="V57" s="1"/>
      <c r="Z57" s="1"/>
      <c r="AA57" s="25"/>
    </row>
    <row r="58" spans="1:27" x14ac:dyDescent="0.45">
      <c r="A58" s="4">
        <v>44805</v>
      </c>
      <c r="B58" s="5">
        <v>21560.6</v>
      </c>
      <c r="C58" s="2">
        <v>-101.70000000000073</v>
      </c>
      <c r="D58" s="14">
        <f t="shared" si="0"/>
        <v>-193.92151898734249</v>
      </c>
      <c r="E58" s="14">
        <f t="shared" si="1"/>
        <v>-167.22151898734177</v>
      </c>
      <c r="F58" s="15">
        <f t="shared" si="2"/>
        <v>32427.850969396051</v>
      </c>
      <c r="G58" s="14">
        <f t="shared" si="3"/>
        <v>37605.555526358236</v>
      </c>
      <c r="H58" s="162"/>
      <c r="K58" s="4">
        <v>44805</v>
      </c>
      <c r="L58" s="5">
        <v>21560.6</v>
      </c>
      <c r="M58" s="2">
        <v>-369.38000000000011</v>
      </c>
      <c r="N58" s="14">
        <f t="shared" si="4"/>
        <v>-405.13430379746848</v>
      </c>
      <c r="O58" s="14">
        <f t="shared" si="5"/>
        <v>250.60569620253176</v>
      </c>
      <c r="P58" s="15">
        <f t="shared" si="6"/>
        <v>-101528.96425869259</v>
      </c>
      <c r="Q58" s="14">
        <f t="shared" si="7"/>
        <v>164133.80411345948</v>
      </c>
      <c r="R58" s="162"/>
      <c r="T58" s="10"/>
      <c r="U58" s="13"/>
      <c r="V58" s="1"/>
      <c r="Z58" s="1"/>
      <c r="AA58" s="25"/>
    </row>
    <row r="59" spans="1:27" x14ac:dyDescent="0.45">
      <c r="A59" s="4">
        <v>44835</v>
      </c>
      <c r="B59" s="5">
        <v>21465.8</v>
      </c>
      <c r="C59" s="2">
        <v>-75</v>
      </c>
      <c r="D59" s="14">
        <f t="shared" si="0"/>
        <v>-167.22151898734177</v>
      </c>
      <c r="E59" s="14">
        <f t="shared" si="1"/>
        <v>-147.22151898734177</v>
      </c>
      <c r="F59" s="15">
        <f t="shared" si="2"/>
        <v>24618.606032687068</v>
      </c>
      <c r="G59" s="14">
        <f t="shared" si="3"/>
        <v>27963.036412433903</v>
      </c>
      <c r="H59" s="162"/>
      <c r="K59" s="4">
        <v>44835</v>
      </c>
      <c r="L59" s="5">
        <v>21465.8</v>
      </c>
      <c r="M59" s="2">
        <v>286.36000000000013</v>
      </c>
      <c r="N59" s="14">
        <f t="shared" si="4"/>
        <v>250.60569620253176</v>
      </c>
      <c r="O59" s="14">
        <f t="shared" si="5"/>
        <v>172.37569620253174</v>
      </c>
      <c r="P59" s="15">
        <f t="shared" si="6"/>
        <v>43198.331355231574</v>
      </c>
      <c r="Q59" s="14">
        <f t="shared" si="7"/>
        <v>62803.214969155641</v>
      </c>
      <c r="R59" s="162"/>
      <c r="T59" s="10"/>
      <c r="U59" s="13"/>
      <c r="V59" s="1"/>
      <c r="Z59" s="1"/>
      <c r="AA59" s="25"/>
    </row>
    <row r="60" spans="1:27" x14ac:dyDescent="0.45">
      <c r="A60" s="4">
        <v>44866</v>
      </c>
      <c r="B60" s="5">
        <v>21408.6</v>
      </c>
      <c r="C60" s="2">
        <v>-55</v>
      </c>
      <c r="D60" s="14">
        <f t="shared" si="0"/>
        <v>-147.22151898734177</v>
      </c>
      <c r="E60" s="14">
        <f t="shared" si="1"/>
        <v>-208.02151898734104</v>
      </c>
      <c r="F60" s="15">
        <f t="shared" si="2"/>
        <v>30625.244007370504</v>
      </c>
      <c r="G60" s="14">
        <f t="shared" si="3"/>
        <v>21674.175652940234</v>
      </c>
      <c r="H60" s="162"/>
      <c r="K60" s="4">
        <v>44866</v>
      </c>
      <c r="L60" s="5">
        <v>21408.6</v>
      </c>
      <c r="M60" s="2">
        <v>208.13000000000011</v>
      </c>
      <c r="N60" s="14">
        <f t="shared" si="4"/>
        <v>172.37569620253174</v>
      </c>
      <c r="O60" s="14">
        <f t="shared" si="5"/>
        <v>-276.36430379746849</v>
      </c>
      <c r="P60" s="15">
        <f t="shared" si="6"/>
        <v>-47638.489272616622</v>
      </c>
      <c r="Q60" s="14">
        <f t="shared" si="7"/>
        <v>29713.380641307514</v>
      </c>
      <c r="R60" s="162"/>
      <c r="T60" s="10"/>
      <c r="U60" s="13"/>
      <c r="V60" s="1"/>
      <c r="Z60" s="1"/>
      <c r="AA60" s="25"/>
    </row>
    <row r="61" spans="1:27" x14ac:dyDescent="0.45">
      <c r="A61" s="4">
        <v>44896</v>
      </c>
      <c r="B61" s="5">
        <v>21266.400000000001</v>
      </c>
      <c r="C61" s="2">
        <v>-115.79999999999927</v>
      </c>
      <c r="D61" s="14">
        <f t="shared" si="0"/>
        <v>-208.02151898734104</v>
      </c>
      <c r="E61" s="14">
        <f t="shared" si="1"/>
        <v>-103.22151898734177</v>
      </c>
      <c r="F61" s="15">
        <f t="shared" si="2"/>
        <v>21472.297171927497</v>
      </c>
      <c r="G61" s="14">
        <f t="shared" si="3"/>
        <v>43272.952361800686</v>
      </c>
      <c r="H61" s="162"/>
      <c r="K61" s="4">
        <v>44896</v>
      </c>
      <c r="L61" s="5">
        <v>21266.400000000001</v>
      </c>
      <c r="M61" s="2">
        <v>-240.61000000000013</v>
      </c>
      <c r="N61" s="14">
        <f t="shared" si="4"/>
        <v>-276.36430379746849</v>
      </c>
      <c r="O61" s="14">
        <f t="shared" si="5"/>
        <v>201.34569620253154</v>
      </c>
      <c r="P61" s="15">
        <f t="shared" si="6"/>
        <v>-55644.763153629225</v>
      </c>
      <c r="Q61" s="14">
        <f t="shared" si="7"/>
        <v>76377.228413459452</v>
      </c>
      <c r="R61" s="162"/>
      <c r="T61" s="10"/>
      <c r="U61" s="13"/>
      <c r="V61" s="1"/>
      <c r="Z61" s="1"/>
      <c r="AA61" s="25"/>
    </row>
    <row r="62" spans="1:27" x14ac:dyDescent="0.45">
      <c r="A62" s="4">
        <v>44927</v>
      </c>
      <c r="B62" s="5">
        <v>21249.4</v>
      </c>
      <c r="C62" s="2">
        <v>-11</v>
      </c>
      <c r="D62" s="14">
        <f t="shared" si="0"/>
        <v>-103.22151898734177</v>
      </c>
      <c r="E62" s="14">
        <f t="shared" si="1"/>
        <v>-128.42151898734249</v>
      </c>
      <c r="F62" s="15">
        <f t="shared" si="2"/>
        <v>13255.864260535245</v>
      </c>
      <c r="G62" s="14">
        <f t="shared" si="3"/>
        <v>10654.681982054157</v>
      </c>
      <c r="H62" s="162"/>
      <c r="K62" s="4">
        <v>44927</v>
      </c>
      <c r="L62" s="5">
        <v>21249.4</v>
      </c>
      <c r="M62" s="2">
        <v>237.09999999999991</v>
      </c>
      <c r="N62" s="14">
        <f t="shared" si="4"/>
        <v>201.34569620253154</v>
      </c>
      <c r="O62" s="14">
        <f t="shared" si="5"/>
        <v>-142.20430379746819</v>
      </c>
      <c r="P62" s="15">
        <f t="shared" si="6"/>
        <v>-28632.22455109753</v>
      </c>
      <c r="Q62" s="14">
        <f t="shared" si="7"/>
        <v>40540.089379282123</v>
      </c>
      <c r="R62" s="162"/>
      <c r="T62" s="10"/>
      <c r="U62" s="13"/>
      <c r="V62" s="1"/>
      <c r="Z62" s="1"/>
      <c r="AA62" s="25"/>
    </row>
    <row r="63" spans="1:27" x14ac:dyDescent="0.45">
      <c r="A63" s="4">
        <v>44958</v>
      </c>
      <c r="B63" s="5">
        <v>21226.9</v>
      </c>
      <c r="C63" s="2">
        <v>-36.200000000000728</v>
      </c>
      <c r="D63" s="14">
        <f t="shared" si="0"/>
        <v>-128.42151898734249</v>
      </c>
      <c r="E63" s="14">
        <f t="shared" si="1"/>
        <v>-388.52151898734104</v>
      </c>
      <c r="F63" s="15">
        <f t="shared" si="2"/>
        <v>49894.523627623967</v>
      </c>
      <c r="G63" s="14">
        <f t="shared" si="3"/>
        <v>16492.086539016367</v>
      </c>
      <c r="H63" s="162"/>
      <c r="K63" s="4">
        <v>44958</v>
      </c>
      <c r="L63" s="5">
        <v>21226.9</v>
      </c>
      <c r="M63" s="2">
        <v>-106.44999999999982</v>
      </c>
      <c r="N63" s="14">
        <f t="shared" si="4"/>
        <v>-142.20430379746819</v>
      </c>
      <c r="O63" s="14">
        <f t="shared" si="5"/>
        <v>103.40569620253196</v>
      </c>
      <c r="P63" s="15">
        <f t="shared" si="6"/>
        <v>-14704.735037173557</v>
      </c>
      <c r="Q63" s="14">
        <f t="shared" si="7"/>
        <v>20222.064018522626</v>
      </c>
      <c r="R63" s="162"/>
      <c r="T63" s="10"/>
      <c r="U63" s="13"/>
      <c r="V63" s="1"/>
      <c r="Z63" s="1"/>
      <c r="AA63" s="25"/>
    </row>
    <row r="64" spans="1:27" x14ac:dyDescent="0.45">
      <c r="A64" s="4">
        <v>44986</v>
      </c>
      <c r="B64" s="5">
        <v>20917.400000000001</v>
      </c>
      <c r="C64" s="2">
        <v>-296.29999999999927</v>
      </c>
      <c r="D64" s="14">
        <f t="shared" si="0"/>
        <v>-388.52151898734104</v>
      </c>
      <c r="E64" s="14">
        <f t="shared" si="1"/>
        <v>-278.22151898734177</v>
      </c>
      <c r="F64" s="15">
        <f t="shared" si="2"/>
        <v>108095.04717192736</v>
      </c>
      <c r="G64" s="14">
        <f t="shared" si="3"/>
        <v>150948.9707162308</v>
      </c>
      <c r="H64" s="162"/>
      <c r="K64" s="4">
        <v>44986</v>
      </c>
      <c r="L64" s="5">
        <v>20917.400000000001</v>
      </c>
      <c r="M64" s="2">
        <v>139.16000000000031</v>
      </c>
      <c r="N64" s="14">
        <f t="shared" si="4"/>
        <v>103.40569620253196</v>
      </c>
      <c r="O64" s="14">
        <f t="shared" si="5"/>
        <v>24.41569620253081</v>
      </c>
      <c r="P64" s="15">
        <f t="shared" si="6"/>
        <v>2524.7220640922142</v>
      </c>
      <c r="Q64" s="14">
        <f t="shared" si="7"/>
        <v>10692.738007130332</v>
      </c>
      <c r="R64" s="162"/>
      <c r="T64" s="10"/>
      <c r="U64" s="13"/>
      <c r="V64" s="1"/>
      <c r="Z64" s="1"/>
      <c r="AA64" s="25"/>
    </row>
    <row r="65" spans="1:27" x14ac:dyDescent="0.45">
      <c r="A65" s="4">
        <v>45017</v>
      </c>
      <c r="B65" s="5">
        <v>20770.400000000001</v>
      </c>
      <c r="C65" s="2">
        <v>-186</v>
      </c>
      <c r="D65" s="14">
        <f t="shared" si="0"/>
        <v>-278.22151898734177</v>
      </c>
      <c r="E65" s="14">
        <f t="shared" si="1"/>
        <v>-24.021518987344677</v>
      </c>
      <c r="F65" s="15">
        <f t="shared" si="2"/>
        <v>6683.3035010423082</v>
      </c>
      <c r="G65" s="14">
        <f t="shared" si="3"/>
        <v>77407.213627623772</v>
      </c>
      <c r="H65" s="162"/>
      <c r="K65" s="4">
        <v>45017</v>
      </c>
      <c r="L65" s="5">
        <v>20770.400000000001</v>
      </c>
      <c r="M65" s="2">
        <v>60.169999999999163</v>
      </c>
      <c r="N65" s="14">
        <f t="shared" si="4"/>
        <v>24.41569620253081</v>
      </c>
      <c r="O65" s="14">
        <f t="shared" si="5"/>
        <v>-25.404303797467989</v>
      </c>
      <c r="P65" s="15">
        <f t="shared" si="6"/>
        <v>-620.2637637557782</v>
      </c>
      <c r="Q65" s="14">
        <f t="shared" si="7"/>
        <v>596.12622105427738</v>
      </c>
      <c r="R65" s="162"/>
      <c r="T65" s="10"/>
      <c r="U65" s="13"/>
      <c r="V65" s="1"/>
      <c r="Z65" s="1"/>
      <c r="AA65" s="25"/>
    </row>
    <row r="66" spans="1:27" x14ac:dyDescent="0.45">
      <c r="A66" s="4">
        <v>45047</v>
      </c>
      <c r="B66" s="5">
        <v>20840.8</v>
      </c>
      <c r="C66" s="2">
        <v>68.19999999999709</v>
      </c>
      <c r="D66" s="14">
        <f t="shared" si="0"/>
        <v>-24.021518987344677</v>
      </c>
      <c r="E66" s="14">
        <f t="shared" si="1"/>
        <v>-122.42151898733886</v>
      </c>
      <c r="F66" s="15">
        <f t="shared" si="2"/>
        <v>2940.7508428139372</v>
      </c>
      <c r="G66" s="14">
        <f t="shared" si="3"/>
        <v>577.03337445936086</v>
      </c>
      <c r="H66" s="162"/>
      <c r="K66" s="4">
        <v>45047</v>
      </c>
      <c r="L66" s="5">
        <v>20840.8</v>
      </c>
      <c r="M66" s="2">
        <v>10.350000000000364</v>
      </c>
      <c r="N66" s="14">
        <f t="shared" si="4"/>
        <v>-25.404303797467989</v>
      </c>
      <c r="O66" s="14">
        <f t="shared" si="5"/>
        <v>234.79569620253181</v>
      </c>
      <c r="P66" s="15">
        <f t="shared" si="6"/>
        <v>-5964.8211966671197</v>
      </c>
      <c r="Q66" s="14">
        <f t="shared" si="7"/>
        <v>645.37865143404645</v>
      </c>
      <c r="R66" s="162"/>
      <c r="T66" s="10"/>
      <c r="U66" s="13"/>
      <c r="V66" s="1"/>
      <c r="Z66" s="1"/>
      <c r="AA66" s="25"/>
    </row>
    <row r="67" spans="1:27" x14ac:dyDescent="0.45">
      <c r="A67" s="4">
        <v>45078</v>
      </c>
      <c r="B67" s="5">
        <v>20823.8</v>
      </c>
      <c r="C67" s="2">
        <v>-30.19999999999709</v>
      </c>
      <c r="D67" s="14">
        <f t="shared" si="0"/>
        <v>-122.42151898733886</v>
      </c>
      <c r="E67" s="14">
        <f t="shared" si="1"/>
        <v>-100.22151898734177</v>
      </c>
      <c r="F67" s="15">
        <f t="shared" si="2"/>
        <v>12269.270589648802</v>
      </c>
      <c r="G67" s="14">
        <f t="shared" si="3"/>
        <v>14987.028311167369</v>
      </c>
      <c r="H67" s="162"/>
      <c r="K67" s="4">
        <v>45078</v>
      </c>
      <c r="L67" s="5">
        <v>20823.8</v>
      </c>
      <c r="M67" s="2">
        <v>270.55000000000018</v>
      </c>
      <c r="N67" s="14">
        <f t="shared" si="4"/>
        <v>234.79569620253181</v>
      </c>
      <c r="O67" s="14">
        <f t="shared" si="5"/>
        <v>102.82569620253157</v>
      </c>
      <c r="P67" s="15">
        <f t="shared" si="6"/>
        <v>24143.030927383432</v>
      </c>
      <c r="Q67" s="14">
        <f t="shared" si="7"/>
        <v>55129.018955231615</v>
      </c>
      <c r="R67" s="162"/>
      <c r="T67" s="10"/>
      <c r="U67" s="13"/>
      <c r="V67" s="1"/>
      <c r="Z67" s="1"/>
      <c r="AA67" s="25"/>
    </row>
    <row r="68" spans="1:27" x14ac:dyDescent="0.45">
      <c r="A68" s="4">
        <v>45108</v>
      </c>
      <c r="B68" s="5">
        <v>20815.5</v>
      </c>
      <c r="C68" s="2">
        <v>-8</v>
      </c>
      <c r="D68" s="14">
        <f t="shared" ref="D68:D80" si="8">C68-$C$82</f>
        <v>-100.22151898734177</v>
      </c>
      <c r="E68" s="14">
        <f t="shared" ref="E68:E81" si="9">C69-$C$82</f>
        <v>-106.12151898734322</v>
      </c>
      <c r="F68" s="15">
        <f t="shared" ref="F68:F81" si="10">D68*E68</f>
        <v>10635.659830155568</v>
      </c>
      <c r="G68" s="14">
        <f t="shared" ref="G68:G81" si="11">(C68-$C$82)^2</f>
        <v>10044.352868130107</v>
      </c>
      <c r="H68" s="162"/>
      <c r="K68" s="4">
        <v>45108</v>
      </c>
      <c r="L68" s="5">
        <v>20815.5</v>
      </c>
      <c r="M68" s="2">
        <v>138.57999999999993</v>
      </c>
      <c r="N68" s="14">
        <f t="shared" ref="N68:N81" si="12">M68-$M$82</f>
        <v>102.82569620253157</v>
      </c>
      <c r="O68" s="14">
        <f t="shared" ref="O68:O81" si="13">M69-$M$82</f>
        <v>-117.05430379746853</v>
      </c>
      <c r="P68" s="15">
        <f t="shared" ref="P68:P81" si="14">N68*O68</f>
        <v>-12036.190281477338</v>
      </c>
      <c r="Q68" s="14">
        <f t="shared" ref="Q68:Q81" si="15">(M68-$M$82)^2</f>
        <v>10573.123799535317</v>
      </c>
      <c r="R68" s="162"/>
      <c r="T68" s="10"/>
      <c r="U68" s="13"/>
      <c r="V68" s="1"/>
      <c r="Z68" s="1"/>
      <c r="AA68" s="25"/>
    </row>
    <row r="69" spans="1:27" x14ac:dyDescent="0.45">
      <c r="A69" s="4">
        <v>45139</v>
      </c>
      <c r="B69" s="5">
        <v>20792.5</v>
      </c>
      <c r="C69" s="2">
        <v>-13.900000000001455</v>
      </c>
      <c r="D69" s="14">
        <f t="shared" si="8"/>
        <v>-106.12151898734322</v>
      </c>
      <c r="E69" s="14">
        <f t="shared" si="9"/>
        <v>-121.92151898734249</v>
      </c>
      <c r="F69" s="15">
        <f t="shared" si="10"/>
        <v>12938.496792180993</v>
      </c>
      <c r="G69" s="14">
        <f t="shared" si="11"/>
        <v>11261.776792181048</v>
      </c>
      <c r="H69" s="162"/>
      <c r="K69" s="4">
        <v>45139</v>
      </c>
      <c r="L69" s="5">
        <v>20792.5</v>
      </c>
      <c r="M69" s="2">
        <v>-81.300000000000182</v>
      </c>
      <c r="N69" s="14">
        <f t="shared" si="12"/>
        <v>-117.05430379746853</v>
      </c>
      <c r="O69" s="14">
        <f t="shared" si="13"/>
        <v>-255.36430379746804</v>
      </c>
      <c r="P69" s="15">
        <f t="shared" si="14"/>
        <v>29891.490795737871</v>
      </c>
      <c r="Q69" s="14">
        <f t="shared" si="15"/>
        <v>13701.710037510056</v>
      </c>
      <c r="R69" s="162"/>
      <c r="T69" s="10"/>
      <c r="U69" s="13"/>
      <c r="V69" s="1"/>
      <c r="Z69" s="1"/>
      <c r="AA69" s="25"/>
    </row>
    <row r="70" spans="1:27" x14ac:dyDescent="0.45">
      <c r="A70" s="4">
        <v>45170</v>
      </c>
      <c r="B70" s="5">
        <v>20771.8</v>
      </c>
      <c r="C70" s="2">
        <v>-29.700000000000728</v>
      </c>
      <c r="D70" s="14">
        <f t="shared" si="8"/>
        <v>-121.92151898734249</v>
      </c>
      <c r="E70" s="14">
        <f t="shared" si="9"/>
        <v>-107.12151898733958</v>
      </c>
      <c r="F70" s="15">
        <f t="shared" si="10"/>
        <v>13060.418311167892</v>
      </c>
      <c r="G70" s="14">
        <f t="shared" si="11"/>
        <v>14864.856792180917</v>
      </c>
      <c r="H70" s="162"/>
      <c r="K70" s="4">
        <v>45170</v>
      </c>
      <c r="L70" s="5">
        <v>20771.8</v>
      </c>
      <c r="M70" s="2">
        <v>-219.60999999999967</v>
      </c>
      <c r="N70" s="14">
        <f t="shared" si="12"/>
        <v>-255.36430379746804</v>
      </c>
      <c r="O70" s="14">
        <f t="shared" si="13"/>
        <v>-130.00430379746837</v>
      </c>
      <c r="P70" s="15">
        <f t="shared" si="14"/>
        <v>33198.458529915042</v>
      </c>
      <c r="Q70" s="14">
        <f t="shared" si="15"/>
        <v>65210.927653965548</v>
      </c>
      <c r="R70" s="162"/>
      <c r="T70" s="10"/>
      <c r="U70" s="13"/>
      <c r="V70" s="1"/>
      <c r="Z70" s="1"/>
      <c r="AA70" s="25"/>
    </row>
    <row r="71" spans="1:27" x14ac:dyDescent="0.45">
      <c r="A71" s="4">
        <v>45200</v>
      </c>
      <c r="B71" s="5">
        <v>20737.099999999999</v>
      </c>
      <c r="C71" s="2">
        <v>-14.899999999997817</v>
      </c>
      <c r="D71" s="14">
        <f t="shared" si="8"/>
        <v>-107.12151898733958</v>
      </c>
      <c r="E71" s="14">
        <f t="shared" si="9"/>
        <v>-78.721518987341767</v>
      </c>
      <c r="F71" s="15">
        <f t="shared" si="10"/>
        <v>8432.7686909147451</v>
      </c>
      <c r="G71" s="14">
        <f t="shared" si="11"/>
        <v>11475.019830154955</v>
      </c>
      <c r="H71" s="162"/>
      <c r="K71" s="4">
        <v>45200</v>
      </c>
      <c r="L71" s="5">
        <v>20737.099999999999</v>
      </c>
      <c r="M71" s="2">
        <v>-94.25</v>
      </c>
      <c r="N71" s="14">
        <f t="shared" si="12"/>
        <v>-130.00430379746837</v>
      </c>
      <c r="O71" s="14">
        <f t="shared" si="13"/>
        <v>338.24569620253163</v>
      </c>
      <c r="P71" s="15">
        <f t="shared" si="14"/>
        <v>-43973.396247300116</v>
      </c>
      <c r="Q71" s="14">
        <f t="shared" si="15"/>
        <v>16901.11900586445</v>
      </c>
      <c r="R71" s="162"/>
      <c r="T71" s="10"/>
      <c r="U71" s="13"/>
      <c r="V71" s="1"/>
      <c r="Z71" s="1"/>
      <c r="AA71" s="25"/>
    </row>
    <row r="72" spans="1:27" x14ac:dyDescent="0.45">
      <c r="A72" s="4">
        <v>45231</v>
      </c>
      <c r="B72" s="5">
        <v>20743.400000000001</v>
      </c>
      <c r="C72" s="2">
        <v>13.5</v>
      </c>
      <c r="D72" s="14">
        <f t="shared" si="8"/>
        <v>-78.721518987341767</v>
      </c>
      <c r="E72" s="14">
        <f t="shared" si="9"/>
        <v>-60.82151898734395</v>
      </c>
      <c r="F72" s="15">
        <f t="shared" si="10"/>
        <v>4787.9623618011647</v>
      </c>
      <c r="G72" s="14">
        <f t="shared" si="11"/>
        <v>6197.0775516744106</v>
      </c>
      <c r="H72" s="162"/>
      <c r="K72" s="4">
        <v>45231</v>
      </c>
      <c r="L72" s="5">
        <v>20743.400000000001</v>
      </c>
      <c r="M72" s="2">
        <v>374</v>
      </c>
      <c r="N72" s="14">
        <f t="shared" si="12"/>
        <v>338.24569620253163</v>
      </c>
      <c r="O72" s="14">
        <f t="shared" si="13"/>
        <v>166.27569620253138</v>
      </c>
      <c r="P72" s="15">
        <f t="shared" si="14"/>
        <v>56242.038623585868</v>
      </c>
      <c r="Q72" s="14">
        <f t="shared" si="15"/>
        <v>114410.15099953533</v>
      </c>
      <c r="R72" s="162"/>
      <c r="T72" s="10"/>
      <c r="U72" s="13"/>
      <c r="V72" s="1"/>
      <c r="Z72" s="1"/>
      <c r="AA72" s="25"/>
    </row>
    <row r="73" spans="1:27" x14ac:dyDescent="0.45">
      <c r="A73" s="4">
        <v>45261</v>
      </c>
      <c r="B73" s="5">
        <v>20745.099999999999</v>
      </c>
      <c r="C73" s="2">
        <v>31.399999999997817</v>
      </c>
      <c r="D73" s="14">
        <f t="shared" si="8"/>
        <v>-60.82151898734395</v>
      </c>
      <c r="E73" s="14">
        <f t="shared" si="9"/>
        <v>-26.321518987340312</v>
      </c>
      <c r="F73" s="15">
        <f t="shared" si="10"/>
        <v>1600.9147668642531</v>
      </c>
      <c r="G73" s="14">
        <f t="shared" si="11"/>
        <v>3699.2571719278408</v>
      </c>
      <c r="H73" s="162"/>
      <c r="K73" s="4">
        <v>45261</v>
      </c>
      <c r="L73" s="5">
        <v>20745.099999999999</v>
      </c>
      <c r="M73" s="2">
        <v>202.02999999999975</v>
      </c>
      <c r="N73" s="14">
        <f t="shared" si="12"/>
        <v>166.27569620253138</v>
      </c>
      <c r="O73" s="14">
        <f t="shared" si="13"/>
        <v>40.065696202531356</v>
      </c>
      <c r="P73" s="15">
        <f t="shared" si="14"/>
        <v>6661.9515299150189</v>
      </c>
      <c r="Q73" s="14">
        <f t="shared" si="15"/>
        <v>27647.607147636507</v>
      </c>
      <c r="R73" s="162"/>
      <c r="T73" s="10"/>
      <c r="U73" s="13"/>
      <c r="V73" s="1"/>
      <c r="Z73" s="1"/>
      <c r="AA73" s="25"/>
    </row>
    <row r="74" spans="1:27" x14ac:dyDescent="0.45">
      <c r="A74" s="4">
        <v>45292</v>
      </c>
      <c r="B74" s="5">
        <v>20815.3</v>
      </c>
      <c r="C74" s="2">
        <v>65.900000000001455</v>
      </c>
      <c r="D74" s="14">
        <f t="shared" si="8"/>
        <v>-26.321518987340312</v>
      </c>
      <c r="E74" s="14">
        <f t="shared" si="9"/>
        <v>-9.0215189873410395</v>
      </c>
      <c r="F74" s="15">
        <f t="shared" si="10"/>
        <v>237.46008331994832</v>
      </c>
      <c r="G74" s="14">
        <f t="shared" si="11"/>
        <v>692.82236180091661</v>
      </c>
      <c r="H74" s="162"/>
      <c r="K74" s="4">
        <v>45292</v>
      </c>
      <c r="L74" s="5">
        <v>20815.3</v>
      </c>
      <c r="M74" s="2">
        <v>75.819999999999709</v>
      </c>
      <c r="N74" s="14">
        <f t="shared" si="12"/>
        <v>40.065696202531356</v>
      </c>
      <c r="O74" s="14">
        <f t="shared" si="13"/>
        <v>214.86569620253243</v>
      </c>
      <c r="P74" s="15">
        <f t="shared" si="14"/>
        <v>8608.7437083960594</v>
      </c>
      <c r="Q74" s="14">
        <f t="shared" si="15"/>
        <v>1605.2600121935354</v>
      </c>
      <c r="R74" s="162"/>
      <c r="T74" s="10"/>
      <c r="U74" s="13"/>
      <c r="V74" s="1"/>
      <c r="Z74" s="1"/>
      <c r="AA74" s="25"/>
    </row>
    <row r="75" spans="1:27" x14ac:dyDescent="0.45">
      <c r="A75" s="4">
        <v>45323</v>
      </c>
      <c r="B75" s="5">
        <v>20903</v>
      </c>
      <c r="C75" s="2">
        <v>83.200000000000728</v>
      </c>
      <c r="D75" s="14">
        <f t="shared" si="8"/>
        <v>-9.0215189873410395</v>
      </c>
      <c r="E75" s="14">
        <f t="shared" si="9"/>
        <v>-45.921518987342495</v>
      </c>
      <c r="F75" s="15">
        <f t="shared" si="10"/>
        <v>414.2818554718524</v>
      </c>
      <c r="G75" s="14">
        <f t="shared" si="11"/>
        <v>81.387804838954892</v>
      </c>
      <c r="H75" s="162"/>
      <c r="K75" s="4">
        <v>45323</v>
      </c>
      <c r="L75" s="5">
        <v>20903</v>
      </c>
      <c r="M75" s="2">
        <v>250.6200000000008</v>
      </c>
      <c r="N75" s="14">
        <f t="shared" si="12"/>
        <v>214.86569620253243</v>
      </c>
      <c r="O75" s="14">
        <f t="shared" si="13"/>
        <v>122.32569620253157</v>
      </c>
      <c r="P75" s="15">
        <f t="shared" si="14"/>
        <v>26283.595878016426</v>
      </c>
      <c r="Q75" s="14">
        <f t="shared" si="15"/>
        <v>46167.267404598962</v>
      </c>
      <c r="R75" s="162"/>
      <c r="T75" s="10"/>
      <c r="U75" s="13"/>
      <c r="V75" s="1"/>
      <c r="Z75" s="1"/>
      <c r="AA75" s="25"/>
    </row>
    <row r="76" spans="1:27" x14ac:dyDescent="0.45">
      <c r="A76" s="4">
        <v>45352</v>
      </c>
      <c r="B76" s="5">
        <v>20943.8</v>
      </c>
      <c r="C76" s="2">
        <v>46.299999999999272</v>
      </c>
      <c r="D76" s="14">
        <f t="shared" si="8"/>
        <v>-45.921518987342495</v>
      </c>
      <c r="E76" s="14">
        <f t="shared" si="9"/>
        <v>-106.62151898734322</v>
      </c>
      <c r="F76" s="15">
        <f t="shared" si="10"/>
        <v>4896.2221086365798</v>
      </c>
      <c r="G76" s="14">
        <f t="shared" si="11"/>
        <v>2108.7859061048571</v>
      </c>
      <c r="H76" s="162"/>
      <c r="K76" s="4">
        <v>45352</v>
      </c>
      <c r="L76" s="5">
        <v>20943.8</v>
      </c>
      <c r="M76" s="2">
        <v>158.07999999999993</v>
      </c>
      <c r="N76" s="14">
        <f t="shared" si="12"/>
        <v>122.32569620253157</v>
      </c>
      <c r="O76" s="14">
        <f t="shared" si="13"/>
        <v>-254.41430379746913</v>
      </c>
      <c r="P76" s="15">
        <f t="shared" si="14"/>
        <v>-31121.406835907783</v>
      </c>
      <c r="Q76" s="14">
        <f t="shared" si="15"/>
        <v>14963.575951434048</v>
      </c>
      <c r="R76" s="162"/>
      <c r="T76" s="10"/>
      <c r="U76" s="13"/>
      <c r="V76" s="1"/>
      <c r="Z76" s="1"/>
      <c r="AA76" s="25"/>
    </row>
    <row r="77" spans="1:27" x14ac:dyDescent="0.45">
      <c r="A77" s="4">
        <v>45383</v>
      </c>
      <c r="B77" s="5">
        <v>20969.900000000001</v>
      </c>
      <c r="C77" s="2">
        <v>-14.400000000001455</v>
      </c>
      <c r="D77" s="14">
        <f t="shared" si="8"/>
        <v>-106.62151898734322</v>
      </c>
      <c r="E77" s="14">
        <f t="shared" si="9"/>
        <v>-31.121518987339584</v>
      </c>
      <c r="F77" s="15">
        <f t="shared" si="10"/>
        <v>3318.2236276235899</v>
      </c>
      <c r="G77" s="14">
        <f t="shared" si="11"/>
        <v>11368.148311168392</v>
      </c>
      <c r="H77" s="162"/>
      <c r="K77" s="4">
        <v>45383</v>
      </c>
      <c r="L77" s="5">
        <v>20969.900000000001</v>
      </c>
      <c r="M77" s="2">
        <v>-218.66000000000076</v>
      </c>
      <c r="N77" s="14">
        <f t="shared" si="12"/>
        <v>-254.41430379746913</v>
      </c>
      <c r="O77" s="14">
        <f t="shared" si="13"/>
        <v>206.06569620253225</v>
      </c>
      <c r="P77" s="15">
        <f t="shared" si="14"/>
        <v>-52426.060635908019</v>
      </c>
      <c r="Q77" s="14">
        <f t="shared" si="15"/>
        <v>64726.637976750913</v>
      </c>
      <c r="R77" s="162"/>
      <c r="T77" s="10"/>
      <c r="U77" s="13"/>
      <c r="V77" s="1"/>
      <c r="Z77" s="1"/>
      <c r="AA77" s="25"/>
    </row>
    <row r="78" spans="1:27" x14ac:dyDescent="0.45">
      <c r="A78" s="4">
        <v>45413</v>
      </c>
      <c r="B78" s="5">
        <v>21032</v>
      </c>
      <c r="C78" s="2">
        <v>61.100000000002183</v>
      </c>
      <c r="D78" s="14">
        <f t="shared" si="8"/>
        <v>-31.121518987339584</v>
      </c>
      <c r="E78" s="14">
        <f t="shared" si="9"/>
        <v>-44.421518987342495</v>
      </c>
      <c r="F78" s="15">
        <f t="shared" si="10"/>
        <v>1382.4651466110454</v>
      </c>
      <c r="G78" s="14">
        <f t="shared" si="11"/>
        <v>968.5489440793383</v>
      </c>
      <c r="H78" s="162"/>
      <c r="K78" s="4">
        <v>45413</v>
      </c>
      <c r="L78" s="5">
        <v>21032</v>
      </c>
      <c r="M78" s="2">
        <v>241.82000000000062</v>
      </c>
      <c r="N78" s="14">
        <f t="shared" si="12"/>
        <v>206.06569620253225</v>
      </c>
      <c r="O78" s="14">
        <f t="shared" si="13"/>
        <v>147.21569620253098</v>
      </c>
      <c r="P78" s="15">
        <f t="shared" si="14"/>
        <v>30336.104929915029</v>
      </c>
      <c r="Q78" s="14">
        <f t="shared" si="15"/>
        <v>42463.071151434313</v>
      </c>
      <c r="R78" s="162"/>
      <c r="T78" s="10"/>
      <c r="U78" s="13"/>
      <c r="V78" s="1"/>
      <c r="Z78" s="1"/>
      <c r="AA78" s="25"/>
    </row>
    <row r="79" spans="1:27" x14ac:dyDescent="0.45">
      <c r="A79" s="4">
        <v>45444</v>
      </c>
      <c r="B79" s="5">
        <v>21094.6</v>
      </c>
      <c r="C79" s="2">
        <v>47.799999999999272</v>
      </c>
      <c r="D79" s="14">
        <f t="shared" si="8"/>
        <v>-44.421518987342495</v>
      </c>
      <c r="E79" s="14">
        <f t="shared" si="9"/>
        <v>-65.52151898734104</v>
      </c>
      <c r="F79" s="15">
        <f t="shared" si="10"/>
        <v>2910.5653997756917</v>
      </c>
      <c r="G79" s="14">
        <f t="shared" si="11"/>
        <v>1973.2713491428299</v>
      </c>
      <c r="H79" s="162"/>
      <c r="K79" s="4">
        <v>45444</v>
      </c>
      <c r="L79" s="5">
        <v>21094.6</v>
      </c>
      <c r="M79" s="2">
        <v>182.96999999999935</v>
      </c>
      <c r="N79" s="14">
        <f t="shared" si="12"/>
        <v>147.21569620253098</v>
      </c>
      <c r="O79" s="14">
        <f t="shared" si="13"/>
        <v>26.065696202532266</v>
      </c>
      <c r="P79" s="15">
        <f t="shared" si="14"/>
        <v>3837.2796134594555</v>
      </c>
      <c r="Q79" s="14">
        <f t="shared" si="15"/>
        <v>21672.461208395893</v>
      </c>
      <c r="R79" s="162"/>
      <c r="T79" s="10"/>
      <c r="U79" s="13"/>
      <c r="V79" s="1"/>
      <c r="Z79" s="1"/>
      <c r="AA79" s="25"/>
    </row>
    <row r="80" spans="1:27" x14ac:dyDescent="0.45">
      <c r="A80" s="4">
        <v>45474</v>
      </c>
      <c r="B80" s="5">
        <v>21122.6</v>
      </c>
      <c r="C80" s="2">
        <v>26.700000000000728</v>
      </c>
      <c r="D80" s="14">
        <f t="shared" si="8"/>
        <v>-65.52151898734104</v>
      </c>
      <c r="E80" s="14">
        <f t="shared" si="9"/>
        <v>-0.8215189873439499</v>
      </c>
      <c r="F80" s="15">
        <f t="shared" si="10"/>
        <v>53.827171927717799</v>
      </c>
      <c r="G80" s="14">
        <f t="shared" si="11"/>
        <v>4293.0694504084922</v>
      </c>
      <c r="H80" s="162"/>
      <c r="K80" s="4">
        <v>45474</v>
      </c>
      <c r="L80" s="5">
        <v>21122.6</v>
      </c>
      <c r="M80" s="2">
        <v>61.820000000000618</v>
      </c>
      <c r="N80" s="14">
        <f t="shared" si="12"/>
        <v>26.065696202532266</v>
      </c>
      <c r="O80" s="14">
        <f t="shared" si="13"/>
        <v>90.345696202531101</v>
      </c>
      <c r="P80" s="15">
        <f t="shared" si="14"/>
        <v>2354.9234704214487</v>
      </c>
      <c r="Q80" s="14">
        <f t="shared" si="15"/>
        <v>679.42051852270492</v>
      </c>
      <c r="R80" s="162"/>
      <c r="T80" s="10"/>
      <c r="U80" s="13"/>
      <c r="V80" s="1"/>
      <c r="Z80" s="1"/>
      <c r="AA80" s="25"/>
    </row>
    <row r="81" spans="1:27" x14ac:dyDescent="0.45">
      <c r="A81" s="4">
        <v>45505</v>
      </c>
      <c r="B81" s="5">
        <v>21204.7</v>
      </c>
      <c r="C81" s="2">
        <v>91.399999999997817</v>
      </c>
      <c r="D81" s="14">
        <f>C81-$C$82</f>
        <v>-0.8215189873439499</v>
      </c>
      <c r="E81" s="14">
        <f t="shared" si="9"/>
        <v>0</v>
      </c>
      <c r="F81" s="15">
        <f t="shared" si="10"/>
        <v>0</v>
      </c>
      <c r="G81" s="14">
        <f t="shared" si="11"/>
        <v>0.67489344656662897</v>
      </c>
      <c r="H81" s="163"/>
      <c r="K81" s="4">
        <v>45505</v>
      </c>
      <c r="L81" s="5">
        <v>21204.7</v>
      </c>
      <c r="M81" s="2">
        <v>126.09999999999945</v>
      </c>
      <c r="N81" s="14">
        <f t="shared" si="12"/>
        <v>90.345696202531101</v>
      </c>
      <c r="O81" s="14">
        <f t="shared" si="13"/>
        <v>0</v>
      </c>
      <c r="P81" s="15">
        <f t="shared" si="14"/>
        <v>0</v>
      </c>
      <c r="Q81" s="14">
        <f t="shared" si="15"/>
        <v>8162.344822320043</v>
      </c>
      <c r="R81" s="163"/>
      <c r="T81" s="10"/>
      <c r="U81" s="13"/>
      <c r="V81" s="1"/>
      <c r="Z81" s="1"/>
      <c r="AA81" s="25"/>
    </row>
    <row r="82" spans="1:27" x14ac:dyDescent="0.45">
      <c r="A82" s="10"/>
      <c r="B82" s="11"/>
      <c r="C82">
        <f>AVERAGE(C3:C81)</f>
        <v>92.221518987341767</v>
      </c>
      <c r="K82" s="10"/>
      <c r="L82" s="11"/>
      <c r="M82">
        <f>AVERAGE(M3:M81)</f>
        <v>35.754303797468353</v>
      </c>
      <c r="T82" s="10"/>
      <c r="U82" s="13"/>
      <c r="Z82" s="1"/>
      <c r="AA82" s="25"/>
    </row>
    <row r="83" spans="1:27" x14ac:dyDescent="0.45">
      <c r="A83" s="10"/>
      <c r="B83" s="11"/>
      <c r="K83" s="10"/>
      <c r="L83" s="11"/>
      <c r="T83" s="10"/>
      <c r="U83" s="13"/>
      <c r="AA83" s="24"/>
    </row>
    <row r="84" spans="1:27" x14ac:dyDescent="0.45">
      <c r="A84" s="10"/>
      <c r="B84" s="11"/>
      <c r="K84" s="10"/>
      <c r="L84" s="11"/>
      <c r="T84" s="10"/>
      <c r="U84" s="13"/>
      <c r="AA84" s="24"/>
    </row>
    <row r="85" spans="1:27" x14ac:dyDescent="0.45">
      <c r="A85" s="10"/>
      <c r="B85" s="11"/>
      <c r="K85" s="10"/>
      <c r="L85" s="11"/>
      <c r="T85" s="10"/>
      <c r="U85" s="13"/>
      <c r="AA85" s="24"/>
    </row>
    <row r="86" spans="1:27" x14ac:dyDescent="0.45">
      <c r="A86" s="10"/>
      <c r="B86" s="11"/>
      <c r="K86" s="10"/>
      <c r="L86" s="11"/>
      <c r="T86" s="10"/>
      <c r="U86" s="13"/>
      <c r="AA86" s="24"/>
    </row>
    <row r="87" spans="1:27" x14ac:dyDescent="0.45">
      <c r="A87" s="10"/>
      <c r="B87" s="11"/>
      <c r="K87" s="10"/>
      <c r="L87" s="11"/>
      <c r="T87" s="10"/>
      <c r="U87" s="13"/>
      <c r="AA87" s="24"/>
    </row>
    <row r="88" spans="1:27" x14ac:dyDescent="0.45">
      <c r="A88" s="10"/>
      <c r="B88" s="11"/>
      <c r="K88" s="10"/>
      <c r="L88" s="11"/>
      <c r="T88" s="10"/>
      <c r="U88" s="13"/>
      <c r="AA88" s="24"/>
    </row>
    <row r="89" spans="1:27" x14ac:dyDescent="0.45">
      <c r="A89" s="10"/>
      <c r="B89" s="11"/>
      <c r="K89" s="10"/>
      <c r="L89" s="11"/>
      <c r="T89" s="10"/>
      <c r="U89" s="13"/>
      <c r="AA89" s="24"/>
    </row>
    <row r="90" spans="1:27" x14ac:dyDescent="0.45">
      <c r="A90" s="10"/>
      <c r="B90" s="11"/>
      <c r="K90" s="10"/>
      <c r="L90" s="11"/>
      <c r="T90" s="10"/>
      <c r="U90" s="13"/>
      <c r="AA90" s="24"/>
    </row>
    <row r="91" spans="1:27" x14ac:dyDescent="0.45">
      <c r="A91" s="10"/>
      <c r="B91" s="11"/>
      <c r="K91" s="10"/>
      <c r="L91" s="11"/>
      <c r="T91" s="10"/>
      <c r="U91" s="13"/>
      <c r="AA91" s="24"/>
    </row>
    <row r="92" spans="1:27" x14ac:dyDescent="0.45">
      <c r="A92" s="10"/>
      <c r="B92" s="11"/>
      <c r="K92" s="10"/>
      <c r="L92" s="11"/>
      <c r="T92" s="10"/>
      <c r="U92" s="13"/>
      <c r="AA92" s="24"/>
    </row>
    <row r="93" spans="1:27" x14ac:dyDescent="0.45">
      <c r="A93" s="10"/>
      <c r="B93" s="11"/>
      <c r="K93" s="10"/>
      <c r="L93" s="11"/>
      <c r="T93" s="10"/>
      <c r="U93" s="13"/>
      <c r="AA93" s="24"/>
    </row>
    <row r="94" spans="1:27" x14ac:dyDescent="0.45">
      <c r="A94" s="10"/>
      <c r="B94" s="11"/>
      <c r="K94" s="10"/>
      <c r="L94" s="11"/>
      <c r="T94" s="10"/>
      <c r="U94" s="13"/>
      <c r="AA94" s="24"/>
    </row>
    <row r="95" spans="1:27" x14ac:dyDescent="0.45">
      <c r="A95" s="10"/>
      <c r="B95" s="11"/>
      <c r="K95" s="10"/>
      <c r="L95" s="11"/>
      <c r="T95" s="10"/>
      <c r="U95" s="13"/>
      <c r="AA95" s="24"/>
    </row>
    <row r="96" spans="1:27" x14ac:dyDescent="0.45">
      <c r="A96" s="10"/>
      <c r="B96" s="11"/>
      <c r="K96" s="10"/>
      <c r="L96" s="11"/>
      <c r="T96" s="10"/>
      <c r="U96" s="13"/>
      <c r="AA96" s="24"/>
    </row>
    <row r="97" spans="1:27" x14ac:dyDescent="0.45">
      <c r="A97" s="10"/>
      <c r="B97" s="11"/>
      <c r="K97" s="10"/>
      <c r="L97" s="11"/>
      <c r="T97" s="10"/>
      <c r="U97" s="13"/>
      <c r="AA97" s="24"/>
    </row>
    <row r="98" spans="1:27" x14ac:dyDescent="0.45">
      <c r="A98" s="10"/>
      <c r="B98" s="11"/>
      <c r="K98" s="10"/>
      <c r="L98" s="11"/>
      <c r="T98" s="10"/>
      <c r="U98" s="13"/>
      <c r="AA98" s="24"/>
    </row>
    <row r="99" spans="1:27" x14ac:dyDescent="0.45">
      <c r="A99" s="10"/>
      <c r="B99" s="12"/>
      <c r="K99" s="10"/>
      <c r="L99" s="12"/>
      <c r="T99" s="10"/>
      <c r="U99" s="13"/>
      <c r="AA99" s="24"/>
    </row>
    <row r="100" spans="1:27" x14ac:dyDescent="0.45">
      <c r="AA100" s="24"/>
    </row>
    <row r="101" spans="1:27" x14ac:dyDescent="0.45">
      <c r="AA101" s="24"/>
    </row>
    <row r="102" spans="1:27" x14ac:dyDescent="0.45">
      <c r="AA102" s="24"/>
    </row>
    <row r="103" spans="1:27" x14ac:dyDescent="0.45">
      <c r="AA103" s="24"/>
    </row>
    <row r="104" spans="1:27" x14ac:dyDescent="0.45">
      <c r="AA104" s="24"/>
    </row>
    <row r="105" spans="1:27" x14ac:dyDescent="0.45">
      <c r="AA105" s="24"/>
    </row>
    <row r="106" spans="1:27" x14ac:dyDescent="0.45">
      <c r="AA106" s="24"/>
    </row>
    <row r="107" spans="1:27" x14ac:dyDescent="0.45">
      <c r="AA107" s="24"/>
    </row>
    <row r="108" spans="1:27" x14ac:dyDescent="0.45">
      <c r="AA108" s="24"/>
    </row>
    <row r="109" spans="1:27" x14ac:dyDescent="0.45">
      <c r="AA109" s="24"/>
    </row>
    <row r="110" spans="1:27" x14ac:dyDescent="0.45">
      <c r="AA110" s="24"/>
    </row>
    <row r="111" spans="1:27" x14ac:dyDescent="0.45">
      <c r="AA111" s="24"/>
    </row>
    <row r="112" spans="1:27" x14ac:dyDescent="0.45">
      <c r="AA112" s="24"/>
    </row>
    <row r="113" spans="27:27" x14ac:dyDescent="0.45">
      <c r="AA113" s="24"/>
    </row>
    <row r="114" spans="27:27" x14ac:dyDescent="0.45">
      <c r="AA114" s="24"/>
    </row>
    <row r="115" spans="27:27" x14ac:dyDescent="0.45">
      <c r="AA115" s="24"/>
    </row>
    <row r="116" spans="27:27" x14ac:dyDescent="0.45">
      <c r="AA116" s="24"/>
    </row>
    <row r="117" spans="27:27" x14ac:dyDescent="0.45">
      <c r="AA117" s="24"/>
    </row>
    <row r="118" spans="27:27" x14ac:dyDescent="0.45">
      <c r="AA118" s="24"/>
    </row>
    <row r="119" spans="27:27" x14ac:dyDescent="0.45">
      <c r="AA119" s="24"/>
    </row>
    <row r="120" spans="27:27" x14ac:dyDescent="0.45">
      <c r="AA120" s="24"/>
    </row>
    <row r="121" spans="27:27" x14ac:dyDescent="0.45">
      <c r="AA121" s="24"/>
    </row>
    <row r="122" spans="27:27" x14ac:dyDescent="0.45">
      <c r="AA122" s="24"/>
    </row>
    <row r="123" spans="27:27" x14ac:dyDescent="0.45">
      <c r="AA123" s="24"/>
    </row>
    <row r="124" spans="27:27" x14ac:dyDescent="0.45">
      <c r="AA124" s="24"/>
    </row>
    <row r="125" spans="27:27" x14ac:dyDescent="0.45">
      <c r="AA125" s="24"/>
    </row>
    <row r="126" spans="27:27" x14ac:dyDescent="0.45">
      <c r="AA126" s="24"/>
    </row>
    <row r="127" spans="27:27" x14ac:dyDescent="0.45">
      <c r="AA127" s="24"/>
    </row>
    <row r="128" spans="27:27" x14ac:dyDescent="0.45">
      <c r="AA128" s="24"/>
    </row>
    <row r="129" spans="27:27" x14ac:dyDescent="0.45">
      <c r="AA129" s="24"/>
    </row>
    <row r="130" spans="27:27" x14ac:dyDescent="0.45">
      <c r="AA130" s="24"/>
    </row>
    <row r="131" spans="27:27" x14ac:dyDescent="0.45">
      <c r="AA131" s="24"/>
    </row>
    <row r="132" spans="27:27" x14ac:dyDescent="0.45">
      <c r="AA132" s="24"/>
    </row>
    <row r="133" spans="27:27" x14ac:dyDescent="0.45">
      <c r="AA133" s="24"/>
    </row>
    <row r="134" spans="27:27" x14ac:dyDescent="0.45">
      <c r="AA134" s="24"/>
    </row>
    <row r="135" spans="27:27" x14ac:dyDescent="0.45">
      <c r="AA135" s="24"/>
    </row>
    <row r="136" spans="27:27" x14ac:dyDescent="0.45">
      <c r="AA136" s="24"/>
    </row>
    <row r="137" spans="27:27" x14ac:dyDescent="0.45">
      <c r="AA137" s="24"/>
    </row>
    <row r="138" spans="27:27" x14ac:dyDescent="0.45">
      <c r="AA138" s="24"/>
    </row>
    <row r="139" spans="27:27" x14ac:dyDescent="0.45">
      <c r="AA139" s="24"/>
    </row>
    <row r="140" spans="27:27" x14ac:dyDescent="0.45">
      <c r="AA140" s="24"/>
    </row>
    <row r="141" spans="27:27" x14ac:dyDescent="0.45">
      <c r="AA141" s="24"/>
    </row>
    <row r="142" spans="27:27" x14ac:dyDescent="0.45">
      <c r="AA142" s="24"/>
    </row>
    <row r="143" spans="27:27" x14ac:dyDescent="0.45">
      <c r="AA143" s="24"/>
    </row>
    <row r="144" spans="27:27" x14ac:dyDescent="0.45">
      <c r="AA144" s="24"/>
    </row>
    <row r="145" spans="27:27" x14ac:dyDescent="0.45">
      <c r="AA145" s="24"/>
    </row>
    <row r="146" spans="27:27" x14ac:dyDescent="0.45">
      <c r="AA146" s="24"/>
    </row>
    <row r="147" spans="27:27" x14ac:dyDescent="0.45">
      <c r="AA147" s="24"/>
    </row>
    <row r="148" spans="27:27" x14ac:dyDescent="0.45">
      <c r="AA148" s="24"/>
    </row>
    <row r="149" spans="27:27" x14ac:dyDescent="0.45">
      <c r="AA149" s="24"/>
    </row>
    <row r="150" spans="27:27" x14ac:dyDescent="0.45">
      <c r="AA150" s="24"/>
    </row>
    <row r="151" spans="27:27" x14ac:dyDescent="0.45">
      <c r="AA151" s="24"/>
    </row>
    <row r="152" spans="27:27" x14ac:dyDescent="0.45">
      <c r="AA152" s="24"/>
    </row>
    <row r="153" spans="27:27" x14ac:dyDescent="0.45">
      <c r="AA153" s="24"/>
    </row>
    <row r="154" spans="27:27" x14ac:dyDescent="0.45">
      <c r="AA154" s="24"/>
    </row>
    <row r="155" spans="27:27" x14ac:dyDescent="0.45">
      <c r="AA155" s="24"/>
    </row>
    <row r="156" spans="27:27" x14ac:dyDescent="0.45">
      <c r="AA156" s="24"/>
    </row>
    <row r="157" spans="27:27" x14ac:dyDescent="0.45">
      <c r="AA157" s="24"/>
    </row>
    <row r="158" spans="27:27" x14ac:dyDescent="0.45">
      <c r="AA158" s="24"/>
    </row>
    <row r="159" spans="27:27" x14ac:dyDescent="0.45">
      <c r="AA159" s="24"/>
    </row>
    <row r="160" spans="27:27" x14ac:dyDescent="0.45">
      <c r="AA160" s="24"/>
    </row>
    <row r="161" spans="27:27" x14ac:dyDescent="0.45">
      <c r="AA161" s="24"/>
    </row>
    <row r="162" spans="27:27" x14ac:dyDescent="0.45">
      <c r="AA162" s="24"/>
    </row>
    <row r="163" spans="27:27" x14ac:dyDescent="0.45">
      <c r="AA163" s="24"/>
    </row>
    <row r="164" spans="27:27" x14ac:dyDescent="0.45">
      <c r="AA164" s="24"/>
    </row>
    <row r="165" spans="27:27" x14ac:dyDescent="0.45">
      <c r="AA165" s="24"/>
    </row>
    <row r="166" spans="27:27" x14ac:dyDescent="0.45">
      <c r="AA166" s="24"/>
    </row>
    <row r="167" spans="27:27" x14ac:dyDescent="0.45">
      <c r="AA167" s="24"/>
    </row>
    <row r="168" spans="27:27" x14ac:dyDescent="0.45">
      <c r="AA168" s="24"/>
    </row>
    <row r="169" spans="27:27" x14ac:dyDescent="0.45">
      <c r="AA169" s="24"/>
    </row>
    <row r="170" spans="27:27" x14ac:dyDescent="0.45">
      <c r="AA170" s="24"/>
    </row>
    <row r="171" spans="27:27" x14ac:dyDescent="0.45">
      <c r="AA171" s="24"/>
    </row>
    <row r="172" spans="27:27" x14ac:dyDescent="0.45">
      <c r="AA172" s="24"/>
    </row>
    <row r="173" spans="27:27" x14ac:dyDescent="0.45">
      <c r="AA173" s="24"/>
    </row>
    <row r="174" spans="27:27" x14ac:dyDescent="0.45">
      <c r="AA174" s="24"/>
    </row>
    <row r="175" spans="27:27" x14ac:dyDescent="0.45">
      <c r="AA175" s="24"/>
    </row>
    <row r="176" spans="27:27" x14ac:dyDescent="0.45">
      <c r="AA176" s="24"/>
    </row>
    <row r="177" spans="27:27" x14ac:dyDescent="0.45">
      <c r="AA177" s="24"/>
    </row>
    <row r="178" spans="27:27" x14ac:dyDescent="0.45">
      <c r="AA178" s="24"/>
    </row>
    <row r="179" spans="27:27" x14ac:dyDescent="0.45">
      <c r="AA179" s="24"/>
    </row>
    <row r="180" spans="27:27" x14ac:dyDescent="0.45">
      <c r="AA180" s="24"/>
    </row>
    <row r="181" spans="27:27" x14ac:dyDescent="0.45">
      <c r="AA181" s="24"/>
    </row>
    <row r="182" spans="27:27" x14ac:dyDescent="0.45">
      <c r="AA182" s="24"/>
    </row>
    <row r="183" spans="27:27" x14ac:dyDescent="0.45">
      <c r="AA183" s="24"/>
    </row>
    <row r="184" spans="27:27" x14ac:dyDescent="0.45">
      <c r="AA184" s="24"/>
    </row>
    <row r="185" spans="27:27" x14ac:dyDescent="0.45">
      <c r="AA185" s="24"/>
    </row>
    <row r="186" spans="27:27" x14ac:dyDescent="0.45">
      <c r="AA186" s="24"/>
    </row>
    <row r="187" spans="27:27" x14ac:dyDescent="0.45">
      <c r="AA187" s="24"/>
    </row>
    <row r="188" spans="27:27" x14ac:dyDescent="0.45">
      <c r="AA188" s="24"/>
    </row>
    <row r="189" spans="27:27" x14ac:dyDescent="0.45">
      <c r="AA189" s="24"/>
    </row>
    <row r="190" spans="27:27" x14ac:dyDescent="0.45">
      <c r="AA190" s="24"/>
    </row>
    <row r="191" spans="27:27" x14ac:dyDescent="0.45">
      <c r="AA191" s="24"/>
    </row>
    <row r="192" spans="27:27" x14ac:dyDescent="0.45">
      <c r="AA192" s="24"/>
    </row>
    <row r="193" spans="27:27" x14ac:dyDescent="0.45">
      <c r="AA193" s="24"/>
    </row>
    <row r="194" spans="27:27" x14ac:dyDescent="0.45">
      <c r="AA194" s="24"/>
    </row>
    <row r="195" spans="27:27" x14ac:dyDescent="0.45">
      <c r="AA195" s="24"/>
    </row>
    <row r="196" spans="27:27" x14ac:dyDescent="0.45">
      <c r="AA196" s="24"/>
    </row>
    <row r="197" spans="27:27" x14ac:dyDescent="0.45">
      <c r="AA197" s="24"/>
    </row>
    <row r="198" spans="27:27" x14ac:dyDescent="0.45">
      <c r="AA198" s="24"/>
    </row>
    <row r="199" spans="27:27" x14ac:dyDescent="0.45">
      <c r="AA199" s="24"/>
    </row>
    <row r="200" spans="27:27" x14ac:dyDescent="0.45">
      <c r="AA200" s="24"/>
    </row>
    <row r="201" spans="27:27" x14ac:dyDescent="0.45">
      <c r="AA201" s="24"/>
    </row>
    <row r="202" spans="27:27" x14ac:dyDescent="0.45">
      <c r="AA202" s="24"/>
    </row>
    <row r="203" spans="27:27" x14ac:dyDescent="0.45">
      <c r="AA203" s="24"/>
    </row>
    <row r="204" spans="27:27" x14ac:dyDescent="0.45">
      <c r="AA204" s="24"/>
    </row>
    <row r="205" spans="27:27" x14ac:dyDescent="0.45">
      <c r="AA205" s="24"/>
    </row>
    <row r="206" spans="27:27" x14ac:dyDescent="0.45">
      <c r="AA206" s="24"/>
    </row>
    <row r="207" spans="27:27" x14ac:dyDescent="0.45">
      <c r="AA207" s="24"/>
    </row>
    <row r="208" spans="27:27" x14ac:dyDescent="0.45">
      <c r="AA208" s="24"/>
    </row>
    <row r="209" spans="27:27" x14ac:dyDescent="0.45">
      <c r="AA209" s="24"/>
    </row>
    <row r="210" spans="27:27" x14ac:dyDescent="0.45">
      <c r="AA210" s="24"/>
    </row>
    <row r="211" spans="27:27" x14ac:dyDescent="0.45">
      <c r="AA211" s="24"/>
    </row>
    <row r="212" spans="27:27" x14ac:dyDescent="0.45">
      <c r="AA212" s="24"/>
    </row>
    <row r="213" spans="27:27" x14ac:dyDescent="0.45">
      <c r="AA213" s="24"/>
    </row>
    <row r="214" spans="27:27" x14ac:dyDescent="0.45">
      <c r="AA214" s="24"/>
    </row>
    <row r="215" spans="27:27" x14ac:dyDescent="0.45">
      <c r="AA215" s="24"/>
    </row>
    <row r="216" spans="27:27" x14ac:dyDescent="0.45">
      <c r="AA216" s="24"/>
    </row>
    <row r="217" spans="27:27" x14ac:dyDescent="0.45">
      <c r="AA217" s="24"/>
    </row>
    <row r="218" spans="27:27" x14ac:dyDescent="0.45">
      <c r="AA218" s="24"/>
    </row>
    <row r="219" spans="27:27" x14ac:dyDescent="0.45">
      <c r="AA219" s="24"/>
    </row>
    <row r="220" spans="27:27" x14ac:dyDescent="0.45">
      <c r="AA220" s="24"/>
    </row>
    <row r="221" spans="27:27" x14ac:dyDescent="0.45">
      <c r="AA221" s="24"/>
    </row>
    <row r="222" spans="27:27" x14ac:dyDescent="0.45">
      <c r="AA222" s="24"/>
    </row>
    <row r="223" spans="27:27" x14ac:dyDescent="0.45">
      <c r="AA223" s="24"/>
    </row>
    <row r="224" spans="27:27" x14ac:dyDescent="0.45">
      <c r="AA224" s="24"/>
    </row>
    <row r="225" spans="27:27" x14ac:dyDescent="0.45">
      <c r="AA225" s="24"/>
    </row>
    <row r="226" spans="27:27" x14ac:dyDescent="0.45">
      <c r="AA226" s="24"/>
    </row>
    <row r="227" spans="27:27" x14ac:dyDescent="0.45">
      <c r="AA227" s="24"/>
    </row>
    <row r="228" spans="27:27" x14ac:dyDescent="0.45">
      <c r="AA228" s="24"/>
    </row>
    <row r="229" spans="27:27" x14ac:dyDescent="0.45">
      <c r="AA229" s="24"/>
    </row>
    <row r="230" spans="27:27" x14ac:dyDescent="0.45">
      <c r="AA230" s="24"/>
    </row>
    <row r="231" spans="27:27" x14ac:dyDescent="0.45">
      <c r="AA231" s="24"/>
    </row>
    <row r="232" spans="27:27" x14ac:dyDescent="0.45">
      <c r="AA232" s="24"/>
    </row>
    <row r="233" spans="27:27" x14ac:dyDescent="0.45">
      <c r="AA233" s="24"/>
    </row>
    <row r="234" spans="27:27" x14ac:dyDescent="0.45">
      <c r="AA234" s="24"/>
    </row>
    <row r="235" spans="27:27" x14ac:dyDescent="0.45">
      <c r="AA235" s="24"/>
    </row>
    <row r="236" spans="27:27" x14ac:dyDescent="0.45">
      <c r="AA236" s="24"/>
    </row>
    <row r="237" spans="27:27" x14ac:dyDescent="0.45">
      <c r="AA237" s="24"/>
    </row>
    <row r="238" spans="27:27" x14ac:dyDescent="0.45">
      <c r="AA238" s="24"/>
    </row>
    <row r="239" spans="27:27" x14ac:dyDescent="0.45">
      <c r="AA239" s="24"/>
    </row>
    <row r="240" spans="27:27" x14ac:dyDescent="0.45">
      <c r="AA240" s="24"/>
    </row>
    <row r="241" spans="27:27" x14ac:dyDescent="0.45">
      <c r="AA241" s="24"/>
    </row>
    <row r="242" spans="27:27" x14ac:dyDescent="0.45">
      <c r="AA242" s="24"/>
    </row>
    <row r="243" spans="27:27" x14ac:dyDescent="0.45">
      <c r="AA243" s="24"/>
    </row>
    <row r="244" spans="27:27" x14ac:dyDescent="0.45">
      <c r="AA244" s="24"/>
    </row>
    <row r="245" spans="27:27" x14ac:dyDescent="0.45">
      <c r="AA245" s="24"/>
    </row>
    <row r="246" spans="27:27" x14ac:dyDescent="0.45">
      <c r="AA246" s="24"/>
    </row>
    <row r="247" spans="27:27" x14ac:dyDescent="0.45">
      <c r="AA247" s="24"/>
    </row>
    <row r="248" spans="27:27" x14ac:dyDescent="0.45">
      <c r="AA248" s="24"/>
    </row>
    <row r="249" spans="27:27" x14ac:dyDescent="0.45">
      <c r="AA249" s="24"/>
    </row>
    <row r="250" spans="27:27" x14ac:dyDescent="0.45">
      <c r="AA250" s="24"/>
    </row>
    <row r="251" spans="27:27" x14ac:dyDescent="0.45">
      <c r="AA251" s="24"/>
    </row>
    <row r="252" spans="27:27" x14ac:dyDescent="0.45">
      <c r="AA252" s="24"/>
    </row>
    <row r="253" spans="27:27" x14ac:dyDescent="0.45">
      <c r="AA253" s="24"/>
    </row>
    <row r="254" spans="27:27" x14ac:dyDescent="0.45">
      <c r="AA254" s="24"/>
    </row>
    <row r="255" spans="27:27" x14ac:dyDescent="0.45">
      <c r="AA255" s="24"/>
    </row>
    <row r="256" spans="27:27" x14ac:dyDescent="0.45">
      <c r="AA256" s="24"/>
    </row>
    <row r="257" spans="27:27" x14ac:dyDescent="0.45">
      <c r="AA257" s="24"/>
    </row>
    <row r="258" spans="27:27" x14ac:dyDescent="0.45">
      <c r="AA258" s="24"/>
    </row>
    <row r="259" spans="27:27" x14ac:dyDescent="0.45">
      <c r="AA259" s="24"/>
    </row>
    <row r="260" spans="27:27" x14ac:dyDescent="0.45">
      <c r="AA260" s="24"/>
    </row>
    <row r="261" spans="27:27" x14ac:dyDescent="0.45">
      <c r="AA261" s="24"/>
    </row>
    <row r="262" spans="27:27" x14ac:dyDescent="0.45">
      <c r="AA262" s="24"/>
    </row>
    <row r="263" spans="27:27" x14ac:dyDescent="0.45">
      <c r="AA263" s="24"/>
    </row>
    <row r="264" spans="27:27" x14ac:dyDescent="0.45">
      <c r="AA264" s="24"/>
    </row>
    <row r="265" spans="27:27" x14ac:dyDescent="0.45">
      <c r="AA265" s="24"/>
    </row>
    <row r="266" spans="27:27" x14ac:dyDescent="0.45">
      <c r="AA266" s="24"/>
    </row>
    <row r="267" spans="27:27" x14ac:dyDescent="0.45">
      <c r="AA267" s="24"/>
    </row>
    <row r="268" spans="27:27" x14ac:dyDescent="0.45">
      <c r="AA268" s="24"/>
    </row>
    <row r="269" spans="27:27" x14ac:dyDescent="0.45">
      <c r="AA269" s="24"/>
    </row>
    <row r="270" spans="27:27" x14ac:dyDescent="0.45">
      <c r="AA270" s="24"/>
    </row>
    <row r="271" spans="27:27" x14ac:dyDescent="0.45">
      <c r="AA271" s="24"/>
    </row>
    <row r="272" spans="27:27" x14ac:dyDescent="0.45">
      <c r="AA272" s="24"/>
    </row>
    <row r="273" spans="27:27" x14ac:dyDescent="0.45">
      <c r="AA273" s="24"/>
    </row>
    <row r="274" spans="27:27" x14ac:dyDescent="0.45">
      <c r="AA274" s="24"/>
    </row>
    <row r="275" spans="27:27" x14ac:dyDescent="0.45">
      <c r="AA275" s="24"/>
    </row>
    <row r="276" spans="27:27" x14ac:dyDescent="0.45">
      <c r="AA276" s="24"/>
    </row>
    <row r="277" spans="27:27" x14ac:dyDescent="0.45">
      <c r="AA277" s="24"/>
    </row>
    <row r="278" spans="27:27" x14ac:dyDescent="0.45">
      <c r="AA278" s="24"/>
    </row>
    <row r="279" spans="27:27" x14ac:dyDescent="0.45">
      <c r="AA279" s="24"/>
    </row>
    <row r="280" spans="27:27" x14ac:dyDescent="0.45">
      <c r="AA280" s="24"/>
    </row>
    <row r="281" spans="27:27" x14ac:dyDescent="0.45">
      <c r="AA281" s="24"/>
    </row>
    <row r="282" spans="27:27" x14ac:dyDescent="0.45">
      <c r="AA282" s="24"/>
    </row>
    <row r="283" spans="27:27" x14ac:dyDescent="0.45">
      <c r="AA283" s="24"/>
    </row>
    <row r="284" spans="27:27" x14ac:dyDescent="0.45">
      <c r="AA284" s="24"/>
    </row>
    <row r="285" spans="27:27" x14ac:dyDescent="0.45">
      <c r="AA285" s="24"/>
    </row>
    <row r="286" spans="27:27" x14ac:dyDescent="0.45">
      <c r="AA286" s="24"/>
    </row>
    <row r="287" spans="27:27" x14ac:dyDescent="0.45">
      <c r="AA287" s="24"/>
    </row>
    <row r="288" spans="27:27" x14ac:dyDescent="0.45">
      <c r="AA288" s="24"/>
    </row>
    <row r="289" spans="27:27" x14ac:dyDescent="0.45">
      <c r="AA289" s="24"/>
    </row>
    <row r="290" spans="27:27" x14ac:dyDescent="0.45">
      <c r="AA290" s="24"/>
    </row>
    <row r="291" spans="27:27" x14ac:dyDescent="0.45">
      <c r="AA291" s="24"/>
    </row>
    <row r="292" spans="27:27" x14ac:dyDescent="0.45">
      <c r="AA292" s="24"/>
    </row>
    <row r="293" spans="27:27" x14ac:dyDescent="0.45">
      <c r="AA293" s="24"/>
    </row>
    <row r="294" spans="27:27" x14ac:dyDescent="0.45">
      <c r="AA294" s="24"/>
    </row>
    <row r="295" spans="27:27" x14ac:dyDescent="0.45">
      <c r="AA295" s="24"/>
    </row>
    <row r="296" spans="27:27" x14ac:dyDescent="0.45">
      <c r="AA296" s="24"/>
    </row>
    <row r="297" spans="27:27" x14ac:dyDescent="0.45">
      <c r="AA297" s="24"/>
    </row>
    <row r="298" spans="27:27" x14ac:dyDescent="0.45">
      <c r="AA298" s="24"/>
    </row>
    <row r="299" spans="27:27" x14ac:dyDescent="0.45">
      <c r="AA299" s="24"/>
    </row>
    <row r="300" spans="27:27" x14ac:dyDescent="0.45">
      <c r="AA300" s="24"/>
    </row>
    <row r="301" spans="27:27" x14ac:dyDescent="0.45">
      <c r="AA301" s="24"/>
    </row>
    <row r="302" spans="27:27" x14ac:dyDescent="0.45">
      <c r="AA302" s="24"/>
    </row>
    <row r="303" spans="27:27" x14ac:dyDescent="0.45">
      <c r="AA303" s="24"/>
    </row>
    <row r="304" spans="27:27" x14ac:dyDescent="0.45">
      <c r="AA304" s="24"/>
    </row>
    <row r="305" spans="27:27" x14ac:dyDescent="0.45">
      <c r="AA305" s="24"/>
    </row>
    <row r="306" spans="27:27" x14ac:dyDescent="0.45">
      <c r="AA306" s="24"/>
    </row>
    <row r="307" spans="27:27" x14ac:dyDescent="0.45">
      <c r="AA307" s="24"/>
    </row>
    <row r="308" spans="27:27" x14ac:dyDescent="0.45">
      <c r="AA308" s="24"/>
    </row>
    <row r="309" spans="27:27" x14ac:dyDescent="0.45">
      <c r="AA309" s="24"/>
    </row>
    <row r="310" spans="27:27" x14ac:dyDescent="0.45">
      <c r="AA310" s="24"/>
    </row>
    <row r="311" spans="27:27" x14ac:dyDescent="0.45">
      <c r="AA311" s="24"/>
    </row>
    <row r="312" spans="27:27" x14ac:dyDescent="0.45">
      <c r="AA312" s="24"/>
    </row>
    <row r="313" spans="27:27" x14ac:dyDescent="0.45">
      <c r="AA313" s="24"/>
    </row>
    <row r="314" spans="27:27" x14ac:dyDescent="0.45">
      <c r="AA314" s="24"/>
    </row>
    <row r="315" spans="27:27" x14ac:dyDescent="0.45">
      <c r="AA315" s="24"/>
    </row>
    <row r="316" spans="27:27" x14ac:dyDescent="0.45">
      <c r="AA316" s="24"/>
    </row>
    <row r="317" spans="27:27" x14ac:dyDescent="0.45">
      <c r="AA317" s="24"/>
    </row>
    <row r="318" spans="27:27" x14ac:dyDescent="0.45">
      <c r="AA318" s="24"/>
    </row>
    <row r="319" spans="27:27" x14ac:dyDescent="0.45">
      <c r="AA319" s="24"/>
    </row>
    <row r="320" spans="27:27" x14ac:dyDescent="0.45">
      <c r="AA320" s="24"/>
    </row>
    <row r="321" spans="27:27" x14ac:dyDescent="0.45">
      <c r="AA321" s="24"/>
    </row>
    <row r="322" spans="27:27" x14ac:dyDescent="0.45">
      <c r="AA322" s="24"/>
    </row>
    <row r="323" spans="27:27" x14ac:dyDescent="0.45">
      <c r="AA323" s="24"/>
    </row>
    <row r="324" spans="27:27" x14ac:dyDescent="0.45">
      <c r="AA324" s="24"/>
    </row>
    <row r="325" spans="27:27" x14ac:dyDescent="0.45">
      <c r="AA325" s="24"/>
    </row>
    <row r="326" spans="27:27" x14ac:dyDescent="0.45">
      <c r="AA326" s="24"/>
    </row>
    <row r="327" spans="27:27" x14ac:dyDescent="0.45">
      <c r="AA327" s="24"/>
    </row>
    <row r="328" spans="27:27" x14ac:dyDescent="0.45">
      <c r="AA328" s="24"/>
    </row>
    <row r="329" spans="27:27" x14ac:dyDescent="0.45">
      <c r="AA329" s="24"/>
    </row>
    <row r="330" spans="27:27" x14ac:dyDescent="0.45">
      <c r="AA330" s="24"/>
    </row>
    <row r="331" spans="27:27" x14ac:dyDescent="0.45">
      <c r="AA331" s="24"/>
    </row>
    <row r="332" spans="27:27" x14ac:dyDescent="0.45">
      <c r="AA332" s="24"/>
    </row>
    <row r="333" spans="27:27" x14ac:dyDescent="0.45">
      <c r="AA333" s="24"/>
    </row>
    <row r="334" spans="27:27" x14ac:dyDescent="0.45">
      <c r="AA334" s="24"/>
    </row>
    <row r="335" spans="27:27" x14ac:dyDescent="0.45">
      <c r="AA335" s="24"/>
    </row>
    <row r="336" spans="27:27" x14ac:dyDescent="0.45">
      <c r="AA336" s="24"/>
    </row>
    <row r="337" spans="27:27" x14ac:dyDescent="0.45">
      <c r="AA337" s="24"/>
    </row>
    <row r="338" spans="27:27" x14ac:dyDescent="0.45">
      <c r="AA338" s="24"/>
    </row>
    <row r="339" spans="27:27" x14ac:dyDescent="0.45">
      <c r="AA339" s="24"/>
    </row>
    <row r="340" spans="27:27" x14ac:dyDescent="0.45">
      <c r="AA340" s="24"/>
    </row>
    <row r="341" spans="27:27" x14ac:dyDescent="0.45">
      <c r="AA341" s="24"/>
    </row>
    <row r="342" spans="27:27" x14ac:dyDescent="0.45">
      <c r="AA342" s="24"/>
    </row>
    <row r="343" spans="27:27" x14ac:dyDescent="0.45">
      <c r="AA343" s="24"/>
    </row>
    <row r="344" spans="27:27" x14ac:dyDescent="0.45">
      <c r="AA344" s="24"/>
    </row>
    <row r="345" spans="27:27" x14ac:dyDescent="0.45">
      <c r="AA345" s="24"/>
    </row>
    <row r="346" spans="27:27" x14ac:dyDescent="0.45">
      <c r="AA346" s="24"/>
    </row>
    <row r="347" spans="27:27" x14ac:dyDescent="0.45">
      <c r="AA347" s="24"/>
    </row>
    <row r="348" spans="27:27" x14ac:dyDescent="0.45">
      <c r="AA348" s="24"/>
    </row>
    <row r="349" spans="27:27" x14ac:dyDescent="0.45">
      <c r="AA349" s="24"/>
    </row>
    <row r="350" spans="27:27" x14ac:dyDescent="0.45">
      <c r="AA350" s="24"/>
    </row>
    <row r="351" spans="27:27" x14ac:dyDescent="0.45">
      <c r="AA351" s="24"/>
    </row>
    <row r="352" spans="27:27" x14ac:dyDescent="0.45">
      <c r="AA352" s="24"/>
    </row>
    <row r="353" spans="27:27" x14ac:dyDescent="0.45">
      <c r="AA353" s="24"/>
    </row>
    <row r="354" spans="27:27" x14ac:dyDescent="0.45">
      <c r="AA354" s="24"/>
    </row>
    <row r="355" spans="27:27" x14ac:dyDescent="0.45">
      <c r="AA355" s="24"/>
    </row>
    <row r="356" spans="27:27" x14ac:dyDescent="0.45">
      <c r="AA356" s="24"/>
    </row>
    <row r="357" spans="27:27" x14ac:dyDescent="0.45">
      <c r="AA357" s="24"/>
    </row>
    <row r="358" spans="27:27" x14ac:dyDescent="0.45">
      <c r="AA358" s="24"/>
    </row>
    <row r="359" spans="27:27" x14ac:dyDescent="0.45">
      <c r="AA359" s="24"/>
    </row>
    <row r="360" spans="27:27" x14ac:dyDescent="0.45">
      <c r="AA360" s="24"/>
    </row>
    <row r="361" spans="27:27" x14ac:dyDescent="0.45">
      <c r="AA361" s="24"/>
    </row>
    <row r="362" spans="27:27" x14ac:dyDescent="0.45">
      <c r="AA362" s="24"/>
    </row>
    <row r="363" spans="27:27" x14ac:dyDescent="0.45">
      <c r="AA363" s="24"/>
    </row>
    <row r="364" spans="27:27" x14ac:dyDescent="0.45">
      <c r="AA364" s="24"/>
    </row>
    <row r="365" spans="27:27" x14ac:dyDescent="0.45">
      <c r="AA365" s="24"/>
    </row>
    <row r="366" spans="27:27" x14ac:dyDescent="0.45">
      <c r="AA366" s="24"/>
    </row>
    <row r="367" spans="27:27" x14ac:dyDescent="0.45">
      <c r="AA367" s="24"/>
    </row>
    <row r="368" spans="27:27" x14ac:dyDescent="0.45">
      <c r="AA368" s="24"/>
    </row>
    <row r="369" spans="27:27" x14ac:dyDescent="0.45">
      <c r="AA369" s="24"/>
    </row>
    <row r="370" spans="27:27" x14ac:dyDescent="0.45">
      <c r="AA370" s="24"/>
    </row>
    <row r="371" spans="27:27" x14ac:dyDescent="0.45">
      <c r="AA371" s="24"/>
    </row>
    <row r="372" spans="27:27" x14ac:dyDescent="0.45">
      <c r="AA372" s="24"/>
    </row>
    <row r="373" spans="27:27" x14ac:dyDescent="0.45">
      <c r="AA373" s="24"/>
    </row>
    <row r="374" spans="27:27" x14ac:dyDescent="0.45">
      <c r="AA374" s="24"/>
    </row>
    <row r="375" spans="27:27" x14ac:dyDescent="0.45">
      <c r="AA375" s="24"/>
    </row>
    <row r="376" spans="27:27" x14ac:dyDescent="0.45">
      <c r="AA376" s="24"/>
    </row>
    <row r="377" spans="27:27" x14ac:dyDescent="0.45">
      <c r="AA377" s="24"/>
    </row>
    <row r="378" spans="27:27" x14ac:dyDescent="0.45">
      <c r="AA378" s="24"/>
    </row>
    <row r="379" spans="27:27" x14ac:dyDescent="0.45">
      <c r="AA379" s="24"/>
    </row>
    <row r="380" spans="27:27" x14ac:dyDescent="0.45">
      <c r="AA380" s="24"/>
    </row>
    <row r="381" spans="27:27" x14ac:dyDescent="0.45">
      <c r="AA381" s="24"/>
    </row>
    <row r="382" spans="27:27" x14ac:dyDescent="0.45">
      <c r="AA382" s="24"/>
    </row>
    <row r="383" spans="27:27" x14ac:dyDescent="0.45">
      <c r="AA383" s="24"/>
    </row>
    <row r="384" spans="27:27" x14ac:dyDescent="0.45">
      <c r="AA384" s="24"/>
    </row>
    <row r="385" spans="27:27" x14ac:dyDescent="0.45">
      <c r="AA385" s="24"/>
    </row>
    <row r="386" spans="27:27" x14ac:dyDescent="0.45">
      <c r="AA386" s="24"/>
    </row>
    <row r="387" spans="27:27" x14ac:dyDescent="0.45">
      <c r="AA387" s="24"/>
    </row>
    <row r="388" spans="27:27" x14ac:dyDescent="0.45">
      <c r="AA388" s="24"/>
    </row>
    <row r="389" spans="27:27" x14ac:dyDescent="0.45">
      <c r="AA389" s="24"/>
    </row>
    <row r="390" spans="27:27" x14ac:dyDescent="0.45">
      <c r="AA390" s="24"/>
    </row>
    <row r="391" spans="27:27" x14ac:dyDescent="0.45">
      <c r="AA391" s="24"/>
    </row>
    <row r="392" spans="27:27" x14ac:dyDescent="0.45">
      <c r="AA392" s="24"/>
    </row>
    <row r="393" spans="27:27" x14ac:dyDescent="0.45">
      <c r="AA393" s="24"/>
    </row>
    <row r="394" spans="27:27" x14ac:dyDescent="0.45">
      <c r="AA394" s="24"/>
    </row>
    <row r="395" spans="27:27" x14ac:dyDescent="0.45">
      <c r="AA395" s="24"/>
    </row>
    <row r="396" spans="27:27" x14ac:dyDescent="0.45">
      <c r="AA396" s="24"/>
    </row>
    <row r="397" spans="27:27" x14ac:dyDescent="0.45">
      <c r="AA397" s="24"/>
    </row>
    <row r="398" spans="27:27" x14ac:dyDescent="0.45">
      <c r="AA398" s="24"/>
    </row>
    <row r="399" spans="27:27" x14ac:dyDescent="0.45">
      <c r="AA399" s="24"/>
    </row>
    <row r="400" spans="27:27" x14ac:dyDescent="0.45">
      <c r="AA400" s="24"/>
    </row>
    <row r="401" spans="27:27" x14ac:dyDescent="0.45">
      <c r="AA401" s="24"/>
    </row>
    <row r="402" spans="27:27" x14ac:dyDescent="0.45">
      <c r="AA402" s="24"/>
    </row>
    <row r="403" spans="27:27" x14ac:dyDescent="0.45">
      <c r="AA403" s="24"/>
    </row>
    <row r="404" spans="27:27" x14ac:dyDescent="0.45">
      <c r="AA404" s="24"/>
    </row>
    <row r="405" spans="27:27" x14ac:dyDescent="0.45">
      <c r="AA405" s="24"/>
    </row>
    <row r="406" spans="27:27" x14ac:dyDescent="0.45">
      <c r="AA406" s="24"/>
    </row>
    <row r="407" spans="27:27" x14ac:dyDescent="0.45">
      <c r="AA407" s="24"/>
    </row>
    <row r="408" spans="27:27" x14ac:dyDescent="0.45">
      <c r="AA408" s="24"/>
    </row>
    <row r="409" spans="27:27" x14ac:dyDescent="0.45">
      <c r="AA409" s="24"/>
    </row>
    <row r="410" spans="27:27" x14ac:dyDescent="0.45">
      <c r="AA410" s="24"/>
    </row>
    <row r="411" spans="27:27" x14ac:dyDescent="0.45">
      <c r="AA411" s="24"/>
    </row>
    <row r="412" spans="27:27" x14ac:dyDescent="0.45">
      <c r="AA412" s="24"/>
    </row>
    <row r="413" spans="27:27" x14ac:dyDescent="0.45">
      <c r="AA413" s="24"/>
    </row>
    <row r="414" spans="27:27" x14ac:dyDescent="0.45">
      <c r="AA414" s="24"/>
    </row>
    <row r="415" spans="27:27" x14ac:dyDescent="0.45">
      <c r="AA415" s="24"/>
    </row>
    <row r="416" spans="27:27" x14ac:dyDescent="0.45">
      <c r="AA416" s="24"/>
    </row>
    <row r="417" spans="27:27" x14ac:dyDescent="0.45">
      <c r="AA417" s="24"/>
    </row>
    <row r="418" spans="27:27" x14ac:dyDescent="0.45">
      <c r="AA418" s="24"/>
    </row>
    <row r="419" spans="27:27" x14ac:dyDescent="0.45">
      <c r="AA419" s="24"/>
    </row>
    <row r="420" spans="27:27" x14ac:dyDescent="0.45">
      <c r="AA420" s="24"/>
    </row>
    <row r="421" spans="27:27" x14ac:dyDescent="0.45">
      <c r="AA421" s="24"/>
    </row>
    <row r="422" spans="27:27" x14ac:dyDescent="0.45">
      <c r="AA422" s="24"/>
    </row>
    <row r="423" spans="27:27" x14ac:dyDescent="0.45">
      <c r="AA423" s="24"/>
    </row>
    <row r="424" spans="27:27" x14ac:dyDescent="0.45">
      <c r="AA424" s="24"/>
    </row>
    <row r="425" spans="27:27" x14ac:dyDescent="0.45">
      <c r="AA425" s="24"/>
    </row>
    <row r="426" spans="27:27" x14ac:dyDescent="0.45">
      <c r="AA426" s="24"/>
    </row>
    <row r="427" spans="27:27" x14ac:dyDescent="0.45">
      <c r="AA427" s="24"/>
    </row>
    <row r="428" spans="27:27" x14ac:dyDescent="0.45">
      <c r="AA428" s="24"/>
    </row>
    <row r="429" spans="27:27" x14ac:dyDescent="0.45">
      <c r="AA429" s="24"/>
    </row>
    <row r="430" spans="27:27" x14ac:dyDescent="0.45">
      <c r="AA430" s="24"/>
    </row>
    <row r="431" spans="27:27" x14ac:dyDescent="0.45">
      <c r="AA431" s="24"/>
    </row>
    <row r="432" spans="27:27" x14ac:dyDescent="0.45">
      <c r="AA432" s="24"/>
    </row>
    <row r="433" spans="27:27" x14ac:dyDescent="0.45">
      <c r="AA433" s="24"/>
    </row>
    <row r="434" spans="27:27" x14ac:dyDescent="0.45">
      <c r="AA434" s="24"/>
    </row>
    <row r="435" spans="27:27" x14ac:dyDescent="0.45">
      <c r="AA435" s="24"/>
    </row>
    <row r="436" spans="27:27" x14ac:dyDescent="0.45">
      <c r="AA436" s="24"/>
    </row>
    <row r="437" spans="27:27" x14ac:dyDescent="0.45">
      <c r="AA437" s="24"/>
    </row>
    <row r="438" spans="27:27" x14ac:dyDescent="0.45">
      <c r="AA438" s="24"/>
    </row>
    <row r="439" spans="27:27" x14ac:dyDescent="0.45">
      <c r="AA439" s="24"/>
    </row>
    <row r="440" spans="27:27" x14ac:dyDescent="0.45">
      <c r="AA440" s="24"/>
    </row>
    <row r="441" spans="27:27" x14ac:dyDescent="0.45">
      <c r="AA441" s="24"/>
    </row>
    <row r="442" spans="27:27" x14ac:dyDescent="0.45">
      <c r="AA442" s="24"/>
    </row>
    <row r="443" spans="27:27" x14ac:dyDescent="0.45">
      <c r="AA443" s="24"/>
    </row>
    <row r="444" spans="27:27" x14ac:dyDescent="0.45">
      <c r="AA444" s="24"/>
    </row>
    <row r="445" spans="27:27" x14ac:dyDescent="0.45">
      <c r="AA445" s="24"/>
    </row>
    <row r="446" spans="27:27" x14ac:dyDescent="0.45">
      <c r="AA446" s="24"/>
    </row>
    <row r="447" spans="27:27" x14ac:dyDescent="0.45">
      <c r="AA447" s="24"/>
    </row>
    <row r="448" spans="27:27" x14ac:dyDescent="0.45">
      <c r="AA448" s="24"/>
    </row>
    <row r="449" spans="27:27" x14ac:dyDescent="0.45">
      <c r="AA449" s="24"/>
    </row>
    <row r="450" spans="27:27" x14ac:dyDescent="0.45">
      <c r="AA450" s="24"/>
    </row>
    <row r="451" spans="27:27" x14ac:dyDescent="0.45">
      <c r="AA451" s="24"/>
    </row>
    <row r="452" spans="27:27" x14ac:dyDescent="0.45">
      <c r="AA452" s="24"/>
    </row>
    <row r="453" spans="27:27" x14ac:dyDescent="0.45">
      <c r="AA453" s="24"/>
    </row>
    <row r="454" spans="27:27" x14ac:dyDescent="0.45">
      <c r="AA454" s="24"/>
    </row>
    <row r="455" spans="27:27" x14ac:dyDescent="0.45">
      <c r="AA455" s="24"/>
    </row>
    <row r="456" spans="27:27" x14ac:dyDescent="0.45">
      <c r="AA456" s="24"/>
    </row>
    <row r="457" spans="27:27" x14ac:dyDescent="0.45">
      <c r="AA457" s="24"/>
    </row>
    <row r="458" spans="27:27" x14ac:dyDescent="0.45">
      <c r="AA458" s="24"/>
    </row>
    <row r="459" spans="27:27" x14ac:dyDescent="0.45">
      <c r="AA459" s="24"/>
    </row>
    <row r="460" spans="27:27" x14ac:dyDescent="0.45">
      <c r="AA460" s="24"/>
    </row>
    <row r="461" spans="27:27" x14ac:dyDescent="0.45">
      <c r="AA461" s="24"/>
    </row>
    <row r="462" spans="27:27" x14ac:dyDescent="0.45">
      <c r="AA462" s="24"/>
    </row>
    <row r="463" spans="27:27" x14ac:dyDescent="0.45">
      <c r="AA463" s="24"/>
    </row>
    <row r="464" spans="27:27" x14ac:dyDescent="0.45">
      <c r="AA464" s="24"/>
    </row>
    <row r="465" spans="27:27" x14ac:dyDescent="0.45">
      <c r="AA465" s="24"/>
    </row>
    <row r="466" spans="27:27" x14ac:dyDescent="0.45">
      <c r="AA466" s="24"/>
    </row>
    <row r="467" spans="27:27" x14ac:dyDescent="0.45">
      <c r="AA467" s="24"/>
    </row>
    <row r="468" spans="27:27" x14ac:dyDescent="0.45">
      <c r="AA468" s="24"/>
    </row>
    <row r="469" spans="27:27" x14ac:dyDescent="0.45">
      <c r="AA469" s="24"/>
    </row>
    <row r="470" spans="27:27" x14ac:dyDescent="0.45">
      <c r="AA470" s="24"/>
    </row>
    <row r="471" spans="27:27" x14ac:dyDescent="0.45">
      <c r="AA471" s="24"/>
    </row>
    <row r="472" spans="27:27" x14ac:dyDescent="0.45">
      <c r="AA472" s="24"/>
    </row>
    <row r="473" spans="27:27" x14ac:dyDescent="0.45">
      <c r="AA473" s="24"/>
    </row>
    <row r="474" spans="27:27" x14ac:dyDescent="0.45">
      <c r="AA474" s="24"/>
    </row>
    <row r="475" spans="27:27" x14ac:dyDescent="0.45">
      <c r="AA475" s="24"/>
    </row>
    <row r="476" spans="27:27" x14ac:dyDescent="0.45">
      <c r="AA476" s="24"/>
    </row>
    <row r="477" spans="27:27" x14ac:dyDescent="0.45">
      <c r="AA477" s="24"/>
    </row>
    <row r="478" spans="27:27" x14ac:dyDescent="0.45">
      <c r="AA478" s="24"/>
    </row>
    <row r="479" spans="27:27" x14ac:dyDescent="0.45">
      <c r="AA479" s="24"/>
    </row>
    <row r="480" spans="27:27" x14ac:dyDescent="0.45">
      <c r="AA480" s="24"/>
    </row>
    <row r="481" spans="27:27" x14ac:dyDescent="0.45">
      <c r="AA481" s="24"/>
    </row>
    <row r="482" spans="27:27" x14ac:dyDescent="0.45">
      <c r="AA482" s="24"/>
    </row>
    <row r="483" spans="27:27" x14ac:dyDescent="0.45">
      <c r="AA483" s="24"/>
    </row>
    <row r="484" spans="27:27" x14ac:dyDescent="0.45">
      <c r="AA484" s="24"/>
    </row>
    <row r="485" spans="27:27" x14ac:dyDescent="0.45">
      <c r="AA485" s="24"/>
    </row>
    <row r="486" spans="27:27" x14ac:dyDescent="0.45">
      <c r="AA486" s="24"/>
    </row>
    <row r="487" spans="27:27" x14ac:dyDescent="0.45">
      <c r="AA487" s="24"/>
    </row>
    <row r="488" spans="27:27" x14ac:dyDescent="0.45">
      <c r="AA488" s="24"/>
    </row>
    <row r="489" spans="27:27" x14ac:dyDescent="0.45">
      <c r="AA489" s="24"/>
    </row>
    <row r="490" spans="27:27" x14ac:dyDescent="0.45">
      <c r="AA490" s="24"/>
    </row>
    <row r="491" spans="27:27" x14ac:dyDescent="0.45">
      <c r="AA491" s="24"/>
    </row>
    <row r="492" spans="27:27" x14ac:dyDescent="0.45">
      <c r="AA492" s="24"/>
    </row>
    <row r="493" spans="27:27" x14ac:dyDescent="0.45">
      <c r="AA493" s="24"/>
    </row>
    <row r="494" spans="27:27" x14ac:dyDescent="0.45">
      <c r="AA494" s="24"/>
    </row>
    <row r="495" spans="27:27" x14ac:dyDescent="0.45">
      <c r="AA495" s="24"/>
    </row>
    <row r="496" spans="27:27" x14ac:dyDescent="0.45">
      <c r="AA496" s="24"/>
    </row>
    <row r="497" spans="27:27" x14ac:dyDescent="0.45">
      <c r="AA497" s="24"/>
    </row>
    <row r="498" spans="27:27" x14ac:dyDescent="0.45">
      <c r="AA498" s="24"/>
    </row>
    <row r="499" spans="27:27" x14ac:dyDescent="0.45">
      <c r="AA499" s="24"/>
    </row>
    <row r="500" spans="27:27" x14ac:dyDescent="0.45">
      <c r="AA500" s="24"/>
    </row>
    <row r="501" spans="27:27" x14ac:dyDescent="0.45">
      <c r="AA501" s="24"/>
    </row>
    <row r="502" spans="27:27" x14ac:dyDescent="0.45">
      <c r="AA502" s="24"/>
    </row>
    <row r="503" spans="27:27" x14ac:dyDescent="0.45">
      <c r="AA503" s="24"/>
    </row>
    <row r="504" spans="27:27" x14ac:dyDescent="0.45">
      <c r="AA504" s="24"/>
    </row>
    <row r="505" spans="27:27" x14ac:dyDescent="0.45">
      <c r="AA505" s="24"/>
    </row>
    <row r="506" spans="27:27" x14ac:dyDescent="0.45">
      <c r="AA506" s="24"/>
    </row>
    <row r="507" spans="27:27" x14ac:dyDescent="0.45">
      <c r="AA507" s="24"/>
    </row>
    <row r="508" spans="27:27" x14ac:dyDescent="0.45">
      <c r="AA508" s="24"/>
    </row>
    <row r="509" spans="27:27" x14ac:dyDescent="0.45">
      <c r="AA509" s="24"/>
    </row>
    <row r="510" spans="27:27" x14ac:dyDescent="0.45">
      <c r="AA510" s="24"/>
    </row>
    <row r="511" spans="27:27" x14ac:dyDescent="0.45">
      <c r="AA511" s="24"/>
    </row>
    <row r="512" spans="27:27" x14ac:dyDescent="0.45">
      <c r="AA512" s="24"/>
    </row>
    <row r="513" spans="27:27" x14ac:dyDescent="0.45">
      <c r="AA513" s="24"/>
    </row>
    <row r="514" spans="27:27" x14ac:dyDescent="0.45">
      <c r="AA514" s="24"/>
    </row>
    <row r="515" spans="27:27" x14ac:dyDescent="0.45">
      <c r="AA515" s="24"/>
    </row>
    <row r="516" spans="27:27" x14ac:dyDescent="0.45">
      <c r="AA516" s="24"/>
    </row>
    <row r="517" spans="27:27" x14ac:dyDescent="0.45">
      <c r="AA517" s="24"/>
    </row>
    <row r="518" spans="27:27" x14ac:dyDescent="0.45">
      <c r="AA518" s="24"/>
    </row>
    <row r="519" spans="27:27" x14ac:dyDescent="0.45">
      <c r="AA519" s="24"/>
    </row>
    <row r="520" spans="27:27" x14ac:dyDescent="0.45">
      <c r="AA520" s="24"/>
    </row>
    <row r="521" spans="27:27" x14ac:dyDescent="0.45">
      <c r="AA521" s="24"/>
    </row>
    <row r="522" spans="27:27" x14ac:dyDescent="0.45">
      <c r="AA522" s="24"/>
    </row>
    <row r="523" spans="27:27" x14ac:dyDescent="0.45">
      <c r="AA523" s="24"/>
    </row>
    <row r="524" spans="27:27" x14ac:dyDescent="0.45">
      <c r="AA524" s="24"/>
    </row>
    <row r="525" spans="27:27" x14ac:dyDescent="0.45">
      <c r="AA525" s="24"/>
    </row>
    <row r="526" spans="27:27" x14ac:dyDescent="0.45">
      <c r="AA526" s="24"/>
    </row>
    <row r="527" spans="27:27" x14ac:dyDescent="0.45">
      <c r="AA527" s="24"/>
    </row>
    <row r="528" spans="27:27" x14ac:dyDescent="0.45">
      <c r="AA528" s="24"/>
    </row>
    <row r="529" spans="27:27" x14ac:dyDescent="0.45">
      <c r="AA529" s="24"/>
    </row>
    <row r="530" spans="27:27" x14ac:dyDescent="0.45">
      <c r="AA530" s="24"/>
    </row>
    <row r="531" spans="27:27" x14ac:dyDescent="0.45">
      <c r="AA531" s="24"/>
    </row>
    <row r="532" spans="27:27" x14ac:dyDescent="0.45">
      <c r="AA532" s="24"/>
    </row>
    <row r="533" spans="27:27" x14ac:dyDescent="0.45">
      <c r="AA533" s="24"/>
    </row>
    <row r="534" spans="27:27" x14ac:dyDescent="0.45">
      <c r="AA534" s="24"/>
    </row>
    <row r="535" spans="27:27" x14ac:dyDescent="0.45">
      <c r="AA535" s="24"/>
    </row>
    <row r="536" spans="27:27" x14ac:dyDescent="0.45">
      <c r="AA536" s="24"/>
    </row>
    <row r="537" spans="27:27" x14ac:dyDescent="0.45">
      <c r="AA537" s="24"/>
    </row>
    <row r="538" spans="27:27" x14ac:dyDescent="0.45">
      <c r="AA538" s="24"/>
    </row>
    <row r="539" spans="27:27" x14ac:dyDescent="0.45">
      <c r="AA539" s="24"/>
    </row>
    <row r="540" spans="27:27" x14ac:dyDescent="0.45">
      <c r="AA540" s="24"/>
    </row>
    <row r="541" spans="27:27" x14ac:dyDescent="0.45">
      <c r="AA541" s="24"/>
    </row>
    <row r="542" spans="27:27" x14ac:dyDescent="0.45">
      <c r="AA542" s="24"/>
    </row>
    <row r="543" spans="27:27" x14ac:dyDescent="0.45">
      <c r="AA543" s="24"/>
    </row>
    <row r="544" spans="27:27" x14ac:dyDescent="0.45">
      <c r="AA544" s="24"/>
    </row>
    <row r="545" spans="27:27" x14ac:dyDescent="0.45">
      <c r="AA545" s="24"/>
    </row>
    <row r="546" spans="27:27" x14ac:dyDescent="0.45">
      <c r="AA546" s="24"/>
    </row>
    <row r="547" spans="27:27" x14ac:dyDescent="0.45">
      <c r="AA547" s="24"/>
    </row>
    <row r="548" spans="27:27" x14ac:dyDescent="0.45">
      <c r="AA548" s="24"/>
    </row>
    <row r="549" spans="27:27" x14ac:dyDescent="0.45">
      <c r="AA549" s="24"/>
    </row>
    <row r="550" spans="27:27" x14ac:dyDescent="0.45">
      <c r="AA550" s="24"/>
    </row>
    <row r="551" spans="27:27" x14ac:dyDescent="0.45">
      <c r="AA551" s="24"/>
    </row>
    <row r="552" spans="27:27" x14ac:dyDescent="0.45">
      <c r="AA552" s="24"/>
    </row>
    <row r="553" spans="27:27" x14ac:dyDescent="0.45">
      <c r="AA553" s="24"/>
    </row>
    <row r="554" spans="27:27" x14ac:dyDescent="0.45">
      <c r="AA554" s="24"/>
    </row>
    <row r="555" spans="27:27" x14ac:dyDescent="0.45">
      <c r="AA555" s="24"/>
    </row>
    <row r="556" spans="27:27" x14ac:dyDescent="0.45">
      <c r="AA556" s="24"/>
    </row>
    <row r="557" spans="27:27" x14ac:dyDescent="0.45">
      <c r="AA557" s="24"/>
    </row>
    <row r="558" spans="27:27" x14ac:dyDescent="0.45">
      <c r="AA558" s="24"/>
    </row>
    <row r="559" spans="27:27" x14ac:dyDescent="0.45">
      <c r="AA559" s="24"/>
    </row>
    <row r="560" spans="27:27" x14ac:dyDescent="0.45">
      <c r="AA560" s="24"/>
    </row>
    <row r="561" spans="27:27" x14ac:dyDescent="0.45">
      <c r="AA561" s="24"/>
    </row>
    <row r="562" spans="27:27" x14ac:dyDescent="0.45">
      <c r="AA562" s="24"/>
    </row>
    <row r="563" spans="27:27" x14ac:dyDescent="0.45">
      <c r="AA563" s="24"/>
    </row>
    <row r="564" spans="27:27" x14ac:dyDescent="0.45">
      <c r="AA564" s="24"/>
    </row>
    <row r="565" spans="27:27" x14ac:dyDescent="0.45">
      <c r="AA565" s="24"/>
    </row>
    <row r="566" spans="27:27" x14ac:dyDescent="0.45">
      <c r="AA566" s="24"/>
    </row>
    <row r="567" spans="27:27" x14ac:dyDescent="0.45">
      <c r="AA567" s="24"/>
    </row>
    <row r="568" spans="27:27" x14ac:dyDescent="0.45">
      <c r="AA568" s="24"/>
    </row>
    <row r="569" spans="27:27" x14ac:dyDescent="0.45">
      <c r="AA569" s="24"/>
    </row>
    <row r="570" spans="27:27" x14ac:dyDescent="0.45">
      <c r="AA570" s="24"/>
    </row>
    <row r="571" spans="27:27" x14ac:dyDescent="0.45">
      <c r="AA571" s="24"/>
    </row>
    <row r="572" spans="27:27" x14ac:dyDescent="0.45">
      <c r="AA572" s="24"/>
    </row>
    <row r="573" spans="27:27" x14ac:dyDescent="0.45">
      <c r="AA573" s="24"/>
    </row>
    <row r="574" spans="27:27" x14ac:dyDescent="0.45">
      <c r="AA574" s="24"/>
    </row>
    <row r="575" spans="27:27" x14ac:dyDescent="0.45">
      <c r="AA575" s="24"/>
    </row>
    <row r="576" spans="27:27" x14ac:dyDescent="0.45">
      <c r="AA576" s="24"/>
    </row>
    <row r="577" spans="27:27" x14ac:dyDescent="0.45">
      <c r="AA577" s="24"/>
    </row>
    <row r="578" spans="27:27" x14ac:dyDescent="0.45">
      <c r="AA578" s="24"/>
    </row>
    <row r="579" spans="27:27" x14ac:dyDescent="0.45">
      <c r="AA579" s="24"/>
    </row>
    <row r="580" spans="27:27" x14ac:dyDescent="0.45">
      <c r="AA580" s="24"/>
    </row>
    <row r="581" spans="27:27" x14ac:dyDescent="0.45">
      <c r="AA581" s="24"/>
    </row>
    <row r="582" spans="27:27" x14ac:dyDescent="0.45">
      <c r="AA582" s="24"/>
    </row>
    <row r="583" spans="27:27" x14ac:dyDescent="0.45">
      <c r="AA583" s="24"/>
    </row>
    <row r="584" spans="27:27" x14ac:dyDescent="0.45">
      <c r="AA584" s="24"/>
    </row>
    <row r="585" spans="27:27" x14ac:dyDescent="0.45">
      <c r="AA585" s="24"/>
    </row>
    <row r="586" spans="27:27" x14ac:dyDescent="0.45">
      <c r="AA586" s="24"/>
    </row>
    <row r="587" spans="27:27" x14ac:dyDescent="0.45">
      <c r="AA587" s="24"/>
    </row>
    <row r="588" spans="27:27" x14ac:dyDescent="0.45">
      <c r="AA588" s="24"/>
    </row>
    <row r="589" spans="27:27" x14ac:dyDescent="0.45">
      <c r="AA589" s="24"/>
    </row>
    <row r="590" spans="27:27" x14ac:dyDescent="0.45">
      <c r="AA590" s="24"/>
    </row>
    <row r="591" spans="27:27" x14ac:dyDescent="0.45">
      <c r="AA591" s="24"/>
    </row>
    <row r="592" spans="27:27" x14ac:dyDescent="0.45">
      <c r="AA592" s="24"/>
    </row>
    <row r="593" spans="27:27" x14ac:dyDescent="0.45">
      <c r="AA593" s="24"/>
    </row>
    <row r="594" spans="27:27" x14ac:dyDescent="0.45">
      <c r="AA594" s="24"/>
    </row>
    <row r="595" spans="27:27" x14ac:dyDescent="0.45">
      <c r="AA595" s="24"/>
    </row>
    <row r="596" spans="27:27" x14ac:dyDescent="0.45">
      <c r="AA596" s="24"/>
    </row>
    <row r="597" spans="27:27" x14ac:dyDescent="0.45">
      <c r="AA597" s="24"/>
    </row>
    <row r="598" spans="27:27" x14ac:dyDescent="0.45">
      <c r="AA598" s="24"/>
    </row>
    <row r="599" spans="27:27" x14ac:dyDescent="0.45">
      <c r="AA599" s="24"/>
    </row>
    <row r="600" spans="27:27" x14ac:dyDescent="0.45">
      <c r="AA600" s="24"/>
    </row>
    <row r="601" spans="27:27" x14ac:dyDescent="0.45">
      <c r="AA601" s="24"/>
    </row>
    <row r="602" spans="27:27" x14ac:dyDescent="0.45">
      <c r="AA602" s="24"/>
    </row>
    <row r="603" spans="27:27" x14ac:dyDescent="0.45">
      <c r="AA603" s="24"/>
    </row>
    <row r="604" spans="27:27" x14ac:dyDescent="0.45">
      <c r="AA604" s="24"/>
    </row>
    <row r="605" spans="27:27" x14ac:dyDescent="0.45">
      <c r="AA605" s="24"/>
    </row>
    <row r="606" spans="27:27" x14ac:dyDescent="0.45">
      <c r="AA606" s="24"/>
    </row>
    <row r="607" spans="27:27" x14ac:dyDescent="0.45">
      <c r="AA607" s="24"/>
    </row>
    <row r="608" spans="27:27" x14ac:dyDescent="0.45">
      <c r="AA608" s="24"/>
    </row>
    <row r="609" spans="27:27" x14ac:dyDescent="0.45">
      <c r="AA609" s="24"/>
    </row>
    <row r="610" spans="27:27" x14ac:dyDescent="0.45">
      <c r="AA610" s="24"/>
    </row>
    <row r="611" spans="27:27" x14ac:dyDescent="0.45">
      <c r="AA611" s="24"/>
    </row>
    <row r="612" spans="27:27" x14ac:dyDescent="0.45">
      <c r="AA612" s="24"/>
    </row>
    <row r="613" spans="27:27" x14ac:dyDescent="0.45">
      <c r="AA613" s="24"/>
    </row>
    <row r="614" spans="27:27" x14ac:dyDescent="0.45">
      <c r="AA614" s="24"/>
    </row>
    <row r="615" spans="27:27" x14ac:dyDescent="0.45">
      <c r="AA615" s="24"/>
    </row>
    <row r="616" spans="27:27" x14ac:dyDescent="0.45">
      <c r="AA616" s="24"/>
    </row>
    <row r="617" spans="27:27" x14ac:dyDescent="0.45">
      <c r="AA617" s="24"/>
    </row>
    <row r="618" spans="27:27" x14ac:dyDescent="0.45">
      <c r="AA618" s="24"/>
    </row>
    <row r="619" spans="27:27" x14ac:dyDescent="0.45">
      <c r="AA619" s="24"/>
    </row>
    <row r="620" spans="27:27" x14ac:dyDescent="0.45">
      <c r="AA620" s="24"/>
    </row>
    <row r="621" spans="27:27" x14ac:dyDescent="0.45">
      <c r="AA621" s="24"/>
    </row>
    <row r="622" spans="27:27" x14ac:dyDescent="0.45">
      <c r="AA622" s="24"/>
    </row>
    <row r="623" spans="27:27" x14ac:dyDescent="0.45">
      <c r="AA623" s="24"/>
    </row>
    <row r="624" spans="27:27" x14ac:dyDescent="0.45">
      <c r="AA624" s="24"/>
    </row>
    <row r="625" spans="27:27" x14ac:dyDescent="0.45">
      <c r="AA625" s="24"/>
    </row>
    <row r="626" spans="27:27" x14ac:dyDescent="0.45">
      <c r="AA626" s="24"/>
    </row>
    <row r="627" spans="27:27" x14ac:dyDescent="0.45">
      <c r="AA627" s="24"/>
    </row>
    <row r="628" spans="27:27" x14ac:dyDescent="0.45">
      <c r="AA628" s="24"/>
    </row>
    <row r="629" spans="27:27" x14ac:dyDescent="0.45">
      <c r="AA629" s="24"/>
    </row>
    <row r="630" spans="27:27" x14ac:dyDescent="0.45">
      <c r="AA630" s="24"/>
    </row>
    <row r="631" spans="27:27" x14ac:dyDescent="0.45">
      <c r="AA631" s="24"/>
    </row>
    <row r="632" spans="27:27" x14ac:dyDescent="0.45">
      <c r="AA632" s="24"/>
    </row>
    <row r="633" spans="27:27" x14ac:dyDescent="0.45">
      <c r="AA633" s="24"/>
    </row>
    <row r="634" spans="27:27" x14ac:dyDescent="0.45">
      <c r="AA634" s="24"/>
    </row>
    <row r="635" spans="27:27" x14ac:dyDescent="0.45">
      <c r="AA635" s="24"/>
    </row>
    <row r="636" spans="27:27" x14ac:dyDescent="0.45">
      <c r="AA636" s="24"/>
    </row>
    <row r="637" spans="27:27" x14ac:dyDescent="0.45">
      <c r="AA637" s="24"/>
    </row>
    <row r="638" spans="27:27" x14ac:dyDescent="0.45">
      <c r="AA638" s="24"/>
    </row>
    <row r="639" spans="27:27" x14ac:dyDescent="0.45">
      <c r="AA639" s="24"/>
    </row>
    <row r="640" spans="27:27" x14ac:dyDescent="0.45">
      <c r="AA640" s="24"/>
    </row>
    <row r="641" spans="27:27" x14ac:dyDescent="0.45">
      <c r="AA641" s="24"/>
    </row>
    <row r="642" spans="27:27" x14ac:dyDescent="0.45">
      <c r="AA642" s="24"/>
    </row>
    <row r="643" spans="27:27" x14ac:dyDescent="0.45">
      <c r="AA643" s="24"/>
    </row>
    <row r="644" spans="27:27" x14ac:dyDescent="0.45">
      <c r="AA644" s="24"/>
    </row>
    <row r="645" spans="27:27" x14ac:dyDescent="0.45">
      <c r="AA645" s="24"/>
    </row>
    <row r="646" spans="27:27" x14ac:dyDescent="0.45">
      <c r="AA646" s="24"/>
    </row>
    <row r="647" spans="27:27" x14ac:dyDescent="0.45">
      <c r="AA647" s="24"/>
    </row>
    <row r="648" spans="27:27" x14ac:dyDescent="0.45">
      <c r="AA648" s="24"/>
    </row>
    <row r="649" spans="27:27" x14ac:dyDescent="0.45">
      <c r="AA649" s="24"/>
    </row>
    <row r="650" spans="27:27" x14ac:dyDescent="0.45">
      <c r="AA650" s="24"/>
    </row>
    <row r="651" spans="27:27" x14ac:dyDescent="0.45">
      <c r="AA651" s="24"/>
    </row>
    <row r="652" spans="27:27" x14ac:dyDescent="0.45">
      <c r="AA652" s="24"/>
    </row>
    <row r="653" spans="27:27" x14ac:dyDescent="0.45">
      <c r="AA653" s="24"/>
    </row>
    <row r="654" spans="27:27" x14ac:dyDescent="0.45">
      <c r="AA654" s="24"/>
    </row>
    <row r="655" spans="27:27" x14ac:dyDescent="0.45">
      <c r="AA655" s="24"/>
    </row>
    <row r="656" spans="27:27" x14ac:dyDescent="0.45">
      <c r="AA656" s="24"/>
    </row>
    <row r="657" spans="27:27" x14ac:dyDescent="0.45">
      <c r="AA657" s="24"/>
    </row>
    <row r="658" spans="27:27" x14ac:dyDescent="0.45">
      <c r="AA658" s="24"/>
    </row>
    <row r="659" spans="27:27" x14ac:dyDescent="0.45">
      <c r="AA659" s="24"/>
    </row>
    <row r="660" spans="27:27" x14ac:dyDescent="0.45">
      <c r="AA660" s="24"/>
    </row>
    <row r="661" spans="27:27" x14ac:dyDescent="0.45">
      <c r="AA661" s="24"/>
    </row>
    <row r="662" spans="27:27" x14ac:dyDescent="0.45">
      <c r="AA662" s="24"/>
    </row>
    <row r="663" spans="27:27" x14ac:dyDescent="0.45">
      <c r="AA663" s="24"/>
    </row>
    <row r="664" spans="27:27" x14ac:dyDescent="0.45">
      <c r="AA664" s="24"/>
    </row>
    <row r="665" spans="27:27" x14ac:dyDescent="0.45">
      <c r="AA665" s="24"/>
    </row>
    <row r="666" spans="27:27" x14ac:dyDescent="0.45">
      <c r="AA666" s="24"/>
    </row>
    <row r="667" spans="27:27" x14ac:dyDescent="0.45">
      <c r="AA667" s="24"/>
    </row>
    <row r="668" spans="27:27" x14ac:dyDescent="0.45">
      <c r="AA668" s="24"/>
    </row>
    <row r="669" spans="27:27" x14ac:dyDescent="0.45">
      <c r="AA669" s="24"/>
    </row>
    <row r="670" spans="27:27" x14ac:dyDescent="0.45">
      <c r="AA670" s="24"/>
    </row>
    <row r="671" spans="27:27" x14ac:dyDescent="0.45">
      <c r="AA671" s="24"/>
    </row>
    <row r="672" spans="27:27" x14ac:dyDescent="0.45">
      <c r="AA672" s="24"/>
    </row>
    <row r="673" spans="27:27" x14ac:dyDescent="0.45">
      <c r="AA673" s="24"/>
    </row>
    <row r="674" spans="27:27" x14ac:dyDescent="0.45">
      <c r="AA674" s="24"/>
    </row>
    <row r="675" spans="27:27" x14ac:dyDescent="0.45">
      <c r="AA675" s="24"/>
    </row>
    <row r="676" spans="27:27" x14ac:dyDescent="0.45">
      <c r="AA676" s="24"/>
    </row>
    <row r="677" spans="27:27" x14ac:dyDescent="0.45">
      <c r="AA677" s="24"/>
    </row>
    <row r="678" spans="27:27" x14ac:dyDescent="0.45">
      <c r="AA678" s="24"/>
    </row>
    <row r="679" spans="27:27" x14ac:dyDescent="0.45">
      <c r="AA679" s="24"/>
    </row>
    <row r="680" spans="27:27" x14ac:dyDescent="0.45">
      <c r="AA680" s="24"/>
    </row>
    <row r="681" spans="27:27" x14ac:dyDescent="0.45">
      <c r="AA681" s="24"/>
    </row>
    <row r="682" spans="27:27" x14ac:dyDescent="0.45">
      <c r="AA682" s="24"/>
    </row>
    <row r="683" spans="27:27" x14ac:dyDescent="0.45">
      <c r="AA683" s="24"/>
    </row>
    <row r="684" spans="27:27" x14ac:dyDescent="0.45">
      <c r="AA684" s="24"/>
    </row>
    <row r="685" spans="27:27" x14ac:dyDescent="0.45">
      <c r="AA685" s="24"/>
    </row>
    <row r="686" spans="27:27" x14ac:dyDescent="0.45">
      <c r="AA686" s="24"/>
    </row>
    <row r="687" spans="27:27" x14ac:dyDescent="0.45">
      <c r="AA687" s="24"/>
    </row>
    <row r="688" spans="27:27" x14ac:dyDescent="0.45">
      <c r="AA688" s="24"/>
    </row>
    <row r="689" spans="27:27" x14ac:dyDescent="0.45">
      <c r="AA689" s="24"/>
    </row>
    <row r="690" spans="27:27" x14ac:dyDescent="0.45">
      <c r="AA690" s="24"/>
    </row>
    <row r="691" spans="27:27" x14ac:dyDescent="0.45">
      <c r="AA691" s="24"/>
    </row>
    <row r="692" spans="27:27" x14ac:dyDescent="0.45">
      <c r="AA692" s="24"/>
    </row>
    <row r="693" spans="27:27" x14ac:dyDescent="0.45">
      <c r="AA693" s="24"/>
    </row>
    <row r="694" spans="27:27" x14ac:dyDescent="0.45">
      <c r="AA694" s="24"/>
    </row>
    <row r="695" spans="27:27" x14ac:dyDescent="0.45">
      <c r="AA695" s="24"/>
    </row>
    <row r="696" spans="27:27" x14ac:dyDescent="0.45">
      <c r="AA696" s="24"/>
    </row>
    <row r="697" spans="27:27" x14ac:dyDescent="0.45">
      <c r="AA697" s="24"/>
    </row>
    <row r="698" spans="27:27" x14ac:dyDescent="0.45">
      <c r="AA698" s="24"/>
    </row>
    <row r="699" spans="27:27" x14ac:dyDescent="0.45">
      <c r="AA699" s="24"/>
    </row>
    <row r="700" spans="27:27" x14ac:dyDescent="0.45">
      <c r="AA700" s="24"/>
    </row>
    <row r="701" spans="27:27" x14ac:dyDescent="0.45">
      <c r="AA701" s="24"/>
    </row>
    <row r="702" spans="27:27" x14ac:dyDescent="0.45">
      <c r="AA702" s="24"/>
    </row>
    <row r="703" spans="27:27" x14ac:dyDescent="0.45">
      <c r="AA703" s="24"/>
    </row>
    <row r="704" spans="27:27" x14ac:dyDescent="0.45">
      <c r="AA704" s="24"/>
    </row>
    <row r="705" spans="27:27" x14ac:dyDescent="0.45">
      <c r="AA705" s="24"/>
    </row>
    <row r="706" spans="27:27" x14ac:dyDescent="0.45">
      <c r="AA706" s="24"/>
    </row>
    <row r="707" spans="27:27" x14ac:dyDescent="0.45">
      <c r="AA707" s="24"/>
    </row>
    <row r="708" spans="27:27" x14ac:dyDescent="0.45">
      <c r="AA708" s="24"/>
    </row>
    <row r="709" spans="27:27" x14ac:dyDescent="0.45">
      <c r="AA709" s="24"/>
    </row>
    <row r="710" spans="27:27" x14ac:dyDescent="0.45">
      <c r="AA710" s="24"/>
    </row>
    <row r="711" spans="27:27" x14ac:dyDescent="0.45">
      <c r="AA711" s="24"/>
    </row>
    <row r="712" spans="27:27" x14ac:dyDescent="0.45">
      <c r="AA712" s="24"/>
    </row>
    <row r="713" spans="27:27" x14ac:dyDescent="0.45">
      <c r="AA713" s="24"/>
    </row>
    <row r="714" spans="27:27" x14ac:dyDescent="0.45">
      <c r="AA714" s="24"/>
    </row>
    <row r="715" spans="27:27" x14ac:dyDescent="0.45">
      <c r="AA715" s="24"/>
    </row>
    <row r="716" spans="27:27" x14ac:dyDescent="0.45">
      <c r="AA716" s="24"/>
    </row>
    <row r="717" spans="27:27" x14ac:dyDescent="0.45">
      <c r="AA717" s="24"/>
    </row>
    <row r="718" spans="27:27" x14ac:dyDescent="0.45">
      <c r="AA718" s="24"/>
    </row>
    <row r="719" spans="27:27" x14ac:dyDescent="0.45">
      <c r="AA719" s="24"/>
    </row>
    <row r="720" spans="27:27" x14ac:dyDescent="0.45">
      <c r="AA720" s="24"/>
    </row>
    <row r="721" spans="27:27" x14ac:dyDescent="0.45">
      <c r="AA721" s="24"/>
    </row>
    <row r="722" spans="27:27" x14ac:dyDescent="0.45">
      <c r="AA722" s="24"/>
    </row>
    <row r="723" spans="27:27" x14ac:dyDescent="0.45">
      <c r="AA723" s="24"/>
    </row>
    <row r="724" spans="27:27" x14ac:dyDescent="0.45">
      <c r="AA724" s="24"/>
    </row>
    <row r="725" spans="27:27" x14ac:dyDescent="0.45">
      <c r="AA725" s="24"/>
    </row>
    <row r="726" spans="27:27" x14ac:dyDescent="0.45">
      <c r="AA726" s="24"/>
    </row>
    <row r="727" spans="27:27" x14ac:dyDescent="0.45">
      <c r="AA727" s="24"/>
    </row>
    <row r="728" spans="27:27" x14ac:dyDescent="0.45">
      <c r="AA728" s="24"/>
    </row>
    <row r="729" spans="27:27" x14ac:dyDescent="0.45">
      <c r="AA729" s="24"/>
    </row>
    <row r="730" spans="27:27" x14ac:dyDescent="0.45">
      <c r="AA730" s="24"/>
    </row>
    <row r="731" spans="27:27" x14ac:dyDescent="0.45">
      <c r="AA731" s="24"/>
    </row>
    <row r="732" spans="27:27" x14ac:dyDescent="0.45">
      <c r="AA732" s="24"/>
    </row>
    <row r="733" spans="27:27" x14ac:dyDescent="0.45">
      <c r="AA733" s="24"/>
    </row>
    <row r="734" spans="27:27" x14ac:dyDescent="0.45">
      <c r="AA734" s="24"/>
    </row>
    <row r="735" spans="27:27" x14ac:dyDescent="0.45">
      <c r="AA735" s="24"/>
    </row>
    <row r="736" spans="27:27" x14ac:dyDescent="0.45">
      <c r="AA736" s="24"/>
    </row>
    <row r="737" spans="27:27" x14ac:dyDescent="0.45">
      <c r="AA737" s="24"/>
    </row>
    <row r="738" spans="27:27" x14ac:dyDescent="0.45">
      <c r="AA738" s="24"/>
    </row>
    <row r="739" spans="27:27" x14ac:dyDescent="0.45">
      <c r="AA739" s="24"/>
    </row>
    <row r="740" spans="27:27" x14ac:dyDescent="0.45">
      <c r="AA740" s="24"/>
    </row>
    <row r="741" spans="27:27" x14ac:dyDescent="0.45">
      <c r="AA741" s="24"/>
    </row>
    <row r="742" spans="27:27" x14ac:dyDescent="0.45">
      <c r="AA742" s="24"/>
    </row>
    <row r="743" spans="27:27" x14ac:dyDescent="0.45">
      <c r="AA743" s="24"/>
    </row>
    <row r="744" spans="27:27" x14ac:dyDescent="0.45">
      <c r="AA744" s="24"/>
    </row>
    <row r="745" spans="27:27" x14ac:dyDescent="0.45">
      <c r="AA745" s="24"/>
    </row>
    <row r="746" spans="27:27" x14ac:dyDescent="0.45">
      <c r="AA746" s="24"/>
    </row>
    <row r="747" spans="27:27" x14ac:dyDescent="0.45">
      <c r="AA747" s="24"/>
    </row>
    <row r="748" spans="27:27" x14ac:dyDescent="0.45">
      <c r="AA748" s="24"/>
    </row>
    <row r="749" spans="27:27" x14ac:dyDescent="0.45">
      <c r="AA749" s="24"/>
    </row>
    <row r="750" spans="27:27" x14ac:dyDescent="0.45">
      <c r="AA750" s="24"/>
    </row>
    <row r="751" spans="27:27" x14ac:dyDescent="0.45">
      <c r="AA751" s="24"/>
    </row>
    <row r="752" spans="27:27" x14ac:dyDescent="0.45">
      <c r="AA752" s="24"/>
    </row>
    <row r="753" spans="27:27" x14ac:dyDescent="0.45">
      <c r="AA753" s="24"/>
    </row>
    <row r="754" spans="27:27" x14ac:dyDescent="0.45">
      <c r="AA754" s="24"/>
    </row>
    <row r="755" spans="27:27" x14ac:dyDescent="0.45">
      <c r="AA755" s="24"/>
    </row>
    <row r="756" spans="27:27" x14ac:dyDescent="0.45">
      <c r="AA756" s="24"/>
    </row>
    <row r="757" spans="27:27" x14ac:dyDescent="0.45">
      <c r="AA757" s="24"/>
    </row>
    <row r="758" spans="27:27" x14ac:dyDescent="0.45">
      <c r="AA758" s="24"/>
    </row>
    <row r="759" spans="27:27" x14ac:dyDescent="0.45">
      <c r="AA759" s="24"/>
    </row>
    <row r="760" spans="27:27" x14ac:dyDescent="0.45">
      <c r="AA760" s="24"/>
    </row>
    <row r="761" spans="27:27" x14ac:dyDescent="0.45">
      <c r="AA761" s="24"/>
    </row>
    <row r="762" spans="27:27" x14ac:dyDescent="0.45">
      <c r="AA762" s="24"/>
    </row>
    <row r="763" spans="27:27" x14ac:dyDescent="0.45">
      <c r="AA763" s="24"/>
    </row>
    <row r="764" spans="27:27" x14ac:dyDescent="0.45">
      <c r="AA764" s="24"/>
    </row>
    <row r="765" spans="27:27" x14ac:dyDescent="0.45">
      <c r="AA765" s="24"/>
    </row>
    <row r="766" spans="27:27" x14ac:dyDescent="0.45">
      <c r="AA766" s="24"/>
    </row>
    <row r="767" spans="27:27" x14ac:dyDescent="0.45">
      <c r="AA767" s="24"/>
    </row>
    <row r="768" spans="27:27" x14ac:dyDescent="0.45">
      <c r="AA768" s="24"/>
    </row>
    <row r="769" spans="27:27" x14ac:dyDescent="0.45">
      <c r="AA769" s="24"/>
    </row>
    <row r="770" spans="27:27" x14ac:dyDescent="0.45">
      <c r="AA770" s="24"/>
    </row>
    <row r="771" spans="27:27" x14ac:dyDescent="0.45">
      <c r="AA771" s="24"/>
    </row>
    <row r="772" spans="27:27" x14ac:dyDescent="0.45">
      <c r="AA772" s="24"/>
    </row>
    <row r="773" spans="27:27" x14ac:dyDescent="0.45">
      <c r="AA773" s="24"/>
    </row>
    <row r="774" spans="27:27" x14ac:dyDescent="0.45">
      <c r="AA774" s="24"/>
    </row>
    <row r="775" spans="27:27" x14ac:dyDescent="0.45">
      <c r="AA775" s="24"/>
    </row>
    <row r="776" spans="27:27" x14ac:dyDescent="0.45">
      <c r="AA776" s="24"/>
    </row>
    <row r="777" spans="27:27" x14ac:dyDescent="0.45">
      <c r="AA777" s="24"/>
    </row>
    <row r="778" spans="27:27" x14ac:dyDescent="0.45">
      <c r="AA778" s="24"/>
    </row>
    <row r="779" spans="27:27" x14ac:dyDescent="0.45">
      <c r="AA779" s="24"/>
    </row>
    <row r="780" spans="27:27" x14ac:dyDescent="0.45">
      <c r="AA780" s="24"/>
    </row>
    <row r="781" spans="27:27" x14ac:dyDescent="0.45">
      <c r="AA781" s="24"/>
    </row>
    <row r="782" spans="27:27" x14ac:dyDescent="0.45">
      <c r="AA782" s="24"/>
    </row>
    <row r="783" spans="27:27" x14ac:dyDescent="0.45">
      <c r="AA783" s="24"/>
    </row>
    <row r="784" spans="27:27" x14ac:dyDescent="0.45">
      <c r="AA784" s="24"/>
    </row>
    <row r="785" spans="27:27" x14ac:dyDescent="0.45">
      <c r="AA785" s="24"/>
    </row>
    <row r="786" spans="27:27" x14ac:dyDescent="0.45">
      <c r="AA786" s="24"/>
    </row>
    <row r="787" spans="27:27" x14ac:dyDescent="0.45">
      <c r="AA787" s="24"/>
    </row>
    <row r="788" spans="27:27" x14ac:dyDescent="0.45">
      <c r="AA788" s="24"/>
    </row>
    <row r="789" spans="27:27" x14ac:dyDescent="0.45">
      <c r="AA789" s="24"/>
    </row>
    <row r="790" spans="27:27" x14ac:dyDescent="0.45">
      <c r="AA790" s="24"/>
    </row>
    <row r="791" spans="27:27" x14ac:dyDescent="0.45">
      <c r="AA791" s="24"/>
    </row>
    <row r="792" spans="27:27" x14ac:dyDescent="0.45">
      <c r="AA792" s="24"/>
    </row>
    <row r="793" spans="27:27" x14ac:dyDescent="0.45">
      <c r="AA793" s="24"/>
    </row>
    <row r="794" spans="27:27" x14ac:dyDescent="0.45">
      <c r="AA794" s="24"/>
    </row>
    <row r="795" spans="27:27" x14ac:dyDescent="0.45">
      <c r="AA795" s="24"/>
    </row>
    <row r="796" spans="27:27" x14ac:dyDescent="0.45">
      <c r="AA796" s="24"/>
    </row>
    <row r="797" spans="27:27" x14ac:dyDescent="0.45">
      <c r="AA797" s="24"/>
    </row>
    <row r="798" spans="27:27" x14ac:dyDescent="0.45">
      <c r="AA798" s="24"/>
    </row>
    <row r="799" spans="27:27" x14ac:dyDescent="0.45">
      <c r="AA799" s="24"/>
    </row>
    <row r="800" spans="27:27" x14ac:dyDescent="0.45">
      <c r="AA800" s="24"/>
    </row>
    <row r="801" spans="27:27" x14ac:dyDescent="0.45">
      <c r="AA801" s="24"/>
    </row>
    <row r="802" spans="27:27" x14ac:dyDescent="0.45">
      <c r="AA802" s="24"/>
    </row>
    <row r="803" spans="27:27" x14ac:dyDescent="0.45">
      <c r="AA803" s="24"/>
    </row>
    <row r="804" spans="27:27" x14ac:dyDescent="0.45">
      <c r="AA804" s="24"/>
    </row>
    <row r="805" spans="27:27" x14ac:dyDescent="0.45">
      <c r="AA805" s="24"/>
    </row>
    <row r="806" spans="27:27" x14ac:dyDescent="0.45">
      <c r="AA806" s="24"/>
    </row>
    <row r="807" spans="27:27" x14ac:dyDescent="0.45">
      <c r="AA807" s="24"/>
    </row>
    <row r="808" spans="27:27" x14ac:dyDescent="0.45">
      <c r="AA808" s="24"/>
    </row>
    <row r="809" spans="27:27" x14ac:dyDescent="0.45">
      <c r="AA809" s="24"/>
    </row>
    <row r="810" spans="27:27" x14ac:dyDescent="0.45">
      <c r="AA810" s="24"/>
    </row>
    <row r="811" spans="27:27" x14ac:dyDescent="0.45">
      <c r="AA811" s="24"/>
    </row>
    <row r="812" spans="27:27" x14ac:dyDescent="0.45">
      <c r="AA812" s="24"/>
    </row>
    <row r="813" spans="27:27" x14ac:dyDescent="0.45">
      <c r="AA813" s="24"/>
    </row>
    <row r="814" spans="27:27" x14ac:dyDescent="0.45">
      <c r="AA814" s="24"/>
    </row>
    <row r="815" spans="27:27" x14ac:dyDescent="0.45">
      <c r="AA815" s="24"/>
    </row>
    <row r="816" spans="27:27" x14ac:dyDescent="0.45">
      <c r="AA816" s="24"/>
    </row>
    <row r="817" spans="27:27" x14ac:dyDescent="0.45">
      <c r="AA817" s="24"/>
    </row>
    <row r="818" spans="27:27" x14ac:dyDescent="0.45">
      <c r="AA818" s="24"/>
    </row>
    <row r="819" spans="27:27" x14ac:dyDescent="0.45">
      <c r="AA819" s="24"/>
    </row>
    <row r="820" spans="27:27" x14ac:dyDescent="0.45">
      <c r="AA820" s="24"/>
    </row>
    <row r="821" spans="27:27" x14ac:dyDescent="0.45">
      <c r="AA821" s="24"/>
    </row>
    <row r="822" spans="27:27" x14ac:dyDescent="0.45">
      <c r="AA822" s="24"/>
    </row>
    <row r="823" spans="27:27" x14ac:dyDescent="0.45">
      <c r="AA823" s="24"/>
    </row>
    <row r="824" spans="27:27" x14ac:dyDescent="0.45">
      <c r="AA824" s="24"/>
    </row>
    <row r="825" spans="27:27" x14ac:dyDescent="0.45">
      <c r="AA825" s="24"/>
    </row>
    <row r="826" spans="27:27" x14ac:dyDescent="0.45">
      <c r="AA826" s="24"/>
    </row>
    <row r="827" spans="27:27" x14ac:dyDescent="0.45">
      <c r="AA827" s="24"/>
    </row>
    <row r="828" spans="27:27" x14ac:dyDescent="0.45">
      <c r="AA828" s="24"/>
    </row>
    <row r="829" spans="27:27" x14ac:dyDescent="0.45">
      <c r="AA829" s="24"/>
    </row>
    <row r="830" spans="27:27" x14ac:dyDescent="0.45">
      <c r="AA830" s="24"/>
    </row>
    <row r="831" spans="27:27" x14ac:dyDescent="0.45">
      <c r="AA831" s="24"/>
    </row>
    <row r="832" spans="27:27" x14ac:dyDescent="0.45">
      <c r="AA832" s="24"/>
    </row>
    <row r="833" spans="27:27" x14ac:dyDescent="0.45">
      <c r="AA833" s="24"/>
    </row>
    <row r="834" spans="27:27" x14ac:dyDescent="0.45">
      <c r="AA834" s="24"/>
    </row>
    <row r="835" spans="27:27" x14ac:dyDescent="0.45">
      <c r="AA835" s="24"/>
    </row>
    <row r="836" spans="27:27" x14ac:dyDescent="0.45">
      <c r="AA836" s="24"/>
    </row>
    <row r="837" spans="27:27" x14ac:dyDescent="0.45">
      <c r="AA837" s="24"/>
    </row>
    <row r="838" spans="27:27" x14ac:dyDescent="0.45">
      <c r="AA838" s="24"/>
    </row>
    <row r="839" spans="27:27" x14ac:dyDescent="0.45">
      <c r="AA839" s="24"/>
    </row>
    <row r="840" spans="27:27" x14ac:dyDescent="0.45">
      <c r="AA840" s="24"/>
    </row>
    <row r="841" spans="27:27" x14ac:dyDescent="0.45">
      <c r="AA841" s="24"/>
    </row>
    <row r="842" spans="27:27" x14ac:dyDescent="0.45">
      <c r="AA842" s="24"/>
    </row>
    <row r="843" spans="27:27" x14ac:dyDescent="0.45">
      <c r="AA843" s="24"/>
    </row>
    <row r="844" spans="27:27" x14ac:dyDescent="0.45">
      <c r="AA844" s="24"/>
    </row>
    <row r="845" spans="27:27" x14ac:dyDescent="0.45">
      <c r="AA845" s="24"/>
    </row>
    <row r="846" spans="27:27" x14ac:dyDescent="0.45">
      <c r="AA846" s="24"/>
    </row>
    <row r="847" spans="27:27" x14ac:dyDescent="0.45">
      <c r="AA847" s="24"/>
    </row>
    <row r="848" spans="27:27" x14ac:dyDescent="0.45">
      <c r="AA848" s="24"/>
    </row>
    <row r="849" spans="27:27" x14ac:dyDescent="0.45">
      <c r="AA849" s="24"/>
    </row>
    <row r="850" spans="27:27" x14ac:dyDescent="0.45">
      <c r="AA850" s="24"/>
    </row>
    <row r="851" spans="27:27" x14ac:dyDescent="0.45">
      <c r="AA851" s="24"/>
    </row>
    <row r="852" spans="27:27" x14ac:dyDescent="0.45">
      <c r="AA852" s="24"/>
    </row>
    <row r="853" spans="27:27" x14ac:dyDescent="0.45">
      <c r="AA853" s="24"/>
    </row>
    <row r="854" spans="27:27" x14ac:dyDescent="0.45">
      <c r="AA854" s="24"/>
    </row>
    <row r="855" spans="27:27" x14ac:dyDescent="0.45">
      <c r="AA855" s="24"/>
    </row>
    <row r="856" spans="27:27" x14ac:dyDescent="0.45">
      <c r="AA856" s="24"/>
    </row>
    <row r="857" spans="27:27" x14ac:dyDescent="0.45">
      <c r="AA857" s="24"/>
    </row>
    <row r="858" spans="27:27" x14ac:dyDescent="0.45">
      <c r="AA858" s="24"/>
    </row>
    <row r="859" spans="27:27" x14ac:dyDescent="0.45">
      <c r="AA859" s="24"/>
    </row>
    <row r="860" spans="27:27" x14ac:dyDescent="0.45">
      <c r="AA860" s="24"/>
    </row>
    <row r="861" spans="27:27" x14ac:dyDescent="0.45">
      <c r="AA861" s="24"/>
    </row>
    <row r="862" spans="27:27" x14ac:dyDescent="0.45">
      <c r="AA862" s="24"/>
    </row>
    <row r="863" spans="27:27" x14ac:dyDescent="0.45">
      <c r="AA863" s="24"/>
    </row>
    <row r="864" spans="27:27" x14ac:dyDescent="0.45">
      <c r="AA864" s="24"/>
    </row>
    <row r="865" spans="27:27" x14ac:dyDescent="0.45">
      <c r="AA865" s="24"/>
    </row>
    <row r="866" spans="27:27" x14ac:dyDescent="0.45">
      <c r="AA866" s="24"/>
    </row>
    <row r="867" spans="27:27" x14ac:dyDescent="0.45">
      <c r="AA867" s="24"/>
    </row>
    <row r="868" spans="27:27" x14ac:dyDescent="0.45">
      <c r="AA868" s="24"/>
    </row>
    <row r="869" spans="27:27" x14ac:dyDescent="0.45">
      <c r="AA869" s="24"/>
    </row>
    <row r="870" spans="27:27" x14ac:dyDescent="0.45">
      <c r="AA870" s="24"/>
    </row>
    <row r="871" spans="27:27" x14ac:dyDescent="0.45">
      <c r="AA871" s="24"/>
    </row>
    <row r="872" spans="27:27" x14ac:dyDescent="0.45">
      <c r="AA872" s="24"/>
    </row>
    <row r="873" spans="27:27" x14ac:dyDescent="0.45">
      <c r="AA873" s="24"/>
    </row>
    <row r="874" spans="27:27" x14ac:dyDescent="0.45">
      <c r="AA874" s="24"/>
    </row>
    <row r="875" spans="27:27" x14ac:dyDescent="0.45">
      <c r="AA875" s="24"/>
    </row>
    <row r="876" spans="27:27" x14ac:dyDescent="0.45">
      <c r="AA876" s="24"/>
    </row>
    <row r="877" spans="27:27" x14ac:dyDescent="0.45">
      <c r="AA877" s="24"/>
    </row>
    <row r="878" spans="27:27" x14ac:dyDescent="0.45">
      <c r="AA878" s="24"/>
    </row>
    <row r="879" spans="27:27" x14ac:dyDescent="0.45">
      <c r="AA879" s="24"/>
    </row>
    <row r="880" spans="27:27" x14ac:dyDescent="0.45">
      <c r="AA880" s="24"/>
    </row>
    <row r="881" spans="27:27" x14ac:dyDescent="0.45">
      <c r="AA881" s="24"/>
    </row>
    <row r="882" spans="27:27" x14ac:dyDescent="0.45">
      <c r="AA882" s="24"/>
    </row>
    <row r="883" spans="27:27" x14ac:dyDescent="0.45">
      <c r="AA883" s="24"/>
    </row>
    <row r="884" spans="27:27" x14ac:dyDescent="0.45">
      <c r="AA884" s="24"/>
    </row>
    <row r="885" spans="27:27" x14ac:dyDescent="0.45">
      <c r="AA885" s="24"/>
    </row>
    <row r="886" spans="27:27" x14ac:dyDescent="0.45">
      <c r="AA886" s="24"/>
    </row>
    <row r="887" spans="27:27" x14ac:dyDescent="0.45">
      <c r="AA887" s="24"/>
    </row>
    <row r="888" spans="27:27" x14ac:dyDescent="0.45">
      <c r="AA888" s="24"/>
    </row>
    <row r="889" spans="27:27" x14ac:dyDescent="0.45">
      <c r="AA889" s="24"/>
    </row>
    <row r="890" spans="27:27" x14ac:dyDescent="0.45">
      <c r="AA890" s="24"/>
    </row>
    <row r="891" spans="27:27" x14ac:dyDescent="0.45">
      <c r="AA891" s="24"/>
    </row>
    <row r="892" spans="27:27" x14ac:dyDescent="0.45">
      <c r="AA892" s="24"/>
    </row>
    <row r="893" spans="27:27" x14ac:dyDescent="0.45">
      <c r="AA893" s="24"/>
    </row>
    <row r="894" spans="27:27" x14ac:dyDescent="0.45">
      <c r="AA894" s="24"/>
    </row>
    <row r="895" spans="27:27" x14ac:dyDescent="0.45">
      <c r="AA895" s="24"/>
    </row>
    <row r="896" spans="27:27" x14ac:dyDescent="0.45">
      <c r="AA896" s="24"/>
    </row>
    <row r="897" spans="27:27" x14ac:dyDescent="0.45">
      <c r="AA897" s="24"/>
    </row>
    <row r="898" spans="27:27" x14ac:dyDescent="0.45">
      <c r="AA898" s="24"/>
    </row>
    <row r="899" spans="27:27" x14ac:dyDescent="0.45">
      <c r="AA899" s="24"/>
    </row>
    <row r="900" spans="27:27" x14ac:dyDescent="0.45">
      <c r="AA900" s="24"/>
    </row>
    <row r="901" spans="27:27" x14ac:dyDescent="0.45">
      <c r="AA901" s="24"/>
    </row>
    <row r="902" spans="27:27" x14ac:dyDescent="0.45">
      <c r="AA902" s="24"/>
    </row>
    <row r="903" spans="27:27" x14ac:dyDescent="0.45">
      <c r="AA903" s="24"/>
    </row>
    <row r="904" spans="27:27" x14ac:dyDescent="0.45">
      <c r="AA904" s="24"/>
    </row>
    <row r="905" spans="27:27" x14ac:dyDescent="0.45">
      <c r="AA905" s="24"/>
    </row>
    <row r="906" spans="27:27" x14ac:dyDescent="0.45">
      <c r="AA906" s="24"/>
    </row>
    <row r="907" spans="27:27" x14ac:dyDescent="0.45">
      <c r="AA907" s="24"/>
    </row>
    <row r="908" spans="27:27" x14ac:dyDescent="0.45">
      <c r="AA908" s="24"/>
    </row>
    <row r="909" spans="27:27" x14ac:dyDescent="0.45">
      <c r="AA909" s="24"/>
    </row>
    <row r="910" spans="27:27" x14ac:dyDescent="0.45">
      <c r="AA910" s="24"/>
    </row>
    <row r="911" spans="27:27" x14ac:dyDescent="0.45">
      <c r="AA911" s="24"/>
    </row>
    <row r="912" spans="27:27" x14ac:dyDescent="0.45">
      <c r="AA912" s="24"/>
    </row>
    <row r="913" spans="27:27" x14ac:dyDescent="0.45">
      <c r="AA913" s="24"/>
    </row>
    <row r="914" spans="27:27" x14ac:dyDescent="0.45">
      <c r="AA914" s="24"/>
    </row>
    <row r="915" spans="27:27" x14ac:dyDescent="0.45">
      <c r="AA915" s="24"/>
    </row>
    <row r="916" spans="27:27" x14ac:dyDescent="0.45">
      <c r="AA916" s="24"/>
    </row>
    <row r="917" spans="27:27" x14ac:dyDescent="0.45">
      <c r="AA917" s="24"/>
    </row>
    <row r="918" spans="27:27" x14ac:dyDescent="0.45">
      <c r="AA918" s="24"/>
    </row>
    <row r="919" spans="27:27" x14ac:dyDescent="0.45">
      <c r="AA919" s="24"/>
    </row>
    <row r="920" spans="27:27" x14ac:dyDescent="0.45">
      <c r="AA920" s="24"/>
    </row>
    <row r="921" spans="27:27" x14ac:dyDescent="0.45">
      <c r="AA921" s="24"/>
    </row>
    <row r="922" spans="27:27" x14ac:dyDescent="0.45">
      <c r="AA922" s="24"/>
    </row>
    <row r="923" spans="27:27" x14ac:dyDescent="0.45">
      <c r="AA923" s="24"/>
    </row>
    <row r="924" spans="27:27" x14ac:dyDescent="0.45">
      <c r="AA924" s="24"/>
    </row>
    <row r="925" spans="27:27" x14ac:dyDescent="0.45">
      <c r="AA925" s="24"/>
    </row>
    <row r="926" spans="27:27" x14ac:dyDescent="0.45">
      <c r="AA926" s="24"/>
    </row>
    <row r="927" spans="27:27" x14ac:dyDescent="0.45">
      <c r="AA927" s="24"/>
    </row>
    <row r="928" spans="27:27" x14ac:dyDescent="0.45">
      <c r="AA928" s="24"/>
    </row>
    <row r="929" spans="27:27" x14ac:dyDescent="0.45">
      <c r="AA929" s="24"/>
    </row>
    <row r="930" spans="27:27" x14ac:dyDescent="0.45">
      <c r="AA930" s="24"/>
    </row>
    <row r="931" spans="27:27" x14ac:dyDescent="0.45">
      <c r="AA931" s="24"/>
    </row>
    <row r="932" spans="27:27" x14ac:dyDescent="0.45">
      <c r="AA932" s="24"/>
    </row>
    <row r="933" spans="27:27" x14ac:dyDescent="0.45">
      <c r="AA933" s="24"/>
    </row>
    <row r="934" spans="27:27" x14ac:dyDescent="0.45">
      <c r="AA934" s="24"/>
    </row>
    <row r="935" spans="27:27" x14ac:dyDescent="0.45">
      <c r="AA935" s="24"/>
    </row>
    <row r="936" spans="27:27" x14ac:dyDescent="0.45">
      <c r="AA936" s="24"/>
    </row>
    <row r="937" spans="27:27" x14ac:dyDescent="0.45">
      <c r="AA937" s="24"/>
    </row>
    <row r="938" spans="27:27" x14ac:dyDescent="0.45">
      <c r="AA938" s="24"/>
    </row>
    <row r="939" spans="27:27" x14ac:dyDescent="0.45">
      <c r="AA939" s="24"/>
    </row>
    <row r="940" spans="27:27" x14ac:dyDescent="0.45">
      <c r="AA940" s="24"/>
    </row>
    <row r="941" spans="27:27" x14ac:dyDescent="0.45">
      <c r="AA941" s="24"/>
    </row>
    <row r="942" spans="27:27" x14ac:dyDescent="0.45">
      <c r="AA942" s="24"/>
    </row>
    <row r="943" spans="27:27" x14ac:dyDescent="0.45">
      <c r="AA943" s="24"/>
    </row>
    <row r="944" spans="27:27" x14ac:dyDescent="0.45">
      <c r="AA944" s="24"/>
    </row>
    <row r="945" spans="27:27" x14ac:dyDescent="0.45">
      <c r="AA945" s="24"/>
    </row>
    <row r="946" spans="27:27" x14ac:dyDescent="0.45">
      <c r="AA946" s="24"/>
    </row>
    <row r="947" spans="27:27" x14ac:dyDescent="0.45">
      <c r="AA947" s="24"/>
    </row>
    <row r="948" spans="27:27" x14ac:dyDescent="0.45">
      <c r="AA948" s="24"/>
    </row>
    <row r="949" spans="27:27" x14ac:dyDescent="0.45">
      <c r="AA949" s="24"/>
    </row>
    <row r="950" spans="27:27" x14ac:dyDescent="0.45">
      <c r="AA950" s="24"/>
    </row>
    <row r="951" spans="27:27" x14ac:dyDescent="0.45">
      <c r="AA951" s="24"/>
    </row>
    <row r="952" spans="27:27" x14ac:dyDescent="0.45">
      <c r="AA952" s="24"/>
    </row>
    <row r="953" spans="27:27" x14ac:dyDescent="0.45">
      <c r="AA953" s="24"/>
    </row>
    <row r="954" spans="27:27" x14ac:dyDescent="0.45">
      <c r="AA954" s="24"/>
    </row>
    <row r="955" spans="27:27" x14ac:dyDescent="0.45">
      <c r="AA955" s="24"/>
    </row>
    <row r="956" spans="27:27" x14ac:dyDescent="0.45">
      <c r="AA956" s="24"/>
    </row>
    <row r="957" spans="27:27" x14ac:dyDescent="0.45">
      <c r="AA957" s="24"/>
    </row>
    <row r="958" spans="27:27" x14ac:dyDescent="0.45">
      <c r="AA958" s="24"/>
    </row>
    <row r="959" spans="27:27" x14ac:dyDescent="0.45">
      <c r="AA959" s="24"/>
    </row>
    <row r="960" spans="27:27" x14ac:dyDescent="0.45">
      <c r="AA960" s="24"/>
    </row>
    <row r="961" spans="27:27" x14ac:dyDescent="0.45">
      <c r="AA961" s="24"/>
    </row>
    <row r="962" spans="27:27" x14ac:dyDescent="0.45">
      <c r="AA962" s="24"/>
    </row>
    <row r="963" spans="27:27" x14ac:dyDescent="0.45">
      <c r="AA963" s="24"/>
    </row>
    <row r="964" spans="27:27" x14ac:dyDescent="0.45">
      <c r="AA964" s="24"/>
    </row>
    <row r="965" spans="27:27" x14ac:dyDescent="0.45">
      <c r="AA965" s="24"/>
    </row>
    <row r="966" spans="27:27" x14ac:dyDescent="0.45">
      <c r="AA966" s="24"/>
    </row>
    <row r="967" spans="27:27" x14ac:dyDescent="0.45">
      <c r="AA967" s="24"/>
    </row>
    <row r="968" spans="27:27" x14ac:dyDescent="0.45">
      <c r="AA968" s="24"/>
    </row>
    <row r="969" spans="27:27" x14ac:dyDescent="0.45">
      <c r="AA969" s="24"/>
    </row>
    <row r="970" spans="27:27" x14ac:dyDescent="0.45">
      <c r="AA970" s="24"/>
    </row>
    <row r="971" spans="27:27" x14ac:dyDescent="0.45">
      <c r="AA971" s="24"/>
    </row>
    <row r="972" spans="27:27" x14ac:dyDescent="0.45">
      <c r="AA972" s="24"/>
    </row>
    <row r="973" spans="27:27" x14ac:dyDescent="0.45">
      <c r="AA973" s="24"/>
    </row>
    <row r="974" spans="27:27" x14ac:dyDescent="0.45">
      <c r="AA974" s="24"/>
    </row>
    <row r="975" spans="27:27" x14ac:dyDescent="0.45">
      <c r="AA975" s="24"/>
    </row>
    <row r="976" spans="27:27" x14ac:dyDescent="0.45">
      <c r="AA976" s="24"/>
    </row>
    <row r="977" spans="27:27" x14ac:dyDescent="0.45">
      <c r="AA977" s="24"/>
    </row>
    <row r="978" spans="27:27" x14ac:dyDescent="0.45">
      <c r="AA978" s="24"/>
    </row>
    <row r="979" spans="27:27" x14ac:dyDescent="0.45">
      <c r="AA979" s="24"/>
    </row>
    <row r="980" spans="27:27" x14ac:dyDescent="0.45">
      <c r="AA980" s="24"/>
    </row>
    <row r="981" spans="27:27" x14ac:dyDescent="0.45">
      <c r="AA981" s="24"/>
    </row>
    <row r="982" spans="27:27" x14ac:dyDescent="0.45">
      <c r="AA982" s="24"/>
    </row>
    <row r="983" spans="27:27" x14ac:dyDescent="0.45">
      <c r="AA983" s="24"/>
    </row>
    <row r="984" spans="27:27" x14ac:dyDescent="0.45">
      <c r="AA984" s="24"/>
    </row>
    <row r="985" spans="27:27" x14ac:dyDescent="0.45">
      <c r="AA985" s="24"/>
    </row>
    <row r="986" spans="27:27" x14ac:dyDescent="0.45">
      <c r="AA986" s="24"/>
    </row>
    <row r="987" spans="27:27" x14ac:dyDescent="0.45">
      <c r="AA987" s="24"/>
    </row>
    <row r="988" spans="27:27" x14ac:dyDescent="0.45">
      <c r="AA988" s="24"/>
    </row>
    <row r="989" spans="27:27" x14ac:dyDescent="0.45">
      <c r="AA989" s="24"/>
    </row>
    <row r="990" spans="27:27" x14ac:dyDescent="0.45">
      <c r="AA990" s="24"/>
    </row>
    <row r="991" spans="27:27" x14ac:dyDescent="0.45">
      <c r="AA991" s="24"/>
    </row>
    <row r="992" spans="27:27" x14ac:dyDescent="0.45">
      <c r="AA992" s="24"/>
    </row>
    <row r="993" spans="27:27" x14ac:dyDescent="0.45">
      <c r="AA993" s="24"/>
    </row>
    <row r="994" spans="27:27" x14ac:dyDescent="0.45">
      <c r="AA994" s="24"/>
    </row>
    <row r="995" spans="27:27" x14ac:dyDescent="0.45">
      <c r="AA995" s="24"/>
    </row>
    <row r="996" spans="27:27" x14ac:dyDescent="0.45">
      <c r="AA996" s="24"/>
    </row>
    <row r="997" spans="27:27" x14ac:dyDescent="0.45">
      <c r="AA997" s="24"/>
    </row>
    <row r="998" spans="27:27" x14ac:dyDescent="0.45">
      <c r="AA998" s="24"/>
    </row>
    <row r="999" spans="27:27" x14ac:dyDescent="0.45">
      <c r="AA999" s="24"/>
    </row>
    <row r="1000" spans="27:27" x14ac:dyDescent="0.45">
      <c r="AA1000" s="24"/>
    </row>
    <row r="1001" spans="27:27" x14ac:dyDescent="0.45">
      <c r="AA1001" s="24"/>
    </row>
    <row r="1002" spans="27:27" x14ac:dyDescent="0.45">
      <c r="AA1002" s="24"/>
    </row>
    <row r="1003" spans="27:27" x14ac:dyDescent="0.45">
      <c r="AA1003" s="24"/>
    </row>
    <row r="1004" spans="27:27" x14ac:dyDescent="0.45">
      <c r="AA1004" s="24"/>
    </row>
    <row r="1005" spans="27:27" x14ac:dyDescent="0.45">
      <c r="AA1005" s="24"/>
    </row>
    <row r="1006" spans="27:27" x14ac:dyDescent="0.45">
      <c r="AA1006" s="24"/>
    </row>
    <row r="1007" spans="27:27" x14ac:dyDescent="0.45">
      <c r="AA1007" s="24"/>
    </row>
    <row r="1008" spans="27:27" x14ac:dyDescent="0.45">
      <c r="AA1008" s="24"/>
    </row>
    <row r="1009" spans="27:27" x14ac:dyDescent="0.45">
      <c r="AA1009" s="24"/>
    </row>
    <row r="1010" spans="27:27" x14ac:dyDescent="0.45">
      <c r="AA1010" s="24"/>
    </row>
    <row r="1011" spans="27:27" x14ac:dyDescent="0.45">
      <c r="AA1011" s="24"/>
    </row>
    <row r="1012" spans="27:27" x14ac:dyDescent="0.45">
      <c r="AA1012" s="24"/>
    </row>
    <row r="1013" spans="27:27" x14ac:dyDescent="0.45">
      <c r="AA1013" s="24"/>
    </row>
    <row r="1014" spans="27:27" x14ac:dyDescent="0.45">
      <c r="AA1014" s="24"/>
    </row>
    <row r="1015" spans="27:27" x14ac:dyDescent="0.45">
      <c r="AA1015" s="24"/>
    </row>
    <row r="1016" spans="27:27" x14ac:dyDescent="0.45">
      <c r="AA1016" s="24"/>
    </row>
    <row r="1017" spans="27:27" x14ac:dyDescent="0.45">
      <c r="AA1017" s="24"/>
    </row>
    <row r="1018" spans="27:27" x14ac:dyDescent="0.45">
      <c r="AA1018" s="24"/>
    </row>
    <row r="1019" spans="27:27" x14ac:dyDescent="0.45">
      <c r="AA1019" s="24"/>
    </row>
    <row r="1020" spans="27:27" x14ac:dyDescent="0.45">
      <c r="AA1020" s="24"/>
    </row>
    <row r="1021" spans="27:27" x14ac:dyDescent="0.45">
      <c r="AA1021" s="24"/>
    </row>
    <row r="1022" spans="27:27" x14ac:dyDescent="0.45">
      <c r="AA1022" s="24"/>
    </row>
    <row r="1023" spans="27:27" x14ac:dyDescent="0.45">
      <c r="AA1023" s="24"/>
    </row>
    <row r="1024" spans="27:27" x14ac:dyDescent="0.45">
      <c r="AA1024" s="24"/>
    </row>
    <row r="1025" spans="27:27" x14ac:dyDescent="0.45">
      <c r="AA1025" s="24"/>
    </row>
    <row r="1026" spans="27:27" x14ac:dyDescent="0.45">
      <c r="AA1026" s="24"/>
    </row>
    <row r="1027" spans="27:27" x14ac:dyDescent="0.45">
      <c r="AA1027" s="24"/>
    </row>
    <row r="1028" spans="27:27" x14ac:dyDescent="0.45">
      <c r="AA1028" s="24"/>
    </row>
  </sheetData>
  <mergeCells count="4">
    <mergeCell ref="D1:H1"/>
    <mergeCell ref="H7:H81"/>
    <mergeCell ref="R7:R81"/>
    <mergeCell ref="N1:R1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5C77-3E55-4DA2-82CD-AA2C11E859BC}">
  <dimension ref="B1:Q99"/>
  <sheetViews>
    <sheetView topLeftCell="F1" zoomScale="74" zoomScaleNormal="40" workbookViewId="0">
      <selection activeCell="P1" sqref="P1:P1048576"/>
    </sheetView>
  </sheetViews>
  <sheetFormatPr defaultRowHeight="14.25" x14ac:dyDescent="0.45"/>
  <cols>
    <col min="2" max="2" width="13.19921875" customWidth="1"/>
    <col min="3" max="3" width="13.06640625" customWidth="1"/>
    <col min="7" max="7" width="13.19921875" customWidth="1"/>
    <col min="8" max="8" width="13.06640625" customWidth="1"/>
    <col min="13" max="13" width="13.19921875" customWidth="1"/>
    <col min="14" max="14" width="13.06640625" customWidth="1"/>
  </cols>
  <sheetData>
    <row r="1" spans="2:17" x14ac:dyDescent="0.45">
      <c r="B1" s="68" t="s">
        <v>14</v>
      </c>
      <c r="C1" s="68" t="s">
        <v>3</v>
      </c>
      <c r="D1" s="69" t="s">
        <v>0</v>
      </c>
      <c r="E1" s="68" t="s">
        <v>15</v>
      </c>
      <c r="G1" s="22" t="s">
        <v>14</v>
      </c>
      <c r="H1" s="22" t="s">
        <v>3</v>
      </c>
      <c r="I1" s="21" t="s">
        <v>0</v>
      </c>
      <c r="J1" s="22" t="s">
        <v>15</v>
      </c>
      <c r="M1" s="47" t="s">
        <v>14</v>
      </c>
      <c r="N1" s="47" t="s">
        <v>3</v>
      </c>
      <c r="O1" s="48" t="s">
        <v>0</v>
      </c>
      <c r="P1" s="47" t="s">
        <v>15</v>
      </c>
      <c r="Q1" s="91" t="s">
        <v>118</v>
      </c>
    </row>
    <row r="2" spans="2:17" x14ac:dyDescent="0.45">
      <c r="B2" s="64">
        <v>43101</v>
      </c>
      <c r="C2" s="67">
        <v>13910.2</v>
      </c>
      <c r="D2" s="66"/>
      <c r="E2" s="65"/>
      <c r="G2" s="38">
        <v>43101</v>
      </c>
      <c r="H2" s="39">
        <v>13910.2</v>
      </c>
      <c r="I2" s="19">
        <v>0</v>
      </c>
      <c r="J2" s="20"/>
      <c r="M2" s="49">
        <v>43101</v>
      </c>
      <c r="N2" s="50">
        <v>13910.2</v>
      </c>
      <c r="O2" s="51">
        <v>0</v>
      </c>
      <c r="P2" s="52"/>
    </row>
    <row r="3" spans="2:17" x14ac:dyDescent="0.45">
      <c r="B3" s="64">
        <v>43132</v>
      </c>
      <c r="C3" s="67">
        <v>13947.2</v>
      </c>
      <c r="D3" s="66">
        <v>49</v>
      </c>
      <c r="E3" s="65">
        <v>0</v>
      </c>
      <c r="G3" s="38">
        <v>43132</v>
      </c>
      <c r="H3" s="39">
        <v>13947.2</v>
      </c>
      <c r="I3" s="19">
        <v>49</v>
      </c>
      <c r="J3" s="20">
        <f>I3+0.48732*I2-0.38935*0-0.133*0-1.64586*0-0.79204*0</f>
        <v>49</v>
      </c>
      <c r="M3" s="49">
        <v>43132</v>
      </c>
      <c r="N3" s="50">
        <v>13947.2</v>
      </c>
      <c r="O3" s="51">
        <v>49</v>
      </c>
      <c r="P3" s="52">
        <f>O3+0.48732*O2-0.38935*0-0.133*0-1.64586*0-0.79204*0-90.7</f>
        <v>-41.7</v>
      </c>
    </row>
    <row r="4" spans="2:17" x14ac:dyDescent="0.45">
      <c r="B4" s="64">
        <v>43160</v>
      </c>
      <c r="C4" s="67">
        <v>14003.5</v>
      </c>
      <c r="D4" s="66">
        <v>63.400000000001455</v>
      </c>
      <c r="E4" s="65">
        <v>0</v>
      </c>
      <c r="G4" s="38">
        <v>43160</v>
      </c>
      <c r="H4" s="39">
        <v>14003.5</v>
      </c>
      <c r="I4" s="19">
        <v>63.400000000001455</v>
      </c>
      <c r="J4" s="20">
        <f>I4+0.48732*I3-0.38935*I2-0.133*0-1.64586*J3-0.79204*0</f>
        <v>6.6315400000014506</v>
      </c>
      <c r="M4" s="49">
        <v>43160</v>
      </c>
      <c r="N4" s="50">
        <v>14003.5</v>
      </c>
      <c r="O4" s="51">
        <v>63.400000000001455</v>
      </c>
      <c r="P4" s="52">
        <f>O4+0.48732*O3-0.38935*O2-0.133*0-1.64586*P3-0.79204*0-90.7</f>
        <v>65.211042000001484</v>
      </c>
    </row>
    <row r="5" spans="2:17" x14ac:dyDescent="0.45">
      <c r="B5" s="64">
        <v>43191</v>
      </c>
      <c r="C5" s="67">
        <v>14021.4</v>
      </c>
      <c r="D5" s="66">
        <v>23.199999999998909</v>
      </c>
      <c r="E5" s="65">
        <f>D5+0.48732*D4-0.38935*D3-0.133*0-1.64586*E4-0.79204*E3</f>
        <v>35.017937999999617</v>
      </c>
      <c r="G5" s="38">
        <v>43191</v>
      </c>
      <c r="H5" s="39">
        <v>14021.4</v>
      </c>
      <c r="I5" s="19">
        <v>23.199999999998909</v>
      </c>
      <c r="J5" s="20">
        <f>I5+0.48732*I4-0.38935*I3-0.133*I2-1.64586*J4-0.79204*J3</f>
        <v>-14.706608424402766</v>
      </c>
      <c r="M5" s="49">
        <v>43191</v>
      </c>
      <c r="N5" s="50">
        <v>14021.4</v>
      </c>
      <c r="O5" s="51">
        <v>23.199999999998909</v>
      </c>
      <c r="P5" s="52">
        <f>O5+0.48732*O4-0.38935*O3-0.133*O2-1.64586*P4-0.79204*P3-90.7</f>
        <v>-129.98223958612283</v>
      </c>
    </row>
    <row r="6" spans="2:17" x14ac:dyDescent="0.45">
      <c r="B6" s="64">
        <v>43221</v>
      </c>
      <c r="C6" s="67">
        <v>14077.4</v>
      </c>
      <c r="D6" s="66">
        <v>56.5</v>
      </c>
      <c r="E6" s="65">
        <f>D6+0.48732*D5-0.38935*D4-0.133*D3-1.64586*E5-0.79204*E4</f>
        <v>-21.030589436680479</v>
      </c>
      <c r="G6" s="38">
        <v>43221</v>
      </c>
      <c r="H6" s="39">
        <v>14077.4</v>
      </c>
      <c r="I6" s="19">
        <v>56.5</v>
      </c>
      <c r="J6" s="20">
        <f t="shared" ref="J6:J69" si="0">I6+0.48732*I5-0.38935*I4-0.133*I3-1.64586*J5-0.79204*J4</f>
        <v>55.556607599785288</v>
      </c>
      <c r="M6" s="49">
        <v>43221</v>
      </c>
      <c r="N6" s="50">
        <v>14077.4</v>
      </c>
      <c r="O6" s="51">
        <v>56.5</v>
      </c>
      <c r="P6" s="52">
        <f>O6+0.48732*O5-0.38935*O4-0.133*O3-1.64586*P5-0.79204*P4-90.7</f>
        <v>108.18684913953386</v>
      </c>
    </row>
    <row r="7" spans="2:17" x14ac:dyDescent="0.45">
      <c r="B7" s="64">
        <v>43252</v>
      </c>
      <c r="C7" s="67">
        <v>14137.7</v>
      </c>
      <c r="D7" s="66">
        <v>44.800000000001091</v>
      </c>
      <c r="E7" s="65">
        <f t="shared" ref="E7:E70" si="1">D7+0.48732*D6-0.38935*D5-0.133*D4-1.64586*E6-0.79204*E5</f>
        <v>61.746258316736551</v>
      </c>
      <c r="G7" s="38">
        <v>43252</v>
      </c>
      <c r="H7" s="39">
        <v>14137.7</v>
      </c>
      <c r="I7" s="19">
        <v>44.800000000001091</v>
      </c>
      <c r="J7" s="20">
        <f t="shared" si="0"/>
        <v>-24.921716047717332</v>
      </c>
      <c r="M7" s="49">
        <v>43252</v>
      </c>
      <c r="N7" s="50">
        <v>14137.7</v>
      </c>
      <c r="O7" s="51">
        <v>44.800000000001091</v>
      </c>
      <c r="P7" s="52">
        <f t="shared" ref="P7:P70" si="2">O7+0.48732*O6-0.38935*O5-0.133*O4-1.64586*P6-0.79204*P5-90.7</f>
        <v>-110.94081448299919</v>
      </c>
    </row>
    <row r="8" spans="2:17" x14ac:dyDescent="0.45">
      <c r="B8" s="64">
        <v>43282</v>
      </c>
      <c r="C8" s="67">
        <v>14171.1</v>
      </c>
      <c r="D8" s="66">
        <v>37.399999999999636</v>
      </c>
      <c r="E8" s="65">
        <f t="shared" si="1"/>
        <v>-50.820567655755312</v>
      </c>
      <c r="G8" s="38">
        <v>43282</v>
      </c>
      <c r="H8" s="39">
        <v>14171.1</v>
      </c>
      <c r="I8" s="19">
        <v>37.399999999999636</v>
      </c>
      <c r="J8" s="20">
        <f t="shared" si="0"/>
        <v>31.16266109096243</v>
      </c>
      <c r="M8" s="49">
        <v>43282</v>
      </c>
      <c r="N8" s="50">
        <v>14171.1</v>
      </c>
      <c r="O8" s="51">
        <v>37.399999999999636</v>
      </c>
      <c r="P8" s="52">
        <f t="shared" si="2"/>
        <v>40.352797932512956</v>
      </c>
    </row>
    <row r="9" spans="2:17" x14ac:dyDescent="0.45">
      <c r="B9" s="64">
        <v>43313</v>
      </c>
      <c r="C9" s="67">
        <v>14219.4</v>
      </c>
      <c r="D9" s="66">
        <v>48.600000000000364</v>
      </c>
      <c r="E9" s="65">
        <f t="shared" si="1"/>
        <v>76.606421044713187</v>
      </c>
      <c r="G9" s="38">
        <v>43313</v>
      </c>
      <c r="H9" s="39">
        <v>14219.4</v>
      </c>
      <c r="I9" s="19">
        <v>48.600000000000364</v>
      </c>
      <c r="J9" s="20">
        <f t="shared" si="0"/>
        <v>10.318006595262361</v>
      </c>
      <c r="M9" s="49">
        <v>43313</v>
      </c>
      <c r="N9" s="50">
        <v>14219.4</v>
      </c>
      <c r="O9" s="51">
        <v>48.600000000000364</v>
      </c>
      <c r="P9" s="52">
        <f t="shared" si="2"/>
        <v>-27.377105302091366</v>
      </c>
    </row>
    <row r="10" spans="2:17" x14ac:dyDescent="0.45">
      <c r="B10" s="64">
        <v>43344</v>
      </c>
      <c r="C10" s="67">
        <v>14253.8</v>
      </c>
      <c r="D10" s="66">
        <v>22.299999999999272</v>
      </c>
      <c r="E10" s="65">
        <f t="shared" si="1"/>
        <v>-60.367859734587768</v>
      </c>
      <c r="G10" s="38">
        <v>43344</v>
      </c>
      <c r="H10" s="39">
        <v>14253.8</v>
      </c>
      <c r="I10" s="19">
        <v>22.299999999999272</v>
      </c>
      <c r="J10" s="20">
        <f t="shared" si="0"/>
        <v>-16.20040642536495</v>
      </c>
      <c r="M10" s="49">
        <v>43344</v>
      </c>
      <c r="N10" s="50">
        <v>14253.8</v>
      </c>
      <c r="O10" s="51">
        <v>22.299999999999272</v>
      </c>
      <c r="P10" s="52">
        <f t="shared" si="2"/>
        <v>-52.138485541968009</v>
      </c>
    </row>
    <row r="11" spans="2:17" x14ac:dyDescent="0.45">
      <c r="B11" s="64">
        <v>43374</v>
      </c>
      <c r="C11" s="67">
        <v>14265.4</v>
      </c>
      <c r="D11" s="66">
        <v>11.100000000000364</v>
      </c>
      <c r="E11" s="65">
        <f t="shared" si="1"/>
        <v>36.752321898513912</v>
      </c>
      <c r="G11" s="38">
        <v>43374</v>
      </c>
      <c r="H11" s="39">
        <v>14265.4</v>
      </c>
      <c r="I11" s="19">
        <v>11.100000000000364</v>
      </c>
      <c r="J11" s="20">
        <f t="shared" si="0"/>
        <v>16.561952975539469</v>
      </c>
      <c r="M11" s="49">
        <v>43374</v>
      </c>
      <c r="N11" s="50">
        <v>14265.4</v>
      </c>
      <c r="O11" s="51">
        <v>11.100000000000364</v>
      </c>
      <c r="P11" s="52">
        <f t="shared" si="2"/>
        <v>14.867036297571829</v>
      </c>
    </row>
    <row r="12" spans="2:17" x14ac:dyDescent="0.45">
      <c r="B12" s="64">
        <v>43405</v>
      </c>
      <c r="C12" s="67">
        <v>14285.7</v>
      </c>
      <c r="D12" s="66">
        <v>26.199999999998909</v>
      </c>
      <c r="E12" s="65">
        <f t="shared" si="1"/>
        <v>3.787530104294099</v>
      </c>
      <c r="G12" s="38">
        <v>43405</v>
      </c>
      <c r="H12" s="39">
        <v>14285.7</v>
      </c>
      <c r="I12" s="19">
        <v>26.199999999998909</v>
      </c>
      <c r="J12" s="20">
        <f t="shared" si="0"/>
        <v>2.0356609808239803</v>
      </c>
      <c r="M12" s="49">
        <v>43405</v>
      </c>
      <c r="N12" s="50">
        <v>14285.7</v>
      </c>
      <c r="O12" s="51">
        <v>26.199999999998909</v>
      </c>
      <c r="P12" s="52">
        <f t="shared" si="2"/>
        <v>-57.410347272061912</v>
      </c>
    </row>
    <row r="13" spans="2:17" x14ac:dyDescent="0.45">
      <c r="B13" s="64">
        <v>43435</v>
      </c>
      <c r="C13" s="67">
        <v>14407.5</v>
      </c>
      <c r="D13" s="66">
        <v>104</v>
      </c>
      <c r="E13" s="65">
        <f t="shared" si="1"/>
        <v>74.137045666046973</v>
      </c>
      <c r="G13" s="38">
        <v>43435</v>
      </c>
      <c r="H13" s="39">
        <v>14407.5</v>
      </c>
      <c r="I13" s="19">
        <v>104</v>
      </c>
      <c r="J13" s="20">
        <f t="shared" si="0"/>
        <v>93.011956783354179</v>
      </c>
      <c r="M13" s="49">
        <v>43435</v>
      </c>
      <c r="N13" s="50">
        <v>14407.5</v>
      </c>
      <c r="O13" s="51">
        <v>104</v>
      </c>
      <c r="P13" s="52">
        <f t="shared" si="2"/>
        <v>101.49420573206645</v>
      </c>
    </row>
    <row r="14" spans="2:17" x14ac:dyDescent="0.45">
      <c r="B14" s="64">
        <v>43466</v>
      </c>
      <c r="C14" s="67">
        <v>14471.5</v>
      </c>
      <c r="D14" s="66">
        <v>72.900000000001455</v>
      </c>
      <c r="E14" s="65">
        <f t="shared" si="1"/>
        <v>-13.115063323723344</v>
      </c>
      <c r="G14" s="38">
        <v>43466</v>
      </c>
      <c r="H14" s="39">
        <v>14471.5</v>
      </c>
      <c r="I14" s="19">
        <v>72.900000000001455</v>
      </c>
      <c r="J14" s="20">
        <f t="shared" si="0"/>
        <v>-42.792974114701316</v>
      </c>
      <c r="M14" s="49">
        <v>43466</v>
      </c>
      <c r="N14" s="50">
        <v>14471.5</v>
      </c>
      <c r="O14" s="51">
        <v>72.900000000001455</v>
      </c>
      <c r="P14" s="52">
        <f t="shared" si="2"/>
        <v>-100.36995199281314</v>
      </c>
    </row>
    <row r="15" spans="2:17" x14ac:dyDescent="0.45">
      <c r="B15" s="64">
        <v>43497</v>
      </c>
      <c r="C15" s="67">
        <v>14506.7</v>
      </c>
      <c r="D15" s="66">
        <v>46.599999999998545</v>
      </c>
      <c r="E15" s="65">
        <f t="shared" si="1"/>
        <v>1.0146804726468588</v>
      </c>
      <c r="G15" s="38">
        <v>43497</v>
      </c>
      <c r="H15" s="39">
        <v>14506.7</v>
      </c>
      <c r="I15" s="19">
        <v>46.599999999998545</v>
      </c>
      <c r="J15" s="20">
        <f t="shared" si="0"/>
        <v>34.910682125733871</v>
      </c>
      <c r="M15" s="49">
        <v>43497</v>
      </c>
      <c r="N15" s="50">
        <v>14506.7</v>
      </c>
      <c r="O15" s="51">
        <v>46.599999999998545</v>
      </c>
      <c r="P15" s="52">
        <f t="shared" si="2"/>
        <v>32.25604647886496</v>
      </c>
    </row>
    <row r="16" spans="2:17" x14ac:dyDescent="0.45">
      <c r="B16" s="64">
        <v>43525</v>
      </c>
      <c r="C16" s="67">
        <v>14550.5</v>
      </c>
      <c r="D16" s="66">
        <v>51.200000000000728</v>
      </c>
      <c r="E16" s="65">
        <f t="shared" si="1"/>
        <v>40.411129752210741</v>
      </c>
      <c r="G16" s="38">
        <v>43525</v>
      </c>
      <c r="H16" s="39">
        <v>14550.5</v>
      </c>
      <c r="I16" s="19">
        <v>51.200000000000728</v>
      </c>
      <c r="J16" s="20">
        <f t="shared" si="0"/>
        <v>8.1291489343471355</v>
      </c>
      <c r="M16" s="49">
        <v>43525</v>
      </c>
      <c r="N16" s="50">
        <v>14550.5</v>
      </c>
      <c r="O16" s="51">
        <v>51.200000000000728</v>
      </c>
      <c r="P16" s="52">
        <f t="shared" si="2"/>
        <v>-32.598422881317504</v>
      </c>
    </row>
    <row r="17" spans="2:16" x14ac:dyDescent="0.45">
      <c r="B17" s="64">
        <v>43556</v>
      </c>
      <c r="C17" s="67">
        <v>14579</v>
      </c>
      <c r="D17" s="66">
        <v>37.200000000000728</v>
      </c>
      <c r="E17" s="65">
        <f t="shared" si="1"/>
        <v>-33.003355535527334</v>
      </c>
      <c r="G17" s="38">
        <v>43556</v>
      </c>
      <c r="H17" s="39">
        <v>14579</v>
      </c>
      <c r="I17" s="19">
        <v>37.200000000000728</v>
      </c>
      <c r="J17" s="20">
        <f t="shared" si="0"/>
        <v>-6.718723735949375</v>
      </c>
      <c r="M17" s="49">
        <v>43556</v>
      </c>
      <c r="N17" s="50">
        <v>14579</v>
      </c>
      <c r="O17" s="51">
        <v>37.200000000000728</v>
      </c>
      <c r="P17" s="52">
        <f t="shared" si="2"/>
        <v>-28.284264769673527</v>
      </c>
    </row>
    <row r="18" spans="2:16" x14ac:dyDescent="0.45">
      <c r="B18" s="64">
        <v>43586</v>
      </c>
      <c r="C18" s="67">
        <v>14678.3</v>
      </c>
      <c r="D18" s="66">
        <v>109.69999999999891</v>
      </c>
      <c r="E18" s="65">
        <f t="shared" si="1"/>
        <v>124.00745553276121</v>
      </c>
      <c r="G18" s="38">
        <v>43586</v>
      </c>
      <c r="H18" s="39">
        <v>14678.3</v>
      </c>
      <c r="I18" s="19">
        <v>109.69999999999891</v>
      </c>
      <c r="J18" s="20">
        <f t="shared" si="0"/>
        <v>106.31525152608852</v>
      </c>
      <c r="M18" s="49">
        <v>43586</v>
      </c>
      <c r="N18" s="50">
        <v>14678.3</v>
      </c>
      <c r="O18" s="51">
        <v>109.69999999999891</v>
      </c>
      <c r="P18" s="52">
        <f t="shared" si="2"/>
        <v>83.366978872732759</v>
      </c>
    </row>
    <row r="19" spans="2:16" x14ac:dyDescent="0.45">
      <c r="B19" s="64">
        <v>43617</v>
      </c>
      <c r="C19" s="67">
        <v>14798.6</v>
      </c>
      <c r="D19" s="66">
        <v>98.399999999999636</v>
      </c>
      <c r="E19" s="65">
        <f t="shared" si="1"/>
        <v>-47.393349044792586</v>
      </c>
      <c r="G19" s="38">
        <v>43617</v>
      </c>
      <c r="H19" s="39">
        <v>14798.6</v>
      </c>
      <c r="I19" s="19">
        <v>98.399999999999636</v>
      </c>
      <c r="J19" s="20">
        <f t="shared" si="0"/>
        <v>-39.092937928907986</v>
      </c>
      <c r="M19" s="49">
        <v>43617</v>
      </c>
      <c r="N19" s="50">
        <v>14798.6</v>
      </c>
      <c r="O19" s="51">
        <v>98.399999999999636</v>
      </c>
      <c r="P19" s="52">
        <f t="shared" si="2"/>
        <v>-74.942522779305008</v>
      </c>
    </row>
    <row r="20" spans="2:16" x14ac:dyDescent="0.45">
      <c r="B20" s="64">
        <v>43647</v>
      </c>
      <c r="C20" s="67">
        <v>14881.8</v>
      </c>
      <c r="D20" s="66">
        <v>84</v>
      </c>
      <c r="E20" s="65">
        <f t="shared" si="1"/>
        <v>64.076945378694305</v>
      </c>
      <c r="G20" s="38">
        <v>43647</v>
      </c>
      <c r="H20" s="39">
        <v>14881.8</v>
      </c>
      <c r="I20" s="19">
        <v>84</v>
      </c>
      <c r="J20" s="20">
        <f t="shared" si="0"/>
        <v>64.428564000949507</v>
      </c>
      <c r="M20" s="49">
        <v>43647</v>
      </c>
      <c r="N20" s="50">
        <v>14881.8</v>
      </c>
      <c r="O20" s="51">
        <v>84</v>
      </c>
      <c r="P20" s="52">
        <f t="shared" si="2"/>
        <v>50.907911595187826</v>
      </c>
    </row>
    <row r="21" spans="2:16" x14ac:dyDescent="0.45">
      <c r="B21" s="64">
        <v>43678</v>
      </c>
      <c r="C21" s="67">
        <v>14964.1</v>
      </c>
      <c r="D21" s="66">
        <v>87.600000000000364</v>
      </c>
      <c r="E21" s="65">
        <f t="shared" si="1"/>
        <v>7.7084868564603539</v>
      </c>
      <c r="G21" s="38">
        <v>43678</v>
      </c>
      <c r="H21" s="39">
        <v>14964.1</v>
      </c>
      <c r="I21" s="19">
        <v>87.600000000000364</v>
      </c>
      <c r="J21" s="20">
        <f t="shared" si="0"/>
        <v>0.55551421061016981</v>
      </c>
      <c r="M21" s="49">
        <v>43678</v>
      </c>
      <c r="N21" s="50">
        <v>14964.1</v>
      </c>
      <c r="O21" s="51">
        <v>87.600000000000364</v>
      </c>
      <c r="P21" s="52">
        <f t="shared" si="2"/>
        <v>-39.497079635934462</v>
      </c>
    </row>
    <row r="22" spans="2:16" x14ac:dyDescent="0.45">
      <c r="B22" s="64">
        <v>43709</v>
      </c>
      <c r="C22" s="67">
        <v>15062.4</v>
      </c>
      <c r="D22" s="66">
        <v>72.600000000000364</v>
      </c>
      <c r="E22" s="65">
        <f t="shared" si="1"/>
        <v>6.0580380046857201</v>
      </c>
      <c r="G22" s="38">
        <v>43709</v>
      </c>
      <c r="H22" s="39">
        <v>15062.4</v>
      </c>
      <c r="I22" s="19">
        <v>72.600000000000364</v>
      </c>
      <c r="J22" s="20">
        <f t="shared" si="0"/>
        <v>17.552333550013692</v>
      </c>
      <c r="M22" s="49">
        <v>43709</v>
      </c>
      <c r="N22" s="50">
        <v>15062.4</v>
      </c>
      <c r="O22" s="51">
        <v>72.600000000000364</v>
      </c>
      <c r="P22" s="52">
        <f t="shared" si="2"/>
        <v>3.4821931897471217</v>
      </c>
    </row>
    <row r="23" spans="2:16" x14ac:dyDescent="0.45">
      <c r="B23" s="64">
        <v>43739</v>
      </c>
      <c r="C23" s="67">
        <v>15197.3</v>
      </c>
      <c r="D23" s="66">
        <v>137.10000000000036</v>
      </c>
      <c r="E23" s="65">
        <f t="shared" si="1"/>
        <v>111.12425963981751</v>
      </c>
      <c r="G23" s="38">
        <v>43739</v>
      </c>
      <c r="H23" s="39">
        <v>15197.3</v>
      </c>
      <c r="I23" s="19">
        <v>137.10000000000036</v>
      </c>
      <c r="J23" s="20">
        <f t="shared" si="0"/>
        <v>97.871698828003204</v>
      </c>
      <c r="M23" s="49">
        <v>43739</v>
      </c>
      <c r="N23" s="50">
        <v>15197.3</v>
      </c>
      <c r="O23" s="51">
        <v>137.10000000000036</v>
      </c>
      <c r="P23" s="52">
        <f t="shared" si="2"/>
        <v>62.052436471568726</v>
      </c>
    </row>
    <row r="24" spans="2:16" x14ac:dyDescent="0.45">
      <c r="B24" s="64">
        <v>43770</v>
      </c>
      <c r="C24" s="67">
        <v>15305.1</v>
      </c>
      <c r="D24" s="66">
        <v>111.89999999999964</v>
      </c>
      <c r="E24" s="65">
        <f t="shared" si="1"/>
        <v>-48.899220392021718</v>
      </c>
      <c r="G24" s="38">
        <v>43770</v>
      </c>
      <c r="H24" s="39">
        <v>15305.1</v>
      </c>
      <c r="I24" s="19">
        <v>111.89999999999964</v>
      </c>
      <c r="J24" s="20">
        <f t="shared" si="0"/>
        <v>-36.191302498010579</v>
      </c>
      <c r="M24" s="49">
        <v>43770</v>
      </c>
      <c r="N24" s="50">
        <v>15305.1</v>
      </c>
      <c r="O24" s="51">
        <v>111.89999999999964</v>
      </c>
      <c r="P24" s="52">
        <f t="shared" si="2"/>
        <v>-56.793697385103798</v>
      </c>
    </row>
    <row r="25" spans="2:16" x14ac:dyDescent="0.45">
      <c r="B25" s="64">
        <v>43800</v>
      </c>
      <c r="C25" s="67">
        <v>15373.7</v>
      </c>
      <c r="D25" s="66">
        <v>51.5</v>
      </c>
      <c r="E25" s="65">
        <f t="shared" si="1"/>
        <v>35.461835269291441</v>
      </c>
      <c r="G25" s="38">
        <v>43800</v>
      </c>
      <c r="H25" s="39">
        <v>15373.7</v>
      </c>
      <c r="I25" s="19">
        <v>51.5</v>
      </c>
      <c r="J25" s="20">
        <f t="shared" si="0"/>
        <v>25.042939789643683</v>
      </c>
      <c r="M25" s="49">
        <v>43800</v>
      </c>
      <c r="N25" s="50">
        <v>15373.7</v>
      </c>
      <c r="O25" s="51">
        <v>51.5</v>
      </c>
      <c r="P25" s="52">
        <f t="shared" si="2"/>
        <v>-3.3781140046947229</v>
      </c>
    </row>
    <row r="26" spans="2:16" x14ac:dyDescent="0.45">
      <c r="B26" s="64">
        <v>43831</v>
      </c>
      <c r="C26" s="67">
        <v>15443.2</v>
      </c>
      <c r="D26" s="66">
        <v>79.600000000000364</v>
      </c>
      <c r="E26" s="65">
        <f t="shared" si="1"/>
        <v>23.259337322981331</v>
      </c>
      <c r="G26" s="38">
        <v>43831</v>
      </c>
      <c r="H26" s="39">
        <v>15443.2</v>
      </c>
      <c r="I26" s="19">
        <v>79.600000000000364</v>
      </c>
      <c r="J26" s="20">
        <f t="shared" si="0"/>
        <v>30.34220134834181</v>
      </c>
      <c r="M26" s="49">
        <v>43831</v>
      </c>
      <c r="N26" s="50">
        <v>15443.2</v>
      </c>
      <c r="O26" s="51">
        <v>79.600000000000364</v>
      </c>
      <c r="P26" s="52">
        <f t="shared" si="2"/>
        <v>2.7371977926649294</v>
      </c>
    </row>
    <row r="27" spans="2:16" x14ac:dyDescent="0.45">
      <c r="B27" s="64">
        <v>43862</v>
      </c>
      <c r="C27" s="67">
        <v>15497.1</v>
      </c>
      <c r="D27" s="66">
        <v>66.299999999999272</v>
      </c>
      <c r="E27" s="65">
        <f t="shared" si="1"/>
        <v>3.7876420669078428</v>
      </c>
      <c r="G27" s="38">
        <v>43862</v>
      </c>
      <c r="H27" s="39">
        <v>15497.1</v>
      </c>
      <c r="I27" s="19">
        <v>66.299999999999272</v>
      </c>
      <c r="J27" s="20">
        <f t="shared" si="0"/>
        <v>0.38242145782825077</v>
      </c>
      <c r="M27" s="49">
        <v>43862</v>
      </c>
      <c r="N27" s="50">
        <v>15497.1</v>
      </c>
      <c r="O27" s="51">
        <v>66.299999999999272</v>
      </c>
      <c r="P27" s="52">
        <f t="shared" si="2"/>
        <v>-22.372995942757598</v>
      </c>
    </row>
    <row r="28" spans="2:16" x14ac:dyDescent="0.45">
      <c r="B28" s="64">
        <v>43891</v>
      </c>
      <c r="C28" s="67">
        <v>16025.9</v>
      </c>
      <c r="D28" s="66">
        <v>539.60000000000036</v>
      </c>
      <c r="E28" s="65">
        <f t="shared" si="1"/>
        <v>509.41130189446471</v>
      </c>
      <c r="G28" s="38">
        <v>43891</v>
      </c>
      <c r="H28" s="39">
        <v>16025.9</v>
      </c>
      <c r="I28" s="19">
        <v>539.60000000000036</v>
      </c>
      <c r="J28" s="20">
        <f t="shared" si="0"/>
        <v>509.40590666347799</v>
      </c>
      <c r="M28" s="49">
        <v>43891</v>
      </c>
      <c r="N28" s="50">
        <v>16025.9</v>
      </c>
      <c r="O28" s="51">
        <v>539.60000000000036</v>
      </c>
      <c r="P28" s="52">
        <f t="shared" si="2"/>
        <v>478.02240496264454</v>
      </c>
    </row>
    <row r="29" spans="2:16" x14ac:dyDescent="0.45">
      <c r="B29" s="64">
        <v>43922</v>
      </c>
      <c r="C29" s="67">
        <v>17039.099999999999</v>
      </c>
      <c r="D29" s="66">
        <v>1032.2999999999993</v>
      </c>
      <c r="E29" s="65">
        <f t="shared" si="1"/>
        <v>417.43751764130229</v>
      </c>
      <c r="G29" s="38">
        <v>43922</v>
      </c>
      <c r="H29" s="39">
        <v>17039.099999999999</v>
      </c>
      <c r="I29" s="19">
        <v>1032.2999999999993</v>
      </c>
      <c r="J29" s="20">
        <f t="shared" si="0"/>
        <v>420.1434683673894</v>
      </c>
      <c r="M29" s="49">
        <v>43922</v>
      </c>
      <c r="N29" s="50">
        <v>17039.099999999999</v>
      </c>
      <c r="O29" s="51">
        <v>1032.2999999999993</v>
      </c>
      <c r="P29" s="52">
        <f t="shared" si="2"/>
        <v>399.11951927468317</v>
      </c>
    </row>
    <row r="30" spans="2:16" x14ac:dyDescent="0.45">
      <c r="B30" s="64">
        <v>43952</v>
      </c>
      <c r="C30" s="67">
        <v>17886.400000000001</v>
      </c>
      <c r="D30" s="66">
        <v>867.60000000000218</v>
      </c>
      <c r="E30" s="65">
        <f t="shared" si="1"/>
        <v>61.231435662396166</v>
      </c>
      <c r="G30" s="38">
        <v>43952</v>
      </c>
      <c r="H30" s="39">
        <v>17886.400000000001</v>
      </c>
      <c r="I30" s="19">
        <v>867.60000000000218</v>
      </c>
      <c r="J30" s="20">
        <f t="shared" si="0"/>
        <v>56.782092839109112</v>
      </c>
      <c r="M30" s="49">
        <v>43952</v>
      </c>
      <c r="N30" s="50">
        <v>17886.400000000001</v>
      </c>
      <c r="O30" s="51">
        <v>867.60000000000218</v>
      </c>
      <c r="P30" s="52">
        <f t="shared" si="2"/>
        <v>25.541558379958801</v>
      </c>
    </row>
    <row r="31" spans="2:16" x14ac:dyDescent="0.45">
      <c r="B31" s="64">
        <v>43983</v>
      </c>
      <c r="C31" s="67">
        <v>18173.5</v>
      </c>
      <c r="D31" s="66">
        <v>251.39999999999782</v>
      </c>
      <c r="E31" s="65">
        <f t="shared" si="1"/>
        <v>-230.89955517192922</v>
      </c>
      <c r="G31" s="38">
        <v>43983</v>
      </c>
      <c r="H31" s="39">
        <v>18173.5</v>
      </c>
      <c r="I31" s="19">
        <v>251.39999999999782</v>
      </c>
      <c r="J31" s="20">
        <f t="shared" si="0"/>
        <v>-225.71978100588404</v>
      </c>
      <c r="M31" s="49">
        <v>43983</v>
      </c>
      <c r="N31" s="50">
        <v>18173.5</v>
      </c>
      <c r="O31" s="51">
        <v>251.39999999999782</v>
      </c>
      <c r="P31" s="52">
        <f t="shared" si="2"/>
        <v>-248.35042632155989</v>
      </c>
    </row>
    <row r="32" spans="2:16" x14ac:dyDescent="0.45">
      <c r="B32" s="64">
        <v>44013</v>
      </c>
      <c r="C32" s="67">
        <v>18330.099999999999</v>
      </c>
      <c r="D32" s="66">
        <v>151.10000000000218</v>
      </c>
      <c r="E32" s="65">
        <f t="shared" si="1"/>
        <v>130.04688357322757</v>
      </c>
      <c r="G32" s="38">
        <v>44013</v>
      </c>
      <c r="H32" s="39">
        <v>18330.099999999999</v>
      </c>
      <c r="I32" s="19">
        <v>151.10000000000218</v>
      </c>
      <c r="J32" s="20">
        <f t="shared" si="0"/>
        <v>125.04575795405671</v>
      </c>
      <c r="M32" s="49">
        <v>44013</v>
      </c>
      <c r="N32" s="50">
        <v>18330.099999999999</v>
      </c>
      <c r="O32" s="51">
        <v>151.10000000000218</v>
      </c>
      <c r="P32" s="52">
        <f t="shared" si="2"/>
        <v>96.336384766340402</v>
      </c>
    </row>
    <row r="33" spans="2:16" x14ac:dyDescent="0.45">
      <c r="B33" s="64">
        <v>44044</v>
      </c>
      <c r="C33" s="67">
        <v>18396.3</v>
      </c>
      <c r="D33" s="66">
        <v>75.799999999999272</v>
      </c>
      <c r="E33" s="65">
        <f t="shared" si="1"/>
        <v>-94.996618119456627</v>
      </c>
      <c r="G33" s="38">
        <v>44044</v>
      </c>
      <c r="H33" s="39">
        <v>18396.3</v>
      </c>
      <c r="I33" s="19">
        <v>75.799999999999272</v>
      </c>
      <c r="J33" s="20">
        <f t="shared" si="0"/>
        <v>-90.868053838362499</v>
      </c>
      <c r="M33" s="49">
        <v>44044</v>
      </c>
      <c r="N33" s="50">
        <v>18396.3</v>
      </c>
      <c r="O33" s="51">
        <v>75.799999999999272</v>
      </c>
      <c r="P33" s="52">
        <f t="shared" si="2"/>
        <v>-116.39206856779983</v>
      </c>
    </row>
    <row r="34" spans="2:16" x14ac:dyDescent="0.45">
      <c r="B34" s="64">
        <v>44075</v>
      </c>
      <c r="C34" s="67">
        <v>18628.8</v>
      </c>
      <c r="D34" s="66">
        <v>191.29999999999927</v>
      </c>
      <c r="E34" s="65">
        <f t="shared" si="1"/>
        <v>189.32067123274811</v>
      </c>
      <c r="G34" s="38">
        <v>44075</v>
      </c>
      <c r="H34" s="39">
        <v>18628.8</v>
      </c>
      <c r="I34" s="19">
        <v>191.29999999999927</v>
      </c>
      <c r="J34" s="20">
        <f t="shared" si="0"/>
        <v>186.48672396047462</v>
      </c>
      <c r="M34" s="49">
        <v>44075</v>
      </c>
      <c r="N34" s="50">
        <v>18628.8</v>
      </c>
      <c r="O34" s="51">
        <v>191.29999999999927</v>
      </c>
      <c r="P34" s="52">
        <f t="shared" si="2"/>
        <v>160.53465078266515</v>
      </c>
    </row>
    <row r="35" spans="2:16" x14ac:dyDescent="0.45">
      <c r="B35" s="64">
        <v>44105</v>
      </c>
      <c r="C35" s="67">
        <v>18783.400000000001</v>
      </c>
      <c r="D35" s="66">
        <v>155.09999999999854</v>
      </c>
      <c r="E35" s="65">
        <f t="shared" si="1"/>
        <v>-37.638912539798241</v>
      </c>
      <c r="G35" s="38">
        <v>44105</v>
      </c>
      <c r="H35" s="39">
        <v>18783.400000000001</v>
      </c>
      <c r="I35" s="19">
        <v>155.09999999999854</v>
      </c>
      <c r="J35" s="20">
        <f t="shared" si="0"/>
        <v>-36.244620135451967</v>
      </c>
      <c r="M35" s="49">
        <v>44105</v>
      </c>
      <c r="N35" s="50">
        <v>18783.400000000001</v>
      </c>
      <c r="O35" s="51">
        <v>155.09999999999854</v>
      </c>
      <c r="P35" s="52">
        <f t="shared" si="2"/>
        <v>-64.01510034871896</v>
      </c>
    </row>
    <row r="36" spans="2:16" x14ac:dyDescent="0.45">
      <c r="B36" s="64">
        <v>44136</v>
      </c>
      <c r="C36" s="67">
        <v>19012.099999999999</v>
      </c>
      <c r="D36" s="66">
        <v>239.40000000000146</v>
      </c>
      <c r="E36" s="65">
        <f t="shared" si="1"/>
        <v>142.41811314956766</v>
      </c>
      <c r="G36" s="38">
        <v>44136</v>
      </c>
      <c r="H36" s="39">
        <v>19012.099999999999</v>
      </c>
      <c r="I36" s="19">
        <v>239.40000000000146</v>
      </c>
      <c r="J36" s="20">
        <f t="shared" si="0"/>
        <v>142.36790265048177</v>
      </c>
      <c r="M36" s="49">
        <v>44136</v>
      </c>
      <c r="N36" s="50">
        <v>19012.099999999999</v>
      </c>
      <c r="O36" s="51">
        <v>239.40000000000146</v>
      </c>
      <c r="P36" s="52">
        <f t="shared" si="2"/>
        <v>117.92930525404164</v>
      </c>
    </row>
    <row r="37" spans="2:16" x14ac:dyDescent="0.45">
      <c r="B37" s="64">
        <v>44166</v>
      </c>
      <c r="C37" s="67">
        <v>19165.900000000001</v>
      </c>
      <c r="D37" s="66">
        <v>118.70000000000073</v>
      </c>
      <c r="E37" s="65">
        <f t="shared" si="1"/>
        <v>-55.055428420323508</v>
      </c>
      <c r="G37" s="38">
        <v>44166</v>
      </c>
      <c r="H37" s="39">
        <v>19165.900000000001</v>
      </c>
      <c r="I37" s="19">
        <v>118.70000000000073</v>
      </c>
      <c r="J37" s="20">
        <f t="shared" si="0"/>
        <v>-56.077124324236443</v>
      </c>
      <c r="M37" s="49">
        <v>44166</v>
      </c>
      <c r="N37" s="50">
        <v>19165.900000000001</v>
      </c>
      <c r="O37" s="51">
        <v>118.70000000000073</v>
      </c>
      <c r="P37" s="52">
        <f t="shared" si="2"/>
        <v>-84.559283265215498</v>
      </c>
    </row>
    <row r="38" spans="2:16" x14ac:dyDescent="0.45">
      <c r="B38" s="64">
        <v>44197</v>
      </c>
      <c r="C38" s="67">
        <v>19392.5</v>
      </c>
      <c r="D38" s="66">
        <v>263.29999999999927</v>
      </c>
      <c r="E38" s="65">
        <f t="shared" si="1"/>
        <v>185.11887908088931</v>
      </c>
      <c r="G38" s="38">
        <v>44197</v>
      </c>
      <c r="H38" s="39">
        <v>19392.5</v>
      </c>
      <c r="I38" s="19">
        <v>263.29999999999927</v>
      </c>
      <c r="J38" s="20">
        <f t="shared" si="0"/>
        <v>186.84021622499949</v>
      </c>
      <c r="M38" s="49">
        <v>44197</v>
      </c>
      <c r="N38" s="50">
        <v>19392.5</v>
      </c>
      <c r="O38" s="51">
        <v>263.29999999999927</v>
      </c>
      <c r="P38" s="52">
        <f t="shared" si="2"/>
        <v>162.37420902147568</v>
      </c>
    </row>
    <row r="39" spans="2:16" x14ac:dyDescent="0.45">
      <c r="B39" s="64">
        <v>44228</v>
      </c>
      <c r="C39" s="67">
        <v>19628.2</v>
      </c>
      <c r="D39" s="66">
        <v>262.79999999999927</v>
      </c>
      <c r="E39" s="65">
        <f t="shared" si="1"/>
        <v>51.981654201958946</v>
      </c>
      <c r="G39" s="38">
        <v>44228</v>
      </c>
      <c r="H39" s="39">
        <v>19628.2</v>
      </c>
      <c r="I39" s="19">
        <v>262.79999999999927</v>
      </c>
      <c r="J39" s="20">
        <f t="shared" si="0"/>
        <v>49.957798273688987</v>
      </c>
      <c r="M39" s="49">
        <v>44228</v>
      </c>
      <c r="N39" s="50">
        <v>19628.2</v>
      </c>
      <c r="O39" s="51">
        <v>262.79999999999927</v>
      </c>
      <c r="P39" s="52">
        <f t="shared" si="2"/>
        <v>22.084430057293716</v>
      </c>
    </row>
    <row r="40" spans="2:16" x14ac:dyDescent="0.45">
      <c r="B40" s="64">
        <v>44256</v>
      </c>
      <c r="C40" s="67">
        <v>19852.2</v>
      </c>
      <c r="D40" s="66">
        <v>231.40000000000146</v>
      </c>
      <c r="E40" s="65">
        <f t="shared" si="1"/>
        <v>8.9886586279375535</v>
      </c>
      <c r="G40" s="38">
        <v>44256</v>
      </c>
      <c r="H40" s="39">
        <v>19852.2</v>
      </c>
      <c r="I40" s="19">
        <v>231.40000000000146</v>
      </c>
      <c r="J40" s="20">
        <f t="shared" si="0"/>
        <v>10.956274274418917</v>
      </c>
      <c r="M40" s="49">
        <v>44256</v>
      </c>
      <c r="N40" s="50">
        <v>19852.2</v>
      </c>
      <c r="O40" s="51">
        <v>231.40000000000146</v>
      </c>
      <c r="P40" s="52">
        <f t="shared" si="2"/>
        <v>-14.490007567465753</v>
      </c>
    </row>
    <row r="41" spans="2:16" x14ac:dyDescent="0.45">
      <c r="B41" s="64">
        <v>44287</v>
      </c>
      <c r="C41" s="67">
        <v>20189</v>
      </c>
      <c r="D41" s="66">
        <v>303.70000000000073</v>
      </c>
      <c r="E41" s="65">
        <f t="shared" si="1"/>
        <v>223.16014491650498</v>
      </c>
      <c r="G41" s="38">
        <v>44287</v>
      </c>
      <c r="H41" s="39">
        <v>20189</v>
      </c>
      <c r="I41" s="19">
        <v>303.70000000000073</v>
      </c>
      <c r="J41" s="20">
        <f t="shared" si="0"/>
        <v>221.52469987801408</v>
      </c>
      <c r="M41" s="49">
        <v>44287</v>
      </c>
      <c r="N41" s="50">
        <v>20189</v>
      </c>
      <c r="O41" s="51">
        <v>303.70000000000073</v>
      </c>
      <c r="P41" s="52">
        <f t="shared" si="2"/>
        <v>194.78253987241209</v>
      </c>
    </row>
    <row r="42" spans="2:16" x14ac:dyDescent="0.45">
      <c r="B42" s="64">
        <v>44317</v>
      </c>
      <c r="C42" s="67">
        <v>20457</v>
      </c>
      <c r="D42" s="66">
        <v>283.5</v>
      </c>
      <c r="E42" s="65">
        <f t="shared" si="1"/>
        <v>-67.958639291950675</v>
      </c>
      <c r="G42" s="38">
        <v>44317</v>
      </c>
      <c r="H42" s="39">
        <v>20457</v>
      </c>
      <c r="I42" s="19">
        <v>283.5</v>
      </c>
      <c r="J42" s="20">
        <f t="shared" si="0"/>
        <v>-66.82535601753915</v>
      </c>
      <c r="M42" s="49">
        <v>44317</v>
      </c>
      <c r="N42" s="50">
        <v>20457</v>
      </c>
      <c r="O42" s="51">
        <v>283.5</v>
      </c>
      <c r="P42" s="52">
        <f t="shared" si="2"/>
        <v>-93.357031480672731</v>
      </c>
    </row>
    <row r="43" spans="2:16" x14ac:dyDescent="0.45">
      <c r="B43" s="64">
        <v>44348</v>
      </c>
      <c r="C43" s="67">
        <v>20499.2</v>
      </c>
      <c r="D43" s="66">
        <v>17.399999999997817</v>
      </c>
      <c r="E43" s="65">
        <f t="shared" si="1"/>
        <v>-58.367930114621316</v>
      </c>
      <c r="G43" s="38">
        <v>44348</v>
      </c>
      <c r="H43" s="39">
        <v>20499.2</v>
      </c>
      <c r="I43" s="19">
        <v>17.399999999997817</v>
      </c>
      <c r="J43" s="20">
        <f t="shared" si="0"/>
        <v>-58.937817836357937</v>
      </c>
      <c r="M43" s="49">
        <v>44348</v>
      </c>
      <c r="N43" s="50">
        <v>20499.2</v>
      </c>
      <c r="O43" s="51">
        <v>17.399999999997817</v>
      </c>
      <c r="P43" s="52">
        <f t="shared" si="2"/>
        <v>-84.78953404776793</v>
      </c>
    </row>
    <row r="44" spans="2:16" x14ac:dyDescent="0.45">
      <c r="B44" s="64">
        <v>44378</v>
      </c>
      <c r="C44" s="67">
        <v>20654.400000000001</v>
      </c>
      <c r="D44" s="66">
        <v>155.5</v>
      </c>
      <c r="E44" s="65">
        <f t="shared" si="1"/>
        <v>163.09794512324612</v>
      </c>
      <c r="G44" s="38">
        <v>44378</v>
      </c>
      <c r="H44" s="39">
        <v>20654.400000000001</v>
      </c>
      <c r="I44" s="19">
        <v>155.5</v>
      </c>
      <c r="J44" s="20">
        <f t="shared" si="0"/>
        <v>163.13829484427862</v>
      </c>
      <c r="M44" s="49">
        <v>44378</v>
      </c>
      <c r="N44" s="50">
        <v>20654.400000000001</v>
      </c>
      <c r="O44" s="51">
        <v>155.5</v>
      </c>
      <c r="P44" s="52">
        <f t="shared" si="2"/>
        <v>136.00074872181023</v>
      </c>
    </row>
    <row r="45" spans="2:16" x14ac:dyDescent="0.45">
      <c r="B45" s="64">
        <v>44409</v>
      </c>
      <c r="C45" s="67">
        <v>20837</v>
      </c>
      <c r="D45" s="66">
        <v>207.60000000000218</v>
      </c>
      <c r="E45" s="65">
        <f t="shared" si="1"/>
        <v>16.691421407441801</v>
      </c>
      <c r="G45" s="38">
        <v>44409</v>
      </c>
      <c r="H45" s="39">
        <v>20837</v>
      </c>
      <c r="I45" s="19">
        <v>207.60000000000218</v>
      </c>
      <c r="J45" s="20">
        <f t="shared" si="0"/>
        <v>17.076385286707506</v>
      </c>
      <c r="M45" s="49">
        <v>44409</v>
      </c>
      <c r="N45" s="50">
        <v>20837</v>
      </c>
      <c r="O45" s="51">
        <v>207.60000000000218</v>
      </c>
      <c r="P45" s="52">
        <f t="shared" si="2"/>
        <v>-8.4834197440814876</v>
      </c>
    </row>
    <row r="46" spans="2:16" x14ac:dyDescent="0.45">
      <c r="B46" s="64">
        <v>44440</v>
      </c>
      <c r="C46" s="67">
        <v>21004.6</v>
      </c>
      <c r="D46" s="66">
        <v>140.09999999999854</v>
      </c>
      <c r="E46" s="65">
        <f t="shared" si="1"/>
        <v>21.757667706931869</v>
      </c>
      <c r="G46" s="38">
        <v>44440</v>
      </c>
      <c r="H46" s="39">
        <v>21004.6</v>
      </c>
      <c r="I46" s="19">
        <v>140.09999999999854</v>
      </c>
      <c r="J46" s="20">
        <f t="shared" si="0"/>
        <v>21.092112463557044</v>
      </c>
      <c r="M46" s="49">
        <v>44440</v>
      </c>
      <c r="N46" s="50">
        <v>21004.6</v>
      </c>
      <c r="O46" s="51">
        <v>140.09999999999854</v>
      </c>
      <c r="P46" s="52">
        <f t="shared" si="2"/>
        <v>-6.0460047976287257</v>
      </c>
    </row>
    <row r="47" spans="2:16" x14ac:dyDescent="0.45">
      <c r="B47" s="64">
        <v>44470</v>
      </c>
      <c r="C47" s="67">
        <v>21168</v>
      </c>
      <c r="D47" s="66">
        <v>179.59999999999854</v>
      </c>
      <c r="E47" s="65">
        <f t="shared" si="1"/>
        <v>97.3326236163159</v>
      </c>
      <c r="G47" s="38">
        <v>44470</v>
      </c>
      <c r="H47" s="39">
        <v>21168</v>
      </c>
      <c r="I47" s="19">
        <v>179.59999999999854</v>
      </c>
      <c r="J47" s="20">
        <f t="shared" si="0"/>
        <v>98.123127578243199</v>
      </c>
      <c r="M47" s="49">
        <v>44470</v>
      </c>
      <c r="N47" s="50">
        <v>21168</v>
      </c>
      <c r="O47" s="51">
        <v>179.59999999999854</v>
      </c>
      <c r="P47" s="52">
        <f t="shared" si="2"/>
        <v>72.333057230324513</v>
      </c>
    </row>
    <row r="48" spans="2:16" x14ac:dyDescent="0.45">
      <c r="B48" s="64">
        <v>44501</v>
      </c>
      <c r="C48" s="67">
        <v>21337.9</v>
      </c>
      <c r="D48" s="66">
        <v>174.90000000000146</v>
      </c>
      <c r="E48" s="65">
        <f t="shared" si="1"/>
        <v>2.8351219642529877</v>
      </c>
      <c r="G48" s="38">
        <v>44501</v>
      </c>
      <c r="H48" s="39">
        <v>21337.9</v>
      </c>
      <c r="I48" s="19">
        <v>174.90000000000146</v>
      </c>
      <c r="J48" s="20">
        <f t="shared" si="0"/>
        <v>2.0612094884379069</v>
      </c>
      <c r="M48" s="49">
        <v>44501</v>
      </c>
      <c r="N48" s="50">
        <v>21337.9</v>
      </c>
      <c r="O48" s="51">
        <v>174.90000000000146</v>
      </c>
      <c r="P48" s="52">
        <f t="shared" si="2"/>
        <v>-24.697470933187063</v>
      </c>
    </row>
    <row r="49" spans="2:16" x14ac:dyDescent="0.45">
      <c r="B49" s="64">
        <v>44531</v>
      </c>
      <c r="C49" s="67">
        <v>21494</v>
      </c>
      <c r="D49" s="66">
        <v>163</v>
      </c>
      <c r="E49" s="65">
        <f t="shared" si="1"/>
        <v>77.914162954849232</v>
      </c>
      <c r="G49" s="38">
        <v>44531</v>
      </c>
      <c r="H49" s="39">
        <v>21494</v>
      </c>
      <c r="I49" s="19">
        <v>163</v>
      </c>
      <c r="J49" s="20">
        <f t="shared" si="0"/>
        <v>78.561803784289353</v>
      </c>
      <c r="M49" s="49">
        <v>44531</v>
      </c>
      <c r="N49" s="50">
        <v>21494</v>
      </c>
      <c r="O49" s="51">
        <v>163</v>
      </c>
      <c r="P49" s="52">
        <f t="shared" si="2"/>
        <v>52.329612861390544</v>
      </c>
    </row>
    <row r="50" spans="2:16" x14ac:dyDescent="0.45">
      <c r="B50" s="64">
        <v>44562</v>
      </c>
      <c r="C50" s="67">
        <v>21614</v>
      </c>
      <c r="D50" s="66">
        <v>151.59999999999854</v>
      </c>
      <c r="E50" s="65">
        <f t="shared" si="1"/>
        <v>8.5677107585630594</v>
      </c>
      <c r="G50" s="38">
        <v>44562</v>
      </c>
      <c r="H50" s="39">
        <v>21614</v>
      </c>
      <c r="I50" s="19">
        <v>151.59999999999854</v>
      </c>
      <c r="J50" s="20">
        <f t="shared" si="0"/>
        <v>8.1147542603653093</v>
      </c>
      <c r="M50" s="49">
        <v>44562</v>
      </c>
      <c r="N50" s="50">
        <v>21614</v>
      </c>
      <c r="O50" s="51">
        <v>151.59999999999854</v>
      </c>
      <c r="P50" s="52">
        <f t="shared" si="2"/>
        <v>-18.216786746128605</v>
      </c>
    </row>
    <row r="51" spans="2:16" x14ac:dyDescent="0.45">
      <c r="B51" s="64">
        <v>44593</v>
      </c>
      <c r="C51" s="67">
        <v>21712.7</v>
      </c>
      <c r="D51" s="66">
        <v>75.100000000002183</v>
      </c>
      <c r="E51" s="65">
        <f t="shared" si="1"/>
        <v>-13.560424055846084</v>
      </c>
      <c r="G51" s="38">
        <v>44593</v>
      </c>
      <c r="H51" s="39">
        <v>21712.7</v>
      </c>
      <c r="I51" s="19">
        <v>75.100000000002183</v>
      </c>
      <c r="J51" s="20">
        <f t="shared" si="0"/>
        <v>-13.327878516272094</v>
      </c>
      <c r="M51" s="49">
        <v>44593</v>
      </c>
      <c r="N51" s="50">
        <v>21712.7</v>
      </c>
      <c r="O51" s="51">
        <v>75.100000000002183</v>
      </c>
      <c r="P51" s="52">
        <f t="shared" si="2"/>
        <v>-39.912903936751249</v>
      </c>
    </row>
    <row r="52" spans="2:16" x14ac:dyDescent="0.45">
      <c r="B52" s="64">
        <v>44621</v>
      </c>
      <c r="C52" s="67">
        <v>21749.8</v>
      </c>
      <c r="D52" s="66">
        <v>62</v>
      </c>
      <c r="E52" s="65">
        <f t="shared" si="1"/>
        <v>33.425861907344185</v>
      </c>
      <c r="G52" s="38">
        <v>44621</v>
      </c>
      <c r="H52" s="39">
        <v>21749.8</v>
      </c>
      <c r="I52" s="19">
        <v>62</v>
      </c>
      <c r="J52" s="20">
        <f t="shared" si="0"/>
        <v>33.401884170413481</v>
      </c>
      <c r="M52" s="49">
        <v>44621</v>
      </c>
      <c r="N52" s="50">
        <v>21749.8</v>
      </c>
      <c r="O52" s="51">
        <v>62</v>
      </c>
      <c r="P52" s="52">
        <f t="shared" si="2"/>
        <v>7.3127478477467349</v>
      </c>
    </row>
    <row r="53" spans="2:16" x14ac:dyDescent="0.45">
      <c r="B53" s="64">
        <v>44652</v>
      </c>
      <c r="C53" s="67">
        <v>21780.3</v>
      </c>
      <c r="D53" s="66">
        <v>-17.799999999999272</v>
      </c>
      <c r="E53" s="65">
        <f t="shared" si="1"/>
        <v>-81.263035809629116</v>
      </c>
      <c r="G53" s="38">
        <v>44652</v>
      </c>
      <c r="H53" s="39">
        <v>21780.3</v>
      </c>
      <c r="I53" s="19">
        <v>-17.799999999999272</v>
      </c>
      <c r="J53" s="20">
        <f t="shared" si="0"/>
        <v>-81.407757180688535</v>
      </c>
      <c r="M53" s="49">
        <v>44652</v>
      </c>
      <c r="N53" s="50">
        <v>21780.3</v>
      </c>
      <c r="O53" s="51">
        <v>-17.799999999999272</v>
      </c>
      <c r="P53" s="52">
        <f t="shared" si="2"/>
        <v>-108.11228773862793</v>
      </c>
    </row>
    <row r="54" spans="2:16" x14ac:dyDescent="0.45">
      <c r="B54" s="64">
        <v>44682</v>
      </c>
      <c r="C54" s="67">
        <v>21723.200000000001</v>
      </c>
      <c r="D54" s="66">
        <v>-49.5</v>
      </c>
      <c r="E54" s="65">
        <f t="shared" si="1"/>
        <v>14.97066445254336</v>
      </c>
      <c r="G54" s="38">
        <v>44682</v>
      </c>
      <c r="H54" s="39">
        <v>21723.200000000001</v>
      </c>
      <c r="I54" s="19">
        <v>-49.5</v>
      </c>
      <c r="J54" s="20">
        <f t="shared" si="0"/>
        <v>15.22784689507381</v>
      </c>
      <c r="M54" s="49">
        <v>44682</v>
      </c>
      <c r="N54" s="50">
        <v>21723.200000000001</v>
      </c>
      <c r="O54" s="51">
        <v>-49.5</v>
      </c>
      <c r="P54" s="52">
        <f t="shared" si="2"/>
        <v>-10.856594907831095</v>
      </c>
    </row>
    <row r="55" spans="2:16" x14ac:dyDescent="0.45">
      <c r="B55" s="64">
        <v>44713</v>
      </c>
      <c r="C55" s="67">
        <v>21676.799999999999</v>
      </c>
      <c r="D55" s="66">
        <v>-68.400000000001455</v>
      </c>
      <c r="E55" s="65">
        <f t="shared" si="1"/>
        <v>-54.113952913206106</v>
      </c>
      <c r="G55" s="38">
        <v>44713</v>
      </c>
      <c r="H55" s="39">
        <v>21676.799999999999</v>
      </c>
      <c r="I55" s="19">
        <v>-68.400000000001455</v>
      </c>
      <c r="J55" s="20">
        <f t="shared" si="0"/>
        <v>-54.422614093335355</v>
      </c>
      <c r="M55" s="49">
        <v>44713</v>
      </c>
      <c r="N55" s="50">
        <v>21676.799999999999</v>
      </c>
      <c r="O55" s="51">
        <v>-68.400000000001455</v>
      </c>
      <c r="P55" s="52">
        <f t="shared" si="2"/>
        <v>-81.040218324495982</v>
      </c>
    </row>
    <row r="56" spans="2:16" x14ac:dyDescent="0.45">
      <c r="B56" s="64">
        <v>44743</v>
      </c>
      <c r="C56" s="67">
        <v>21676.5</v>
      </c>
      <c r="D56" s="66">
        <v>1.4000000000014552</v>
      </c>
      <c r="E56" s="65">
        <f t="shared" si="1"/>
        <v>66.914162468737615</v>
      </c>
      <c r="G56" s="38">
        <v>44743</v>
      </c>
      <c r="H56" s="39">
        <v>21676.5</v>
      </c>
      <c r="I56" s="19">
        <v>1.4000000000014552</v>
      </c>
      <c r="J56" s="20">
        <f t="shared" si="0"/>
        <v>67.218476776883307</v>
      </c>
      <c r="M56" s="49">
        <v>44743</v>
      </c>
      <c r="N56" s="50">
        <v>21676.5</v>
      </c>
      <c r="O56" s="51">
        <v>1.4000000000014552</v>
      </c>
      <c r="P56" s="52">
        <f t="shared" si="2"/>
        <v>40.987248162354163</v>
      </c>
    </row>
    <row r="57" spans="2:16" x14ac:dyDescent="0.45">
      <c r="B57" s="64">
        <v>44774</v>
      </c>
      <c r="C57" s="67">
        <v>21644</v>
      </c>
      <c r="D57" s="66">
        <v>-14.5</v>
      </c>
      <c r="E57" s="65">
        <f t="shared" si="1"/>
        <v>-47.873640175419467</v>
      </c>
      <c r="G57" s="38">
        <v>44774</v>
      </c>
      <c r="H57" s="39">
        <v>21644</v>
      </c>
      <c r="I57" s="19">
        <v>-14.5</v>
      </c>
      <c r="J57" s="20">
        <f t="shared" si="0"/>
        <v>-48.130026921514556</v>
      </c>
      <c r="M57" s="49">
        <v>44774</v>
      </c>
      <c r="N57" s="50">
        <v>21644</v>
      </c>
      <c r="O57" s="51">
        <v>-14.5</v>
      </c>
      <c r="P57" s="52">
        <f t="shared" si="2"/>
        <v>-74.57488973875715</v>
      </c>
    </row>
    <row r="58" spans="2:16" x14ac:dyDescent="0.45">
      <c r="B58" s="64">
        <v>44805</v>
      </c>
      <c r="C58" s="67">
        <v>21560.6</v>
      </c>
      <c r="D58" s="66">
        <v>-101.70000000000073</v>
      </c>
      <c r="E58" s="65">
        <f t="shared" si="1"/>
        <v>-74.419413822624165</v>
      </c>
      <c r="G58" s="38">
        <v>44805</v>
      </c>
      <c r="H58" s="39">
        <v>21560.6</v>
      </c>
      <c r="I58" s="19">
        <v>-101.70000000000073</v>
      </c>
      <c r="J58" s="20">
        <f t="shared" si="0"/>
        <v>-74.238466237319798</v>
      </c>
      <c r="M58" s="49">
        <v>44805</v>
      </c>
      <c r="N58" s="50">
        <v>21560.6</v>
      </c>
      <c r="O58" s="51">
        <v>-101.70000000000073</v>
      </c>
      <c r="P58" s="52">
        <f t="shared" si="2"/>
        <v>-100.63774200908125</v>
      </c>
    </row>
    <row r="59" spans="2:16" x14ac:dyDescent="0.45">
      <c r="B59" s="64">
        <v>44835</v>
      </c>
      <c r="C59" s="67">
        <v>21465.8</v>
      </c>
      <c r="D59" s="66">
        <v>-75</v>
      </c>
      <c r="E59" s="65">
        <f t="shared" si="1"/>
        <v>41.300705398642876</v>
      </c>
      <c r="G59" s="38">
        <v>44835</v>
      </c>
      <c r="H59" s="39">
        <v>21465.8</v>
      </c>
      <c r="I59" s="19">
        <v>-75</v>
      </c>
      <c r="J59" s="20">
        <f t="shared" si="0"/>
        <v>41.205959564270998</v>
      </c>
      <c r="M59" s="49">
        <v>44835</v>
      </c>
      <c r="N59" s="50">
        <v>21465.8</v>
      </c>
      <c r="O59" s="51">
        <v>-75</v>
      </c>
      <c r="P59" s="52">
        <f t="shared" si="2"/>
        <v>14.900860731751123</v>
      </c>
    </row>
    <row r="60" spans="2:16" x14ac:dyDescent="0.45">
      <c r="B60" s="64">
        <v>44866</v>
      </c>
      <c r="C60" s="67">
        <v>21408.6</v>
      </c>
      <c r="D60" s="66">
        <v>-55</v>
      </c>
      <c r="E60" s="65">
        <f t="shared" si="1"/>
        <v>-59.055631463338855</v>
      </c>
      <c r="G60" s="38">
        <v>44866</v>
      </c>
      <c r="H60" s="39">
        <v>21408.6</v>
      </c>
      <c r="I60" s="19">
        <v>-55</v>
      </c>
      <c r="J60" s="20">
        <f t="shared" si="0"/>
        <v>-59.043010809844034</v>
      </c>
      <c r="M60" s="49">
        <v>44866</v>
      </c>
      <c r="N60" s="50">
        <v>21408.6</v>
      </c>
      <c r="O60" s="51">
        <v>-55</v>
      </c>
      <c r="P60" s="52">
        <f t="shared" si="2"/>
        <v>-85.539218463086925</v>
      </c>
    </row>
    <row r="61" spans="2:16" x14ac:dyDescent="0.45">
      <c r="B61" s="64">
        <v>44896</v>
      </c>
      <c r="C61" s="67">
        <v>21266.400000000001</v>
      </c>
      <c r="D61" s="66">
        <v>-115.79999999999927</v>
      </c>
      <c r="E61" s="65">
        <f t="shared" si="1"/>
        <v>-35.389759103689364</v>
      </c>
      <c r="G61" s="38">
        <v>44896</v>
      </c>
      <c r="H61" s="39">
        <v>21266.400000000001</v>
      </c>
      <c r="I61" s="19">
        <v>-115.79999999999927</v>
      </c>
      <c r="J61" s="20">
        <f t="shared" si="0"/>
        <v>-35.335488441794446</v>
      </c>
      <c r="M61" s="49">
        <v>44896</v>
      </c>
      <c r="N61" s="50">
        <v>21266.400000000001</v>
      </c>
      <c r="O61" s="51">
        <v>-115.79999999999927</v>
      </c>
      <c r="P61" s="52">
        <f t="shared" si="2"/>
        <v>-61.591749634319072</v>
      </c>
    </row>
    <row r="62" spans="2:16" x14ac:dyDescent="0.45">
      <c r="B62" s="64">
        <v>44927</v>
      </c>
      <c r="C62" s="67">
        <v>21249.4</v>
      </c>
      <c r="D62" s="66">
        <v>-11</v>
      </c>
      <c r="E62" s="65">
        <f t="shared" si="1"/>
        <v>68.978605262621443</v>
      </c>
      <c r="G62" s="38">
        <v>44927</v>
      </c>
      <c r="H62" s="39">
        <v>21249.4</v>
      </c>
      <c r="I62" s="19">
        <v>-11</v>
      </c>
      <c r="J62" s="20">
        <f t="shared" si="0"/>
        <v>68.879287288641038</v>
      </c>
      <c r="M62" s="49">
        <v>44927</v>
      </c>
      <c r="N62" s="50">
        <v>21249.4</v>
      </c>
      <c r="O62" s="51">
        <v>-11</v>
      </c>
      <c r="P62" s="52">
        <f t="shared" si="2"/>
        <v>42.379473644644108</v>
      </c>
    </row>
    <row r="63" spans="2:16" x14ac:dyDescent="0.45">
      <c r="B63" s="64">
        <v>44958</v>
      </c>
      <c r="C63" s="67">
        <v>21226.9</v>
      </c>
      <c r="D63" s="66">
        <v>-36.200000000000728</v>
      </c>
      <c r="E63" s="65">
        <f t="shared" si="1"/>
        <v>-74.657812457053041</v>
      </c>
      <c r="G63" s="38">
        <v>44958</v>
      </c>
      <c r="H63" s="39">
        <v>21226.9</v>
      </c>
      <c r="I63" s="19">
        <v>-36.200000000000728</v>
      </c>
      <c r="J63" s="20">
        <f t="shared" si="0"/>
        <v>-74.537333511444885</v>
      </c>
      <c r="M63" s="49">
        <v>44958</v>
      </c>
      <c r="N63" s="50">
        <v>21226.9</v>
      </c>
      <c r="O63" s="51">
        <v>-36.200000000000728</v>
      </c>
      <c r="P63" s="52">
        <f t="shared" si="2"/>
        <v>-100.8263411124089</v>
      </c>
    </row>
    <row r="64" spans="2:16" x14ac:dyDescent="0.45">
      <c r="B64" s="64">
        <v>44986</v>
      </c>
      <c r="C64" s="67">
        <v>20917.400000000001</v>
      </c>
      <c r="D64" s="66">
        <v>-296.29999999999927</v>
      </c>
      <c r="E64" s="65">
        <f t="shared" si="1"/>
        <v>-226.01424130164105</v>
      </c>
      <c r="G64" s="38">
        <v>44986</v>
      </c>
      <c r="H64" s="39">
        <v>20917.400000000001</v>
      </c>
      <c r="I64" s="19">
        <v>-296.29999999999927</v>
      </c>
      <c r="J64" s="20">
        <f t="shared" si="0"/>
        <v>-226.13386897094827</v>
      </c>
      <c r="M64" s="49">
        <v>44986</v>
      </c>
      <c r="N64" s="50">
        <v>20917.400000000001</v>
      </c>
      <c r="O64" s="51">
        <v>-296.29999999999927</v>
      </c>
      <c r="P64" s="52">
        <f t="shared" si="2"/>
        <v>-252.57693052223431</v>
      </c>
    </row>
    <row r="65" spans="2:16" x14ac:dyDescent="0.45">
      <c r="B65" s="64">
        <v>45017</v>
      </c>
      <c r="C65" s="67">
        <v>20770.400000000001</v>
      </c>
      <c r="D65" s="66">
        <v>-186</v>
      </c>
      <c r="E65" s="65">
        <f t="shared" si="1"/>
        <v>116.28432696720387</v>
      </c>
      <c r="G65" s="38">
        <v>45017</v>
      </c>
      <c r="H65" s="39">
        <v>20770.400000000001</v>
      </c>
      <c r="I65" s="19">
        <v>-186</v>
      </c>
      <c r="J65" s="20">
        <f t="shared" si="0"/>
        <v>116.3857932189304</v>
      </c>
      <c r="M65" s="49">
        <v>45017</v>
      </c>
      <c r="N65" s="50">
        <v>20770.400000000001</v>
      </c>
      <c r="O65" s="51">
        <v>-186</v>
      </c>
      <c r="P65" s="52">
        <f t="shared" si="2"/>
        <v>90.029316083997557</v>
      </c>
    </row>
    <row r="66" spans="2:16" x14ac:dyDescent="0.45">
      <c r="B66" s="64">
        <v>45047</v>
      </c>
      <c r="C66" s="67">
        <v>20840.8</v>
      </c>
      <c r="D66" s="66">
        <v>68.19999999999709</v>
      </c>
      <c r="E66" s="65">
        <f t="shared" si="1"/>
        <v>85.36208229830649</v>
      </c>
      <c r="G66" s="38">
        <v>45047</v>
      </c>
      <c r="H66" s="39">
        <v>20840.8</v>
      </c>
      <c r="I66" s="19">
        <v>68.19999999999709</v>
      </c>
      <c r="J66" s="20">
        <f t="shared" si="0"/>
        <v>85.289832952437962</v>
      </c>
      <c r="M66" s="49">
        <v>45047</v>
      </c>
      <c r="N66" s="50">
        <v>20840.8</v>
      </c>
      <c r="O66" s="51">
        <v>68.19999999999709</v>
      </c>
      <c r="P66" s="52">
        <f t="shared" si="2"/>
        <v>58.912866880819124</v>
      </c>
    </row>
    <row r="67" spans="2:16" x14ac:dyDescent="0.45">
      <c r="B67" s="64">
        <v>45078</v>
      </c>
      <c r="C67" s="67">
        <v>20823.8</v>
      </c>
      <c r="D67" s="66">
        <v>-30.19999999999709</v>
      </c>
      <c r="E67" s="65">
        <f t="shared" si="1"/>
        <v>-117.73365110259348</v>
      </c>
      <c r="G67" s="38">
        <v>45078</v>
      </c>
      <c r="H67" s="39">
        <v>20823.8</v>
      </c>
      <c r="I67" s="19">
        <v>-30.19999999999709</v>
      </c>
      <c r="J67" s="20">
        <f t="shared" si="0"/>
        <v>-117.6951041242198</v>
      </c>
      <c r="M67" s="49">
        <v>45078</v>
      </c>
      <c r="N67" s="50">
        <v>20823.8</v>
      </c>
      <c r="O67" s="51">
        <v>-30.19999999999709</v>
      </c>
      <c r="P67" s="52">
        <f t="shared" si="2"/>
        <v>-144.10692659563301</v>
      </c>
    </row>
    <row r="68" spans="2:16" x14ac:dyDescent="0.45">
      <c r="B68" s="64">
        <v>45108</v>
      </c>
      <c r="C68" s="67">
        <v>20815.5</v>
      </c>
      <c r="D68" s="66">
        <v>-8</v>
      </c>
      <c r="E68" s="65">
        <f t="shared" si="1"/>
        <v>101.63018934016641</v>
      </c>
      <c r="G68" s="38">
        <v>45108</v>
      </c>
      <c r="H68" s="39">
        <v>20815.5</v>
      </c>
      <c r="I68" s="19">
        <v>-8</v>
      </c>
      <c r="J68" s="20">
        <f t="shared" si="0"/>
        <v>101.623970782242</v>
      </c>
      <c r="M68" s="49">
        <v>45108</v>
      </c>
      <c r="N68" s="50">
        <v>20815.5</v>
      </c>
      <c r="O68" s="51">
        <v>-8</v>
      </c>
      <c r="P68" s="52">
        <f t="shared" si="2"/>
        <v>75.285745122407135</v>
      </c>
    </row>
    <row r="69" spans="2:16" x14ac:dyDescent="0.45">
      <c r="B69" s="64">
        <v>45139</v>
      </c>
      <c r="C69" s="67">
        <v>20792.5</v>
      </c>
      <c r="D69" s="66">
        <v>-13.900000000001455</v>
      </c>
      <c r="E69" s="65">
        <f t="shared" si="1"/>
        <v>-89.130092408110372</v>
      </c>
      <c r="G69" s="38">
        <v>45139</v>
      </c>
      <c r="H69" s="39">
        <v>20792.5</v>
      </c>
      <c r="I69" s="19">
        <v>-13.900000000001455</v>
      </c>
      <c r="J69" s="20">
        <f t="shared" si="0"/>
        <v>-89.15038828111598</v>
      </c>
      <c r="M69" s="49">
        <v>45139</v>
      </c>
      <c r="N69" s="50">
        <v>20792.5</v>
      </c>
      <c r="O69" s="51">
        <v>-13.900000000001455</v>
      </c>
      <c r="P69" s="52">
        <f t="shared" si="2"/>
        <v>-115.58213632636206</v>
      </c>
    </row>
    <row r="70" spans="2:16" x14ac:dyDescent="0.45">
      <c r="B70" s="64">
        <v>45170</v>
      </c>
      <c r="C70" s="67">
        <v>20771.8</v>
      </c>
      <c r="D70" s="66">
        <v>-29.700000000000728</v>
      </c>
      <c r="E70" s="65">
        <f t="shared" si="1"/>
        <v>36.858130725825319</v>
      </c>
      <c r="G70" s="38">
        <v>45170</v>
      </c>
      <c r="H70" s="39">
        <v>20771.8</v>
      </c>
      <c r="I70" s="19">
        <v>-29.700000000000728</v>
      </c>
      <c r="J70" s="20">
        <f t="shared" ref="J70:J81" si="3">I70+0.48732*I69-0.38935*I68-0.133*I67-1.64586*J69-0.79204*J68</f>
        <v>36.896460237988791</v>
      </c>
      <c r="M70" s="49">
        <v>45170</v>
      </c>
      <c r="N70" s="50">
        <v>20771.8</v>
      </c>
      <c r="O70" s="51">
        <v>-29.700000000000728</v>
      </c>
      <c r="P70" s="52">
        <f t="shared" si="2"/>
        <v>10.56034532735309</v>
      </c>
    </row>
    <row r="71" spans="2:16" x14ac:dyDescent="0.45">
      <c r="B71" s="64">
        <v>45200</v>
      </c>
      <c r="C71" s="67">
        <v>20737.099999999999</v>
      </c>
      <c r="D71" s="66">
        <v>-14.899999999997817</v>
      </c>
      <c r="E71" s="65">
        <f t="shared" ref="E71:E81" si="4">D71+0.48732*D70-0.38935*D69-0.133*D68-1.64586*E70-0.79204*E69</f>
        <v>-12.966163645484727</v>
      </c>
      <c r="G71" s="38">
        <v>45200</v>
      </c>
      <c r="H71" s="39">
        <v>20737.099999999999</v>
      </c>
      <c r="I71" s="19">
        <v>-14.899999999997817</v>
      </c>
      <c r="J71" s="20">
        <f t="shared" si="3"/>
        <v>-13.013173513118744</v>
      </c>
      <c r="M71" s="49">
        <v>45200</v>
      </c>
      <c r="N71" s="50">
        <v>20737.099999999999</v>
      </c>
      <c r="O71" s="51">
        <v>-14.899999999997817</v>
      </c>
      <c r="P71" s="52">
        <f t="shared" ref="P71:P81" si="5">O71+0.48732*O70-0.38935*O69-0.133*O68-1.64586*P70-0.79204*P69-90.7</f>
        <v>-39.432613704543172</v>
      </c>
    </row>
    <row r="72" spans="2:16" x14ac:dyDescent="0.45">
      <c r="B72" s="64">
        <v>45231</v>
      </c>
      <c r="C72" s="67">
        <v>20743.400000000001</v>
      </c>
      <c r="D72" s="66">
        <v>13.5</v>
      </c>
      <c r="E72" s="65">
        <f t="shared" si="4"/>
        <v>11.798703237476353</v>
      </c>
      <c r="G72" s="38">
        <v>45231</v>
      </c>
      <c r="H72" s="39">
        <v>20743.400000000001</v>
      </c>
      <c r="I72" s="19">
        <v>13.5</v>
      </c>
      <c r="J72" s="20">
        <f t="shared" si="3"/>
        <v>11.845716391406516</v>
      </c>
      <c r="M72" s="49">
        <v>45231</v>
      </c>
      <c r="N72" s="50">
        <v>20743.400000000001</v>
      </c>
      <c r="O72" s="51">
        <v>13.5</v>
      </c>
      <c r="P72" s="52">
        <f t="shared" si="5"/>
        <v>-14.512327321315766</v>
      </c>
    </row>
    <row r="73" spans="2:16" x14ac:dyDescent="0.45">
      <c r="B73" s="64">
        <v>45261</v>
      </c>
      <c r="C73" s="67">
        <v>20745.099999999999</v>
      </c>
      <c r="D73" s="66">
        <v>31.399999999997817</v>
      </c>
      <c r="E73" s="65">
        <f t="shared" si="4"/>
        <v>38.580941543333957</v>
      </c>
      <c r="G73" s="38">
        <v>45261</v>
      </c>
      <c r="H73" s="39">
        <v>20745.099999999999</v>
      </c>
      <c r="I73" s="19">
        <v>31.399999999997817</v>
      </c>
      <c r="J73" s="20">
        <f t="shared" si="3"/>
        <v>38.540798169367307</v>
      </c>
      <c r="M73" s="49">
        <v>45261</v>
      </c>
      <c r="N73" s="50">
        <v>20745.099999999999</v>
      </c>
      <c r="O73" s="51">
        <v>31.399999999997817</v>
      </c>
      <c r="P73" s="52">
        <f t="shared" si="5"/>
        <v>12.147701403604202</v>
      </c>
    </row>
    <row r="74" spans="2:16" x14ac:dyDescent="0.45">
      <c r="B74" s="64">
        <v>45292</v>
      </c>
      <c r="C74" s="67">
        <v>20815.3</v>
      </c>
      <c r="D74" s="66">
        <v>65.900000000001455</v>
      </c>
      <c r="E74" s="65">
        <f t="shared" si="4"/>
        <v>5.0834496392776991</v>
      </c>
      <c r="G74" s="38">
        <v>45292</v>
      </c>
      <c r="H74" s="39">
        <v>20815.3</v>
      </c>
      <c r="I74" s="19">
        <v>65.900000000001455</v>
      </c>
      <c r="J74" s="20">
        <f t="shared" si="3"/>
        <v>5.112283714315609</v>
      </c>
      <c r="M74" s="49">
        <v>45292</v>
      </c>
      <c r="N74" s="50">
        <v>20815.3</v>
      </c>
      <c r="O74" s="51">
        <v>65.900000000001455</v>
      </c>
      <c r="P74" s="52">
        <f t="shared" si="5"/>
        <v>-21.271749100560967</v>
      </c>
    </row>
    <row r="75" spans="2:16" x14ac:dyDescent="0.45">
      <c r="B75" s="64">
        <v>45323</v>
      </c>
      <c r="C75" s="67">
        <v>20903</v>
      </c>
      <c r="D75" s="66">
        <v>83.200000000000728</v>
      </c>
      <c r="E75" s="65">
        <f t="shared" si="4"/>
        <v>62.369002636718463</v>
      </c>
      <c r="G75" s="38">
        <v>45323</v>
      </c>
      <c r="H75" s="39">
        <v>20903</v>
      </c>
      <c r="I75" s="19">
        <v>83.200000000000728</v>
      </c>
      <c r="J75" s="20">
        <f t="shared" si="3"/>
        <v>62.353340943893116</v>
      </c>
      <c r="M75" s="49">
        <v>45323</v>
      </c>
      <c r="N75" s="50">
        <v>20903</v>
      </c>
      <c r="O75" s="51">
        <v>83.200000000000728</v>
      </c>
      <c r="P75" s="52">
        <f t="shared" si="5"/>
        <v>35.982153554940879</v>
      </c>
    </row>
    <row r="76" spans="2:16" x14ac:dyDescent="0.45">
      <c r="B76" s="64">
        <v>45352</v>
      </c>
      <c r="C76" s="67">
        <v>20943.8</v>
      </c>
      <c r="D76" s="66">
        <v>46.299999999999272</v>
      </c>
      <c r="E76" s="65">
        <f t="shared" si="4"/>
        <v>-49.66628313196361</v>
      </c>
      <c r="G76" s="38">
        <v>45352</v>
      </c>
      <c r="H76" s="39">
        <v>20943.8</v>
      </c>
      <c r="I76" s="19">
        <v>46.299999999999272</v>
      </c>
      <c r="J76" s="20">
        <f t="shared" si="3"/>
        <v>-49.663343919003111</v>
      </c>
      <c r="M76" s="49">
        <v>45352</v>
      </c>
      <c r="N76" s="50">
        <v>20943.8</v>
      </c>
      <c r="O76" s="51">
        <v>46.299999999999272</v>
      </c>
      <c r="P76" s="52">
        <f t="shared" si="5"/>
        <v>-76.062852092327347</v>
      </c>
    </row>
    <row r="77" spans="2:16" x14ac:dyDescent="0.45">
      <c r="B77" s="64">
        <v>45383</v>
      </c>
      <c r="C77" s="67">
        <v>20969.900000000001</v>
      </c>
      <c r="D77" s="66">
        <v>-14.400000000001455</v>
      </c>
      <c r="E77" s="65">
        <f t="shared" si="4"/>
        <v>-0.65070009281514274</v>
      </c>
      <c r="G77" s="38">
        <v>45383</v>
      </c>
      <c r="H77" s="39">
        <v>20969.900000000001</v>
      </c>
      <c r="I77" s="19">
        <v>-14.400000000001455</v>
      </c>
      <c r="J77" s="20">
        <f t="shared" si="3"/>
        <v>-0.64313293867292742</v>
      </c>
      <c r="M77" s="49">
        <v>45383</v>
      </c>
      <c r="N77" s="50">
        <v>20969.900000000001</v>
      </c>
      <c r="O77" s="51">
        <v>-14.400000000001455</v>
      </c>
      <c r="P77" s="52">
        <f t="shared" si="5"/>
        <v>-27.006203156979772</v>
      </c>
    </row>
    <row r="78" spans="2:16" x14ac:dyDescent="0.45">
      <c r="B78" s="64">
        <v>45413</v>
      </c>
      <c r="C78" s="67">
        <v>21032</v>
      </c>
      <c r="D78" s="66">
        <v>61.100000000002183</v>
      </c>
      <c r="E78" s="65">
        <f t="shared" si="4"/>
        <v>65.398731146602856</v>
      </c>
      <c r="G78" s="38">
        <v>45413</v>
      </c>
      <c r="H78" s="39">
        <v>21032</v>
      </c>
      <c r="I78" s="19">
        <v>61.100000000002183</v>
      </c>
      <c r="J78" s="20">
        <f t="shared" si="3"/>
        <v>65.38394869605311</v>
      </c>
      <c r="M78" s="49">
        <v>45413</v>
      </c>
      <c r="N78" s="50">
        <v>21032</v>
      </c>
      <c r="O78" s="51">
        <v>61.100000000002183</v>
      </c>
      <c r="P78" s="52">
        <f t="shared" si="5"/>
        <v>38.98333789915533</v>
      </c>
    </row>
    <row r="79" spans="2:16" x14ac:dyDescent="0.45">
      <c r="B79" s="64">
        <v>45444</v>
      </c>
      <c r="C79" s="67">
        <v>21094.6</v>
      </c>
      <c r="D79" s="66">
        <v>47.799999999999272</v>
      </c>
      <c r="E79" s="65">
        <f t="shared" si="4"/>
        <v>-30.097783143433475</v>
      </c>
      <c r="G79" s="38">
        <v>45444</v>
      </c>
      <c r="H79" s="39">
        <v>21094.6</v>
      </c>
      <c r="I79" s="19">
        <v>47.799999999999272</v>
      </c>
      <c r="J79" s="20">
        <f t="shared" si="3"/>
        <v>-30.07944678813848</v>
      </c>
      <c r="M79" s="49">
        <v>45444</v>
      </c>
      <c r="N79" s="50">
        <v>21094.6</v>
      </c>
      <c r="O79" s="51">
        <v>47.799999999999272</v>
      </c>
      <c r="P79" s="52">
        <f t="shared" si="5"/>
        <v>-56.447131366248534</v>
      </c>
    </row>
    <row r="80" spans="2:16" x14ac:dyDescent="0.45">
      <c r="B80" s="64">
        <v>45474</v>
      </c>
      <c r="C80" s="67">
        <v>21122.6</v>
      </c>
      <c r="D80" s="66">
        <v>26.700000000000728</v>
      </c>
      <c r="E80" s="65">
        <f t="shared" si="4"/>
        <v>25.85813734709582</v>
      </c>
      <c r="G80" s="38">
        <v>45474</v>
      </c>
      <c r="H80" s="39">
        <v>21122.6</v>
      </c>
      <c r="I80" s="19">
        <v>26.700000000000728</v>
      </c>
      <c r="J80" s="20">
        <f t="shared" si="3"/>
        <v>25.839666565503421</v>
      </c>
      <c r="M80" s="49">
        <v>45474</v>
      </c>
      <c r="N80" s="50">
        <v>21122.6</v>
      </c>
      <c r="O80" s="51">
        <v>26.700000000000728</v>
      </c>
      <c r="P80" s="52">
        <f t="shared" si="5"/>
        <v>-0.55247631919344542</v>
      </c>
    </row>
    <row r="81" spans="2:16" x14ac:dyDescent="0.45">
      <c r="B81" s="64">
        <v>45505</v>
      </c>
      <c r="C81" s="67">
        <v>21204.7</v>
      </c>
      <c r="D81" s="66">
        <v>91.399999999997817</v>
      </c>
      <c r="E81" s="65">
        <f t="shared" si="4"/>
        <v>58.953988226832088</v>
      </c>
      <c r="G81" s="38">
        <v>45505</v>
      </c>
      <c r="H81" s="39">
        <v>21204.7</v>
      </c>
      <c r="I81" s="19">
        <v>91.399999999997817</v>
      </c>
      <c r="J81" s="20">
        <f t="shared" si="3"/>
        <v>58.969865420575914</v>
      </c>
      <c r="M81" s="49">
        <v>45505</v>
      </c>
      <c r="N81" s="50">
        <v>21204.7</v>
      </c>
      <c r="O81" s="51">
        <v>91.399999999997817</v>
      </c>
      <c r="P81" s="52">
        <f t="shared" si="5"/>
        <v>32.591898602029389</v>
      </c>
    </row>
    <row r="82" spans="2:16" x14ac:dyDescent="0.45">
      <c r="B82" s="10"/>
      <c r="C82" s="11"/>
      <c r="G82" s="10"/>
      <c r="H82" s="11"/>
      <c r="I82">
        <f>AVERAGE(I2:I81)</f>
        <v>91.068749999999994</v>
      </c>
      <c r="J82">
        <f>AVERAGE(J2:J81)</f>
        <v>26.576510706290609</v>
      </c>
      <c r="M82" s="10"/>
      <c r="N82" s="11"/>
    </row>
    <row r="83" spans="2:16" x14ac:dyDescent="0.45">
      <c r="B83" s="10"/>
      <c r="C83" s="11"/>
      <c r="G83" s="10"/>
      <c r="H83" s="11"/>
      <c r="M83" s="10"/>
      <c r="N83" s="11"/>
    </row>
    <row r="84" spans="2:16" x14ac:dyDescent="0.45">
      <c r="B84" s="10"/>
      <c r="C84" s="11"/>
      <c r="G84" s="10"/>
      <c r="H84" s="11"/>
      <c r="M84" s="10"/>
      <c r="N84" s="11"/>
    </row>
    <row r="85" spans="2:16" x14ac:dyDescent="0.45">
      <c r="B85" s="10"/>
      <c r="C85" s="11"/>
      <c r="G85" s="10"/>
      <c r="H85" s="11"/>
      <c r="M85" s="10"/>
      <c r="N85" s="11"/>
    </row>
    <row r="86" spans="2:16" x14ac:dyDescent="0.45">
      <c r="B86" s="10"/>
      <c r="C86" s="11"/>
      <c r="G86" s="10"/>
      <c r="H86" s="11"/>
      <c r="M86" s="10"/>
      <c r="N86" s="11"/>
    </row>
    <row r="87" spans="2:16" x14ac:dyDescent="0.45">
      <c r="B87" s="10"/>
      <c r="C87" s="11"/>
      <c r="G87" s="10"/>
      <c r="H87" s="11"/>
      <c r="M87" s="10"/>
      <c r="N87" s="11"/>
    </row>
    <row r="88" spans="2:16" x14ac:dyDescent="0.45">
      <c r="B88" s="10"/>
      <c r="C88" s="11"/>
      <c r="G88" s="10"/>
      <c r="H88" s="11"/>
      <c r="M88" s="10"/>
      <c r="N88" s="11"/>
    </row>
    <row r="89" spans="2:16" x14ac:dyDescent="0.45">
      <c r="B89" s="10"/>
      <c r="C89" s="11"/>
      <c r="G89" s="10"/>
      <c r="H89" s="11"/>
      <c r="M89" s="10"/>
      <c r="N89" s="11"/>
    </row>
    <row r="90" spans="2:16" x14ac:dyDescent="0.45">
      <c r="B90" s="10"/>
      <c r="C90" s="11"/>
      <c r="G90" s="10"/>
      <c r="H90" s="11"/>
      <c r="M90" s="10"/>
      <c r="N90" s="11"/>
    </row>
    <row r="91" spans="2:16" x14ac:dyDescent="0.45">
      <c r="B91" s="10"/>
      <c r="C91" s="11"/>
      <c r="G91" s="10"/>
      <c r="H91" s="11"/>
      <c r="M91" s="10"/>
      <c r="N91" s="11"/>
    </row>
    <row r="92" spans="2:16" x14ac:dyDescent="0.45">
      <c r="B92" s="10"/>
      <c r="C92" s="11"/>
      <c r="G92" s="10"/>
      <c r="H92" s="11"/>
      <c r="M92" s="10"/>
      <c r="N92" s="11"/>
    </row>
    <row r="93" spans="2:16" x14ac:dyDescent="0.45">
      <c r="B93" s="10"/>
      <c r="C93" s="11"/>
      <c r="G93" s="10"/>
      <c r="H93" s="11"/>
      <c r="M93" s="10"/>
      <c r="N93" s="11"/>
    </row>
    <row r="94" spans="2:16" x14ac:dyDescent="0.45">
      <c r="B94" s="10"/>
      <c r="C94" s="11"/>
      <c r="G94" s="10"/>
      <c r="H94" s="11"/>
      <c r="M94" s="10"/>
      <c r="N94" s="11"/>
    </row>
    <row r="95" spans="2:16" x14ac:dyDescent="0.45">
      <c r="B95" s="10"/>
      <c r="C95" s="11"/>
      <c r="G95" s="10"/>
      <c r="H95" s="11"/>
      <c r="M95" s="10"/>
      <c r="N95" s="11"/>
    </row>
    <row r="96" spans="2:16" x14ac:dyDescent="0.45">
      <c r="B96" s="10"/>
      <c r="C96" s="11"/>
      <c r="G96" s="10"/>
      <c r="H96" s="11"/>
      <c r="M96" s="10"/>
      <c r="N96" s="11"/>
    </row>
    <row r="97" spans="2:14" x14ac:dyDescent="0.45">
      <c r="B97" s="10"/>
      <c r="C97" s="11"/>
      <c r="G97" s="10"/>
      <c r="H97" s="11"/>
      <c r="M97" s="10"/>
      <c r="N97" s="11"/>
    </row>
    <row r="98" spans="2:14" x14ac:dyDescent="0.45">
      <c r="B98" s="10"/>
      <c r="C98" s="11"/>
      <c r="G98" s="10"/>
      <c r="H98" s="11"/>
      <c r="M98" s="10"/>
      <c r="N98" s="11"/>
    </row>
    <row r="99" spans="2:14" x14ac:dyDescent="0.45">
      <c r="B99" s="10"/>
      <c r="C99" s="12"/>
      <c r="G99" s="10"/>
      <c r="H99" s="12"/>
      <c r="M99" s="10"/>
      <c r="N99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73D4-D5E7-42D7-8E59-32D18C6EC91A}">
  <dimension ref="A1:P99"/>
  <sheetViews>
    <sheetView topLeftCell="J67" zoomScale="82" workbookViewId="0">
      <selection activeCell="O1" sqref="O1:O1048576"/>
    </sheetView>
  </sheetViews>
  <sheetFormatPr defaultRowHeight="14.25" x14ac:dyDescent="0.45"/>
  <cols>
    <col min="1" max="1" width="13.19921875" customWidth="1"/>
    <col min="2" max="2" width="13.06640625" customWidth="1"/>
    <col min="6" max="6" width="13.19921875" customWidth="1"/>
    <col min="7" max="7" width="13.06640625" customWidth="1"/>
    <col min="12" max="12" width="13.19921875" style="36" customWidth="1"/>
    <col min="13" max="13" width="13.06640625" style="36" customWidth="1"/>
    <col min="14" max="15" width="9.06640625" style="36"/>
  </cols>
  <sheetData>
    <row r="1" spans="1:16" x14ac:dyDescent="0.45">
      <c r="A1" s="62" t="s">
        <v>14</v>
      </c>
      <c r="B1" s="62" t="s">
        <v>3</v>
      </c>
      <c r="C1" s="63" t="s">
        <v>0</v>
      </c>
      <c r="D1" s="62" t="s">
        <v>15</v>
      </c>
      <c r="F1" s="22" t="s">
        <v>14</v>
      </c>
      <c r="G1" s="22" t="s">
        <v>3</v>
      </c>
      <c r="H1" s="21" t="s">
        <v>0</v>
      </c>
      <c r="I1" s="22" t="s">
        <v>17</v>
      </c>
      <c r="L1" s="60" t="s">
        <v>14</v>
      </c>
      <c r="M1" s="60" t="s">
        <v>3</v>
      </c>
      <c r="N1" s="61" t="s">
        <v>0</v>
      </c>
      <c r="O1" s="60" t="s">
        <v>17</v>
      </c>
      <c r="P1" s="60" t="s">
        <v>118</v>
      </c>
    </row>
    <row r="2" spans="1:16" x14ac:dyDescent="0.45">
      <c r="A2" s="64">
        <v>43101</v>
      </c>
      <c r="B2" s="66">
        <v>1344.7</v>
      </c>
      <c r="C2" s="66"/>
      <c r="D2" s="65"/>
      <c r="F2" s="38">
        <v>43101</v>
      </c>
      <c r="G2" s="19">
        <v>1344.7</v>
      </c>
      <c r="H2" s="19">
        <v>0</v>
      </c>
      <c r="I2" s="20"/>
      <c r="L2" s="59">
        <v>43101</v>
      </c>
      <c r="M2" s="54">
        <v>1344.7</v>
      </c>
      <c r="N2" s="54">
        <v>0</v>
      </c>
      <c r="O2" s="55"/>
    </row>
    <row r="3" spans="1:16" x14ac:dyDescent="0.45">
      <c r="A3" s="64">
        <v>43132</v>
      </c>
      <c r="B3" s="66">
        <v>1317.66</v>
      </c>
      <c r="C3" s="66">
        <v>-27.039999999999964</v>
      </c>
      <c r="D3" s="65">
        <v>0</v>
      </c>
      <c r="F3" s="38">
        <v>43132</v>
      </c>
      <c r="G3" s="19">
        <v>1317.66</v>
      </c>
      <c r="H3" s="19">
        <v>-27.039999999999964</v>
      </c>
      <c r="I3" s="20">
        <f>H3+0.48732*H2-0.38935*0-0.133*0-1.64586*0-0.79204*0</f>
        <v>-27.039999999999964</v>
      </c>
      <c r="L3" s="59">
        <v>43132</v>
      </c>
      <c r="M3" s="54">
        <v>1317.66</v>
      </c>
      <c r="N3" s="54">
        <v>-27.039999999999964</v>
      </c>
      <c r="O3" s="55">
        <f>N3+0.48732*N2-0.38935*0-0.133*0-1.64586*0-0.79204*0-90.7</f>
        <v>-117.73999999999997</v>
      </c>
    </row>
    <row r="4" spans="1:16" x14ac:dyDescent="0.45">
      <c r="A4" s="64">
        <v>43160</v>
      </c>
      <c r="B4" s="66">
        <v>1324</v>
      </c>
      <c r="C4" s="66">
        <v>6.3399999999999181</v>
      </c>
      <c r="D4" s="65">
        <v>0</v>
      </c>
      <c r="F4" s="38">
        <v>43160</v>
      </c>
      <c r="G4" s="19">
        <v>1324</v>
      </c>
      <c r="H4" s="19">
        <v>6.3399999999999181</v>
      </c>
      <c r="I4" s="20">
        <f>H4+0.48732*H3-0.38935*H2-0.133*0-1.64586*I3-0.79204*0</f>
        <v>37.666921599999881</v>
      </c>
      <c r="L4" s="59">
        <v>43160</v>
      </c>
      <c r="M4" s="54">
        <v>1324</v>
      </c>
      <c r="N4" s="54">
        <v>6.3399999999999181</v>
      </c>
      <c r="O4" s="55">
        <f>N4+0.48732*N3-0.38935*N2-0.133*0-1.64586*O3-0.79204*0-90.7</f>
        <v>96.246423599999886</v>
      </c>
    </row>
    <row r="5" spans="1:16" x14ac:dyDescent="0.45">
      <c r="A5" s="64">
        <v>43191</v>
      </c>
      <c r="B5" s="66">
        <v>1314.95</v>
      </c>
      <c r="C5" s="66">
        <v>-9.0499999999999545</v>
      </c>
      <c r="D5" s="65">
        <f>C5+0.48732*C4-0.38935*C3-0.133*0-1.64586*D4-0.79204*D3</f>
        <v>4.5676327999999895</v>
      </c>
      <c r="F5" s="38">
        <v>43191</v>
      </c>
      <c r="G5" s="19">
        <v>1314.95</v>
      </c>
      <c r="H5" s="19">
        <v>-9.0499999999999545</v>
      </c>
      <c r="I5" s="20">
        <f t="shared" ref="I5:I35" si="0">H5+0.48732*H4-0.38935*H3-0.133*H2-1.64586*I4-0.79204*I3</f>
        <v>-36.010085184575843</v>
      </c>
      <c r="L5" s="59">
        <v>43191</v>
      </c>
      <c r="M5" s="54">
        <v>1314.95</v>
      </c>
      <c r="N5" s="54">
        <v>-9.0499999999999545</v>
      </c>
      <c r="O5" s="55">
        <f>N5+0.48732*N4-0.38935*N3-0.133*N2-1.64586*O4-0.79204*O3-90.7</f>
        <v>-151.28571634629589</v>
      </c>
    </row>
    <row r="6" spans="1:16" x14ac:dyDescent="0.45">
      <c r="A6" s="64">
        <v>43221</v>
      </c>
      <c r="B6" s="66">
        <v>1297.92</v>
      </c>
      <c r="C6" s="66">
        <v>-17.029999999999973</v>
      </c>
      <c r="D6" s="65">
        <f>C6+0.48732*C5-0.38935*C4-0.133*C3-1.64586*D5-0.79204*D4</f>
        <v>-27.830089120207909</v>
      </c>
      <c r="F6" s="38">
        <v>43221</v>
      </c>
      <c r="G6" s="19">
        <v>1297.92</v>
      </c>
      <c r="H6" s="19">
        <v>-17.029999999999973</v>
      </c>
      <c r="I6" s="20">
        <f t="shared" si="0"/>
        <v>9.1214452178221634</v>
      </c>
      <c r="L6" s="59">
        <v>43221</v>
      </c>
      <c r="M6" s="54">
        <v>1297.92</v>
      </c>
      <c r="N6" s="54">
        <v>-17.029999999999973</v>
      </c>
      <c r="O6" s="55">
        <f t="shared" ref="O6:O69" si="1">N6+0.48732*N5-0.38935*N4-0.133*N3-1.64586*O5-0.79204*O4-90.7</f>
        <v>61.75168675757071</v>
      </c>
    </row>
    <row r="7" spans="1:16" x14ac:dyDescent="0.45">
      <c r="A7" s="64">
        <v>43252</v>
      </c>
      <c r="B7" s="66">
        <v>1252.25</v>
      </c>
      <c r="C7" s="66">
        <v>-45.670000000000073</v>
      </c>
      <c r="D7" s="65">
        <f t="shared" ref="D7:D70" si="2">C7+0.48732*C6-0.38935*C5-0.133*C4-1.64586*D6-0.79204*D5</f>
        <v>-9.1019795035266711</v>
      </c>
      <c r="F7" s="38">
        <v>43252</v>
      </c>
      <c r="G7" s="19">
        <v>1252.25</v>
      </c>
      <c r="H7" s="19">
        <v>-45.670000000000073</v>
      </c>
      <c r="I7" s="20">
        <f t="shared" si="0"/>
        <v>-37.779856056613411</v>
      </c>
      <c r="L7" s="59">
        <v>43252</v>
      </c>
      <c r="M7" s="54">
        <v>1252.25</v>
      </c>
      <c r="N7" s="54">
        <v>-45.670000000000073</v>
      </c>
      <c r="O7" s="55">
        <f t="shared" si="1"/>
        <v>-123.7989544918952</v>
      </c>
    </row>
    <row r="8" spans="1:16" x14ac:dyDescent="0.45">
      <c r="A8" s="64">
        <v>43282</v>
      </c>
      <c r="B8" s="66">
        <v>1223.4100000000001</v>
      </c>
      <c r="C8" s="66">
        <v>-28.839999999999918</v>
      </c>
      <c r="D8" s="65">
        <f t="shared" si="2"/>
        <v>-6.2384961275560897</v>
      </c>
      <c r="F8" s="38">
        <v>43282</v>
      </c>
      <c r="G8" s="19">
        <v>1223.4100000000001</v>
      </c>
      <c r="H8" s="19">
        <v>-28.839999999999918</v>
      </c>
      <c r="I8" s="20">
        <f t="shared" si="0"/>
        <v>11.694180519013919</v>
      </c>
      <c r="L8" s="59">
        <v>43282</v>
      </c>
      <c r="M8" s="54">
        <v>1223.4100000000001</v>
      </c>
      <c r="N8" s="54">
        <v>-28.839999999999918</v>
      </c>
      <c r="O8" s="55">
        <f t="shared" si="1"/>
        <v>20.884317360564367</v>
      </c>
    </row>
    <row r="9" spans="1:16" x14ac:dyDescent="0.45">
      <c r="A9" s="64">
        <v>43313</v>
      </c>
      <c r="B9" s="66">
        <v>1200.71</v>
      </c>
      <c r="C9" s="66">
        <v>-22.700000000000045</v>
      </c>
      <c r="D9" s="65">
        <f t="shared" si="2"/>
        <v>0.76911878247275212</v>
      </c>
      <c r="F9" s="38">
        <v>43313</v>
      </c>
      <c r="G9" s="19">
        <v>1200.71</v>
      </c>
      <c r="H9" s="19">
        <v>-22.700000000000045</v>
      </c>
      <c r="I9" s="20">
        <f t="shared" si="0"/>
        <v>-6.031531057944143</v>
      </c>
      <c r="L9" s="59">
        <v>43313</v>
      </c>
      <c r="M9" s="54">
        <v>1200.71</v>
      </c>
      <c r="N9" s="54">
        <v>-22.700000000000045</v>
      </c>
      <c r="O9" s="55">
        <f t="shared" si="1"/>
        <v>-43.726642955297777</v>
      </c>
    </row>
    <row r="10" spans="1:16" x14ac:dyDescent="0.45">
      <c r="A10" s="64">
        <v>43344</v>
      </c>
      <c r="B10" s="66">
        <v>1191.69</v>
      </c>
      <c r="C10" s="66">
        <v>-9.0199999999999818</v>
      </c>
      <c r="D10" s="65">
        <f t="shared" si="2"/>
        <v>0.89607663354889411</v>
      </c>
      <c r="F10" s="38">
        <v>43344</v>
      </c>
      <c r="G10" s="19">
        <v>1191.69</v>
      </c>
      <c r="H10" s="19">
        <v>-9.0199999999999818</v>
      </c>
      <c r="I10" s="20">
        <f t="shared" si="0"/>
        <v>-2.1144030312518645</v>
      </c>
      <c r="L10" s="59">
        <v>43344</v>
      </c>
      <c r="M10" s="54">
        <v>1191.69</v>
      </c>
      <c r="N10" s="54">
        <v>-9.0199999999999818</v>
      </c>
      <c r="O10" s="55">
        <f t="shared" si="1"/>
        <v>-38.052482147855031</v>
      </c>
    </row>
    <row r="11" spans="1:16" x14ac:dyDescent="0.45">
      <c r="A11" s="64">
        <v>43374</v>
      </c>
      <c r="B11" s="66">
        <v>1214.1400000000001</v>
      </c>
      <c r="C11" s="66">
        <v>22.450000000000045</v>
      </c>
      <c r="D11" s="65">
        <f t="shared" si="2"/>
        <v>28.644349071437556</v>
      </c>
      <c r="F11" s="38">
        <v>43374</v>
      </c>
      <c r="G11" s="19">
        <v>1214.1400000000001</v>
      </c>
      <c r="H11" s="19">
        <v>22.450000000000045</v>
      </c>
      <c r="I11" s="20">
        <f t="shared" si="0"/>
        <v>38.985563832150333</v>
      </c>
      <c r="L11" s="59">
        <v>43374</v>
      </c>
      <c r="M11" s="54">
        <v>1214.1400000000001</v>
      </c>
      <c r="N11" s="54">
        <v>22.450000000000045</v>
      </c>
      <c r="O11" s="55">
        <f t="shared" si="1"/>
        <v>37.290647154182793</v>
      </c>
    </row>
    <row r="12" spans="1:16" x14ac:dyDescent="0.45">
      <c r="A12" s="64">
        <v>43405</v>
      </c>
      <c r="B12" s="66">
        <v>1221.8800000000001</v>
      </c>
      <c r="C12" s="66">
        <v>7.7400000000000091</v>
      </c>
      <c r="D12" s="65">
        <f t="shared" si="2"/>
        <v>-22.642945899552259</v>
      </c>
      <c r="F12" s="38">
        <v>43405</v>
      </c>
      <c r="G12" s="19">
        <v>1221.8800000000001</v>
      </c>
      <c r="H12" s="19">
        <v>7.7400000000000091</v>
      </c>
      <c r="I12" s="20">
        <f t="shared" si="0"/>
        <v>-37.278717311910192</v>
      </c>
      <c r="L12" s="59">
        <v>43405</v>
      </c>
      <c r="M12" s="54">
        <v>1221.8800000000001</v>
      </c>
      <c r="N12" s="54">
        <v>7.7400000000000091</v>
      </c>
      <c r="O12" s="55">
        <f t="shared" si="1"/>
        <v>-96.724725564796174</v>
      </c>
    </row>
    <row r="13" spans="1:16" x14ac:dyDescent="0.45">
      <c r="A13" s="64">
        <v>43435</v>
      </c>
      <c r="B13" s="66">
        <v>1282.73</v>
      </c>
      <c r="C13" s="66">
        <v>60.849999999999909</v>
      </c>
      <c r="D13" s="65">
        <f t="shared" si="2"/>
        <v>71.660257999695574</v>
      </c>
      <c r="F13" s="38">
        <v>43435</v>
      </c>
      <c r="G13" s="19">
        <v>1282.73</v>
      </c>
      <c r="H13" s="19">
        <v>60.849999999999909</v>
      </c>
      <c r="I13" s="20">
        <f t="shared" si="0"/>
        <v>87.558032997364052</v>
      </c>
      <c r="L13" s="59">
        <v>43435</v>
      </c>
      <c r="M13" s="54">
        <v>1282.73</v>
      </c>
      <c r="N13" s="54">
        <v>60.849999999999909</v>
      </c>
      <c r="O13" s="55">
        <f t="shared" si="1"/>
        <v>96.040281946076433</v>
      </c>
    </row>
    <row r="14" spans="1:16" x14ac:dyDescent="0.45">
      <c r="A14" s="64">
        <v>43466</v>
      </c>
      <c r="B14" s="66">
        <v>1320.56</v>
      </c>
      <c r="C14" s="66">
        <v>37.829999999999927</v>
      </c>
      <c r="D14" s="65">
        <f t="shared" si="2"/>
        <v>-38.524630361097721</v>
      </c>
      <c r="F14" s="38">
        <v>43466</v>
      </c>
      <c r="G14" s="19">
        <v>1320.56</v>
      </c>
      <c r="H14" s="19">
        <v>37.829999999999927</v>
      </c>
      <c r="I14" s="20">
        <f t="shared" si="0"/>
        <v>-53.098025929316414</v>
      </c>
      <c r="L14" s="59">
        <v>43466</v>
      </c>
      <c r="M14" s="54">
        <v>1320.56</v>
      </c>
      <c r="N14" s="54">
        <v>37.829999999999927</v>
      </c>
      <c r="O14" s="55">
        <f t="shared" si="1"/>
        <v>-110.67500380742834</v>
      </c>
    </row>
    <row r="15" spans="1:16" x14ac:dyDescent="0.45">
      <c r="A15" s="64">
        <v>43497</v>
      </c>
      <c r="B15" s="66">
        <v>1312.66</v>
      </c>
      <c r="C15" s="66">
        <v>-7.8999999999998636</v>
      </c>
      <c r="D15" s="65">
        <f t="shared" si="2"/>
        <v>-7.537694519962443</v>
      </c>
      <c r="F15" s="38">
        <v>43497</v>
      </c>
      <c r="G15" s="19">
        <v>1312.66</v>
      </c>
      <c r="H15" s="19">
        <v>-7.8999999999998636</v>
      </c>
      <c r="I15" s="20">
        <f t="shared" si="0"/>
        <v>3.8564006007926253</v>
      </c>
      <c r="L15" s="59">
        <v>43497</v>
      </c>
      <c r="M15" s="54">
        <v>1312.66</v>
      </c>
      <c r="N15" s="54">
        <v>-7.8999999999998636</v>
      </c>
      <c r="O15" s="55">
        <f t="shared" si="1"/>
        <v>1.2017649539237993</v>
      </c>
    </row>
    <row r="16" spans="1:16" x14ac:dyDescent="0.45">
      <c r="A16" s="64">
        <v>43525</v>
      </c>
      <c r="B16" s="66">
        <v>1291.9000000000001</v>
      </c>
      <c r="C16" s="66">
        <v>-20.759999999999991</v>
      </c>
      <c r="D16" s="65">
        <f t="shared" si="2"/>
        <v>-4.5129503661706671</v>
      </c>
      <c r="F16" s="38">
        <v>43525</v>
      </c>
      <c r="G16" s="19">
        <v>1291.9000000000001</v>
      </c>
      <c r="H16" s="19">
        <v>-20.759999999999991</v>
      </c>
      <c r="I16" s="20">
        <f t="shared" si="0"/>
        <v>-11.723323535764671</v>
      </c>
      <c r="L16" s="59">
        <v>43525</v>
      </c>
      <c r="M16" s="54">
        <v>1291.9000000000001</v>
      </c>
      <c r="N16" s="54">
        <v>-20.759999999999991</v>
      </c>
      <c r="O16" s="55">
        <f t="shared" si="1"/>
        <v>-52.450895351429381</v>
      </c>
    </row>
    <row r="17" spans="1:15" x14ac:dyDescent="0.45">
      <c r="A17" s="64">
        <v>43556</v>
      </c>
      <c r="B17" s="66">
        <v>1283.3499999999999</v>
      </c>
      <c r="C17" s="66">
        <v>-8.5500000000001819</v>
      </c>
      <c r="D17" s="65">
        <f t="shared" si="2"/>
        <v>-7.2244481427435119</v>
      </c>
      <c r="F17" s="38">
        <v>43556</v>
      </c>
      <c r="G17" s="19">
        <v>1283.3499999999999</v>
      </c>
      <c r="H17" s="19">
        <v>-8.5500000000001819</v>
      </c>
      <c r="I17" s="20">
        <f t="shared" si="0"/>
        <v>-4.3817624572783682</v>
      </c>
      <c r="L17" s="59">
        <v>43556</v>
      </c>
      <c r="M17" s="54">
        <v>1283.3499999999999</v>
      </c>
      <c r="N17" s="54">
        <v>-8.5500000000001819</v>
      </c>
      <c r="O17" s="55">
        <f t="shared" si="1"/>
        <v>-25.947303491002472</v>
      </c>
    </row>
    <row r="18" spans="1:15" x14ac:dyDescent="0.45">
      <c r="A18" s="64">
        <v>43586</v>
      </c>
      <c r="B18" s="66">
        <v>1305.25</v>
      </c>
      <c r="C18" s="66">
        <v>21.900000000000091</v>
      </c>
      <c r="D18" s="65">
        <f t="shared" si="2"/>
        <v>42.331887428237629</v>
      </c>
      <c r="F18" s="38">
        <v>43586</v>
      </c>
      <c r="G18" s="19">
        <v>1305.25</v>
      </c>
      <c r="H18" s="19">
        <v>21.900000000000091</v>
      </c>
      <c r="I18" s="20">
        <f t="shared" si="0"/>
        <v>43.364128731203202</v>
      </c>
      <c r="L18" s="59">
        <v>43586</v>
      </c>
      <c r="M18" s="54">
        <v>1305.25</v>
      </c>
      <c r="N18" s="54">
        <v>21.900000000000091</v>
      </c>
      <c r="O18" s="55">
        <f t="shared" si="1"/>
        <v>20.415856077847437</v>
      </c>
    </row>
    <row r="19" spans="1:15" x14ac:dyDescent="0.45">
      <c r="A19" s="64">
        <v>43617</v>
      </c>
      <c r="B19" s="66">
        <v>1409.1</v>
      </c>
      <c r="C19" s="66">
        <v>103.84999999999991</v>
      </c>
      <c r="D19" s="65">
        <f t="shared" si="2"/>
        <v>56.662022164339398</v>
      </c>
      <c r="F19" s="38">
        <v>43617</v>
      </c>
      <c r="G19" s="19">
        <v>1409.1</v>
      </c>
      <c r="H19" s="19">
        <v>103.84999999999991</v>
      </c>
      <c r="I19" s="20">
        <f t="shared" si="0"/>
        <v>52.711576723124665</v>
      </c>
      <c r="L19" s="59">
        <v>43617</v>
      </c>
      <c r="M19" s="54">
        <v>1409.1</v>
      </c>
      <c r="N19" s="54">
        <v>103.84999999999991</v>
      </c>
      <c r="O19" s="55">
        <f t="shared" si="1"/>
        <v>16.861991872727614</v>
      </c>
    </row>
    <row r="20" spans="1:15" x14ac:dyDescent="0.45">
      <c r="A20" s="64">
        <v>43647</v>
      </c>
      <c r="B20" s="66">
        <v>1413.55</v>
      </c>
      <c r="C20" s="66">
        <v>4.4500000000000455</v>
      </c>
      <c r="D20" s="65">
        <f t="shared" si="2"/>
        <v>-79.117736918060984</v>
      </c>
      <c r="F20" s="38">
        <v>43647</v>
      </c>
      <c r="G20" s="19">
        <v>1413.55</v>
      </c>
      <c r="H20" s="19">
        <v>4.4500000000000455</v>
      </c>
      <c r="I20" s="20">
        <f t="shared" si="0"/>
        <v>-73.433433185784168</v>
      </c>
      <c r="L20" s="59">
        <v>43647</v>
      </c>
      <c r="M20" s="54">
        <v>1413.55</v>
      </c>
      <c r="N20" s="54">
        <v>4.4500000000000455</v>
      </c>
      <c r="O20" s="55">
        <f t="shared" si="1"/>
        <v>-86.954085591545777</v>
      </c>
    </row>
    <row r="21" spans="1:15" x14ac:dyDescent="0.45">
      <c r="A21" s="64">
        <v>43678</v>
      </c>
      <c r="B21" s="66">
        <v>1519.85</v>
      </c>
      <c r="C21" s="66">
        <v>106.29999999999995</v>
      </c>
      <c r="D21" s="65">
        <f t="shared" si="2"/>
        <v>150.46000694891649</v>
      </c>
      <c r="F21" s="38">
        <v>43678</v>
      </c>
      <c r="G21" s="19">
        <v>1519.85</v>
      </c>
      <c r="H21" s="19">
        <v>106.29999999999995</v>
      </c>
      <c r="I21" s="20">
        <f t="shared" si="0"/>
        <v>144.23334961537108</v>
      </c>
      <c r="L21" s="59">
        <v>43678</v>
      </c>
      <c r="M21" s="54">
        <v>1519.85</v>
      </c>
      <c r="N21" s="54">
        <v>106.29999999999995</v>
      </c>
      <c r="O21" s="55">
        <f t="shared" si="1"/>
        <v>104.18075576882633</v>
      </c>
    </row>
    <row r="22" spans="1:15" x14ac:dyDescent="0.45">
      <c r="A22" s="64">
        <v>43709</v>
      </c>
      <c r="B22" s="66">
        <v>1472</v>
      </c>
      <c r="C22" s="66">
        <v>-47.849999999999909</v>
      </c>
      <c r="D22" s="65">
        <f t="shared" si="2"/>
        <v>-196.56423618836263</v>
      </c>
      <c r="F22" s="38">
        <v>43709</v>
      </c>
      <c r="G22" s="19">
        <v>1472</v>
      </c>
      <c r="H22" s="19">
        <v>-47.849999999999909</v>
      </c>
      <c r="I22" s="20">
        <f t="shared" si="0"/>
        <v>-190.8182258774861</v>
      </c>
      <c r="L22" s="59">
        <v>43709</v>
      </c>
      <c r="M22" s="54">
        <v>1472</v>
      </c>
      <c r="N22" s="54">
        <v>-47.849999999999909</v>
      </c>
      <c r="O22" s="55">
        <f t="shared" si="1"/>
        <v>-204.88836623775256</v>
      </c>
    </row>
    <row r="23" spans="1:15" x14ac:dyDescent="0.45">
      <c r="A23" s="64">
        <v>43739</v>
      </c>
      <c r="B23" s="66">
        <v>1513.16</v>
      </c>
      <c r="C23" s="66">
        <v>41.160000000000082</v>
      </c>
      <c r="D23" s="65">
        <f t="shared" si="2"/>
        <v>180.20885286915887</v>
      </c>
      <c r="F23" s="38">
        <v>43739</v>
      </c>
      <c r="G23" s="19">
        <v>1513.16</v>
      </c>
      <c r="H23" s="19">
        <v>41.160000000000082</v>
      </c>
      <c r="I23" s="20">
        <f t="shared" si="0"/>
        <v>175.68348601336092</v>
      </c>
      <c r="L23" s="59">
        <v>43739</v>
      </c>
      <c r="M23" s="54">
        <v>1513.16</v>
      </c>
      <c r="N23" s="54">
        <v>41.160000000000082</v>
      </c>
      <c r="O23" s="55">
        <f t="shared" si="1"/>
        <v>139.86422365692636</v>
      </c>
    </row>
    <row r="24" spans="1:15" x14ac:dyDescent="0.45">
      <c r="A24" s="64">
        <v>43770</v>
      </c>
      <c r="B24" s="66">
        <v>1463.9</v>
      </c>
      <c r="C24" s="66">
        <v>-49.259999999999991</v>
      </c>
      <c r="D24" s="65">
        <f t="shared" si="2"/>
        <v>-165.62121625260312</v>
      </c>
      <c r="F24" s="38">
        <v>43770</v>
      </c>
      <c r="G24" s="19">
        <v>1463.9</v>
      </c>
      <c r="H24" s="19">
        <v>-49.259999999999991</v>
      </c>
      <c r="I24" s="20">
        <f t="shared" si="0"/>
        <v>-162.72416596594613</v>
      </c>
      <c r="L24" s="59">
        <v>43770</v>
      </c>
      <c r="M24" s="54">
        <v>1463.9</v>
      </c>
      <c r="N24" s="54">
        <v>-49.259999999999991</v>
      </c>
      <c r="O24" s="55">
        <f t="shared" si="1"/>
        <v>-183.32656085303933</v>
      </c>
    </row>
    <row r="25" spans="1:15" x14ac:dyDescent="0.45">
      <c r="A25" s="64">
        <v>43800</v>
      </c>
      <c r="B25" s="66">
        <v>1517.01</v>
      </c>
      <c r="C25" s="66">
        <v>53.1099999999999</v>
      </c>
      <c r="D25" s="65">
        <f t="shared" si="2"/>
        <v>149.29973595502071</v>
      </c>
      <c r="F25" s="38">
        <v>43800</v>
      </c>
      <c r="G25" s="19">
        <v>1517.01</v>
      </c>
      <c r="H25" s="19">
        <v>53.1099999999999</v>
      </c>
      <c r="I25" s="20">
        <f t="shared" si="0"/>
        <v>148.11586833468962</v>
      </c>
      <c r="L25" s="59">
        <v>43800</v>
      </c>
      <c r="M25" s="54">
        <v>1517.01</v>
      </c>
      <c r="N25" s="54">
        <v>53.1099999999999</v>
      </c>
      <c r="O25" s="55">
        <f t="shared" si="1"/>
        <v>119.69481454035126</v>
      </c>
    </row>
    <row r="26" spans="1:15" x14ac:dyDescent="0.45">
      <c r="A26" s="64">
        <v>43831</v>
      </c>
      <c r="B26" s="66">
        <v>1589.81</v>
      </c>
      <c r="C26" s="66">
        <v>72.799999999999955</v>
      </c>
      <c r="D26" s="65">
        <f t="shared" si="2"/>
        <v>-2.1611690982187213</v>
      </c>
      <c r="F26" s="38">
        <v>43831</v>
      </c>
      <c r="G26" s="19">
        <v>1589.81</v>
      </c>
      <c r="H26" s="19">
        <v>72.799999999999955</v>
      </c>
      <c r="I26" s="20">
        <f t="shared" si="0"/>
        <v>-2.5072684456644083</v>
      </c>
      <c r="L26" s="59">
        <v>43831</v>
      </c>
      <c r="M26" s="54">
        <v>1589.81</v>
      </c>
      <c r="N26" s="54">
        <v>72.799999999999955</v>
      </c>
      <c r="O26" s="55">
        <f t="shared" si="1"/>
        <v>-30.112272001341395</v>
      </c>
    </row>
    <row r="27" spans="1:15" x14ac:dyDescent="0.45">
      <c r="A27" s="64">
        <v>43862</v>
      </c>
      <c r="B27" s="66">
        <v>1584.74</v>
      </c>
      <c r="C27" s="66">
        <v>-5.0699999999999363</v>
      </c>
      <c r="D27" s="65">
        <f t="shared" si="2"/>
        <v>-98.414283593820244</v>
      </c>
      <c r="F27" s="38">
        <v>43862</v>
      </c>
      <c r="G27" s="19">
        <v>1584.74</v>
      </c>
      <c r="H27" s="19">
        <v>-5.0699999999999363</v>
      </c>
      <c r="I27" s="20">
        <f t="shared" si="0"/>
        <v>-96.906982011826258</v>
      </c>
      <c r="L27" s="59">
        <v>43862</v>
      </c>
      <c r="M27" s="54">
        <v>1584.74</v>
      </c>
      <c r="N27" s="54">
        <v>-5.0699999999999363</v>
      </c>
      <c r="O27" s="55">
        <f t="shared" si="1"/>
        <v>-119.66239941241197</v>
      </c>
    </row>
    <row r="28" spans="1:15" x14ac:dyDescent="0.45">
      <c r="A28" s="64">
        <v>43891</v>
      </c>
      <c r="B28" s="66">
        <v>1571.05</v>
      </c>
      <c r="C28" s="66">
        <v>-13.690000000000055</v>
      </c>
      <c r="D28" s="65">
        <f t="shared" si="2"/>
        <v>112.11884276827816</v>
      </c>
      <c r="F28" s="38">
        <v>43891</v>
      </c>
      <c r="G28" s="19">
        <v>1571.05</v>
      </c>
      <c r="H28" s="19">
        <v>-13.690000000000055</v>
      </c>
      <c r="I28" s="20">
        <f t="shared" si="0"/>
        <v>109.91215991368841</v>
      </c>
      <c r="L28" s="59">
        <v>43891</v>
      </c>
      <c r="M28" s="54">
        <v>1571.05</v>
      </c>
      <c r="N28" s="54">
        <v>-13.690000000000055</v>
      </c>
      <c r="O28" s="55">
        <f t="shared" si="1"/>
        <v>78.528658212854836</v>
      </c>
    </row>
    <row r="29" spans="1:15" x14ac:dyDescent="0.45">
      <c r="A29" s="64">
        <v>43922</v>
      </c>
      <c r="B29" s="66">
        <v>1680.09</v>
      </c>
      <c r="C29" s="66">
        <v>109.03999999999996</v>
      </c>
      <c r="D29" s="65">
        <f t="shared" si="2"/>
        <v>-11.923675680949003</v>
      </c>
      <c r="F29" s="38">
        <v>43922</v>
      </c>
      <c r="G29" s="19">
        <v>1680.09</v>
      </c>
      <c r="H29" s="19">
        <v>109.03999999999996</v>
      </c>
      <c r="I29" s="20">
        <f t="shared" si="0"/>
        <v>-9.4856277828964437</v>
      </c>
      <c r="L29" s="59">
        <v>43922</v>
      </c>
      <c r="M29" s="54">
        <v>1680.09</v>
      </c>
      <c r="N29" s="54">
        <v>109.03999999999996</v>
      </c>
      <c r="O29" s="55">
        <f t="shared" si="1"/>
        <v>-30.509576875602562</v>
      </c>
    </row>
    <row r="30" spans="1:15" x14ac:dyDescent="0.45">
      <c r="A30" s="64">
        <v>43952</v>
      </c>
      <c r="B30" s="66">
        <v>1726.3</v>
      </c>
      <c r="C30" s="66">
        <v>46.210000000000036</v>
      </c>
      <c r="D30" s="65">
        <f t="shared" si="2"/>
        <v>36.173976930059723</v>
      </c>
      <c r="F30" s="38">
        <v>43952</v>
      </c>
      <c r="G30" s="19">
        <v>1726.3</v>
      </c>
      <c r="H30" s="19">
        <v>46.210000000000036</v>
      </c>
      <c r="I30" s="20">
        <f t="shared" si="0"/>
        <v>33.9090725047202</v>
      </c>
      <c r="L30" s="59">
        <v>43952</v>
      </c>
      <c r="M30" s="54">
        <v>1726.3</v>
      </c>
      <c r="N30" s="54">
        <v>46.210000000000036</v>
      </c>
      <c r="O30" s="55">
        <f t="shared" si="1"/>
        <v>2.6685380455697043</v>
      </c>
    </row>
    <row r="31" spans="1:15" x14ac:dyDescent="0.45">
      <c r="A31" s="64">
        <v>43983</v>
      </c>
      <c r="B31" s="66">
        <v>1780.67</v>
      </c>
      <c r="C31" s="66">
        <v>54.370000000000118</v>
      </c>
      <c r="D31" s="65">
        <f t="shared" si="2"/>
        <v>-13.838170383769087</v>
      </c>
      <c r="F31" s="38">
        <v>43983</v>
      </c>
      <c r="G31" s="19">
        <v>1780.67</v>
      </c>
      <c r="H31" s="19">
        <v>54.370000000000118</v>
      </c>
      <c r="I31" s="20">
        <f t="shared" si="0"/>
        <v>-12.041486243453329</v>
      </c>
      <c r="L31" s="59">
        <v>43983</v>
      </c>
      <c r="M31" s="54">
        <v>1780.67</v>
      </c>
      <c r="N31" s="54">
        <v>54.370000000000118</v>
      </c>
      <c r="O31" s="55">
        <f t="shared" si="1"/>
        <v>-34.672131559128943</v>
      </c>
    </row>
    <row r="32" spans="1:15" x14ac:dyDescent="0.45">
      <c r="A32" s="64">
        <v>44013</v>
      </c>
      <c r="B32" s="66">
        <v>1974.69</v>
      </c>
      <c r="C32" s="66">
        <v>194.01999999999998</v>
      </c>
      <c r="D32" s="65">
        <f t="shared" si="2"/>
        <v>182.14585932014572</v>
      </c>
      <c r="F32" s="38">
        <v>44013</v>
      </c>
      <c r="G32" s="19">
        <v>1974.69</v>
      </c>
      <c r="H32" s="19">
        <v>194.01999999999998</v>
      </c>
      <c r="I32" s="20">
        <f t="shared" si="0"/>
        <v>180.98266366201153</v>
      </c>
      <c r="L32" s="59">
        <v>44013</v>
      </c>
      <c r="M32" s="54">
        <v>1974.69</v>
      </c>
      <c r="N32" s="54">
        <v>194.01999999999998</v>
      </c>
      <c r="O32" s="55">
        <f t="shared" si="1"/>
        <v>152.27329047429498</v>
      </c>
    </row>
    <row r="33" spans="1:15" x14ac:dyDescent="0.45">
      <c r="A33" s="64">
        <v>44044</v>
      </c>
      <c r="B33" s="66">
        <v>1969.75</v>
      </c>
      <c r="C33" s="66">
        <v>-4.9400000000000546</v>
      </c>
      <c r="D33" s="65">
        <f t="shared" si="2"/>
        <v>-226.5312626498947</v>
      </c>
      <c r="F33" s="38">
        <v>44044</v>
      </c>
      <c r="G33" s="19">
        <v>1969.75</v>
      </c>
      <c r="H33" s="19">
        <v>-4.9400000000000546</v>
      </c>
      <c r="I33" s="20">
        <f t="shared" si="0"/>
        <v>-226.03985115049366</v>
      </c>
      <c r="L33" s="59">
        <v>44044</v>
      </c>
      <c r="M33" s="54">
        <v>1969.75</v>
      </c>
      <c r="N33" s="54">
        <v>-4.9400000000000546</v>
      </c>
      <c r="O33" s="55">
        <f t="shared" si="1"/>
        <v>-251.5638658799308</v>
      </c>
    </row>
    <row r="34" spans="1:15" x14ac:dyDescent="0.45">
      <c r="A34" s="64">
        <v>44075</v>
      </c>
      <c r="B34" s="66">
        <v>1885.44</v>
      </c>
      <c r="C34" s="66">
        <v>-84.309999999999945</v>
      </c>
      <c r="D34" s="65">
        <f t="shared" si="2"/>
        <v>59.081679729027513</v>
      </c>
      <c r="F34" s="38">
        <v>44075</v>
      </c>
      <c r="G34" s="19">
        <v>1885.44</v>
      </c>
      <c r="H34" s="19">
        <v>-84.309999999999945</v>
      </c>
      <c r="I34" s="20">
        <f t="shared" si="0"/>
        <v>59.194182687691978</v>
      </c>
      <c r="L34" s="59">
        <v>44075</v>
      </c>
      <c r="M34" s="54">
        <v>1885.44</v>
      </c>
      <c r="N34" s="54">
        <v>-84.309999999999945</v>
      </c>
      <c r="O34" s="55">
        <f t="shared" si="1"/>
        <v>33.242109509882383</v>
      </c>
    </row>
    <row r="35" spans="1:15" x14ac:dyDescent="0.45">
      <c r="A35" s="64">
        <v>44105</v>
      </c>
      <c r="B35" s="66">
        <v>1877.95</v>
      </c>
      <c r="C35" s="66">
        <v>-7.4900000000000091</v>
      </c>
      <c r="D35" s="65">
        <f t="shared" si="2"/>
        <v>9.7244276704053902</v>
      </c>
      <c r="F35" s="38">
        <v>44105</v>
      </c>
      <c r="G35" s="19">
        <v>1877.95</v>
      </c>
      <c r="H35" s="19">
        <v>-7.4900000000000091</v>
      </c>
      <c r="I35" s="20">
        <f t="shared" si="0"/>
        <v>9.1500459868722999</v>
      </c>
      <c r="L35" s="59">
        <v>44105</v>
      </c>
      <c r="M35" s="54">
        <v>1877.95</v>
      </c>
      <c r="N35" s="54">
        <v>-7.4900000000000091</v>
      </c>
      <c r="O35" s="55">
        <f t="shared" si="1"/>
        <v>-18.620434226394607</v>
      </c>
    </row>
    <row r="36" spans="1:15" x14ac:dyDescent="0.45">
      <c r="A36" s="64">
        <v>44136</v>
      </c>
      <c r="B36" s="66">
        <v>1777.02</v>
      </c>
      <c r="C36" s="66">
        <v>-100.93000000000006</v>
      </c>
      <c r="D36" s="65">
        <f t="shared" si="2"/>
        <v>-133.89700843819247</v>
      </c>
      <c r="F36" s="38">
        <v>44136</v>
      </c>
      <c r="G36" s="19">
        <v>1777.02</v>
      </c>
      <c r="H36" s="19">
        <v>-100.93000000000006</v>
      </c>
      <c r="I36" s="20">
        <f t="shared" ref="I36:I69" si="3">H36+0.48732*H35-0.38935*H34-0.133*H33-1.64586*I35-0.79204*I34</f>
        <v>-133.04076344391328</v>
      </c>
      <c r="L36" s="59">
        <v>44136</v>
      </c>
      <c r="M36" s="54">
        <v>1777.02</v>
      </c>
      <c r="N36" s="54">
        <v>-100.93000000000006</v>
      </c>
      <c r="O36" s="55">
        <f t="shared" si="1"/>
        <v>-157.47936084035351</v>
      </c>
    </row>
    <row r="37" spans="1:15" x14ac:dyDescent="0.45">
      <c r="A37" s="64">
        <v>44166</v>
      </c>
      <c r="B37" s="66">
        <v>1896.49</v>
      </c>
      <c r="C37" s="66">
        <v>119.47000000000003</v>
      </c>
      <c r="D37" s="65">
        <f t="shared" si="2"/>
        <v>297.08784851601558</v>
      </c>
      <c r="F37" s="38">
        <v>44166</v>
      </c>
      <c r="G37" s="19">
        <v>1896.49</v>
      </c>
      <c r="H37" s="19">
        <v>119.47000000000003</v>
      </c>
      <c r="I37" s="20">
        <f t="shared" si="3"/>
        <v>296.13352239835683</v>
      </c>
      <c r="L37" s="59">
        <v>44166</v>
      </c>
      <c r="M37" s="54">
        <v>1896.49</v>
      </c>
      <c r="N37" s="54">
        <v>119.47000000000003</v>
      </c>
      <c r="O37" s="55">
        <f t="shared" si="1"/>
        <v>267.65136345737784</v>
      </c>
    </row>
    <row r="38" spans="1:15" x14ac:dyDescent="0.45">
      <c r="A38" s="64">
        <v>44197</v>
      </c>
      <c r="B38" s="66">
        <v>1846.09</v>
      </c>
      <c r="C38" s="66">
        <v>-50.400000000000091</v>
      </c>
      <c r="D38" s="65">
        <f t="shared" si="2"/>
        <v>-334.79983389518355</v>
      </c>
      <c r="F38" s="38">
        <v>44197</v>
      </c>
      <c r="G38" s="19">
        <v>1846.09</v>
      </c>
      <c r="H38" s="19">
        <v>-50.400000000000091</v>
      </c>
      <c r="I38" s="20">
        <f>H38+0.48732*H37-0.38935*H36-0.133*H35-1.64586*I37-0.79204*I36</f>
        <v>-333.90732699644258</v>
      </c>
      <c r="L38" s="59">
        <v>44197</v>
      </c>
      <c r="M38" s="54">
        <v>1846.09</v>
      </c>
      <c r="N38" s="54">
        <v>-50.400000000000091</v>
      </c>
      <c r="O38" s="55">
        <f t="shared" si="1"/>
        <v>-358.37333419996639</v>
      </c>
    </row>
    <row r="39" spans="1:15" x14ac:dyDescent="0.45">
      <c r="A39" s="64">
        <v>44228</v>
      </c>
      <c r="B39" s="66">
        <v>1733.49</v>
      </c>
      <c r="C39" s="66">
        <v>-112.59999999999991</v>
      </c>
      <c r="D39" s="65">
        <f t="shared" si="2"/>
        <v>145.47531257610194</v>
      </c>
      <c r="F39" s="38">
        <v>44228</v>
      </c>
      <c r="G39" s="19">
        <v>1733.49</v>
      </c>
      <c r="H39" s="19">
        <v>-112.59999999999991</v>
      </c>
      <c r="I39" s="20">
        <f>H39+0.48732*H38-0.38935*H37-0.133*H36-1.64586*I38-0.79204*I37</f>
        <v>144.76223562997049</v>
      </c>
      <c r="L39" s="59">
        <v>44228</v>
      </c>
      <c r="M39" s="54">
        <v>1733.49</v>
      </c>
      <c r="N39" s="54">
        <v>-112.59999999999991</v>
      </c>
      <c r="O39" s="55">
        <f t="shared" si="1"/>
        <v>116.88886741357523</v>
      </c>
    </row>
    <row r="40" spans="1:15" x14ac:dyDescent="0.45">
      <c r="A40" s="64">
        <v>44256</v>
      </c>
      <c r="B40" s="66">
        <v>1707.01</v>
      </c>
      <c r="C40" s="66">
        <v>-26.480000000000018</v>
      </c>
      <c r="D40" s="65">
        <f t="shared" si="2"/>
        <v>-51.875639518161904</v>
      </c>
      <c r="F40" s="38">
        <v>44256</v>
      </c>
      <c r="G40" s="19">
        <v>1707.01</v>
      </c>
      <c r="H40" s="19">
        <v>-26.480000000000018</v>
      </c>
      <c r="I40" s="20">
        <f>H40+0.48732*H39-0.38935*H38-0.133*H37-1.64586*I39-0.79204*I38</f>
        <v>-51.40891585968086</v>
      </c>
      <c r="L40" s="59">
        <v>44256</v>
      </c>
      <c r="M40" s="54">
        <v>1707.01</v>
      </c>
      <c r="N40" s="54">
        <v>-26.480000000000018</v>
      </c>
      <c r="O40" s="55">
        <f t="shared" si="1"/>
        <v>-76.855197701565501</v>
      </c>
    </row>
    <row r="41" spans="1:15" x14ac:dyDescent="0.45">
      <c r="A41" s="64">
        <v>44287</v>
      </c>
      <c r="B41" s="66">
        <v>1768.59</v>
      </c>
      <c r="C41" s="66">
        <v>61.579999999999927</v>
      </c>
      <c r="D41" s="65">
        <f t="shared" si="2"/>
        <v>69.37754988458606</v>
      </c>
      <c r="F41" s="38">
        <v>44287</v>
      </c>
      <c r="G41" s="19">
        <v>1768.59</v>
      </c>
      <c r="H41" s="19">
        <v>61.579999999999927</v>
      </c>
      <c r="I41" s="20">
        <f t="shared" si="3"/>
        <v>69.174173548452416</v>
      </c>
      <c r="L41" s="59">
        <v>44287</v>
      </c>
      <c r="M41" s="54">
        <v>1768.59</v>
      </c>
      <c r="N41" s="54">
        <v>61.579999999999927</v>
      </c>
      <c r="O41" s="55">
        <f t="shared" si="1"/>
        <v>42.432013542850356</v>
      </c>
    </row>
    <row r="42" spans="1:15" x14ac:dyDescent="0.45">
      <c r="A42" s="64">
        <v>44317</v>
      </c>
      <c r="B42" s="66">
        <v>1906.36</v>
      </c>
      <c r="C42" s="66">
        <v>137.76999999999998</v>
      </c>
      <c r="D42" s="65">
        <f t="shared" si="2"/>
        <v>119.96680087092008</v>
      </c>
      <c r="F42" s="38">
        <v>44317</v>
      </c>
      <c r="G42" s="19">
        <v>1906.36</v>
      </c>
      <c r="H42" s="19">
        <v>137.76999999999998</v>
      </c>
      <c r="I42" s="20">
        <f t="shared" si="3"/>
        <v>119.93186604104568</v>
      </c>
      <c r="L42" s="59">
        <v>44317</v>
      </c>
      <c r="M42" s="54">
        <v>1906.36</v>
      </c>
      <c r="N42" s="54">
        <v>137.76999999999998</v>
      </c>
      <c r="O42" s="55">
        <f t="shared" si="1"/>
        <v>93.40019057791217</v>
      </c>
    </row>
    <row r="43" spans="1:15" x14ac:dyDescent="0.45">
      <c r="A43" s="64">
        <v>44348</v>
      </c>
      <c r="B43" s="66">
        <v>1769.8</v>
      </c>
      <c r="C43" s="66">
        <v>-136.55999999999995</v>
      </c>
      <c r="D43" s="65">
        <f t="shared" si="2"/>
        <v>-342.27461009200005</v>
      </c>
      <c r="F43" s="38">
        <v>44348</v>
      </c>
      <c r="G43" s="19">
        <v>1769.8</v>
      </c>
      <c r="H43" s="19">
        <v>-136.55999999999995</v>
      </c>
      <c r="I43" s="20">
        <f t="shared" si="3"/>
        <v>-342.05603005963167</v>
      </c>
      <c r="L43" s="59">
        <v>44348</v>
      </c>
      <c r="M43" s="54">
        <v>1769.8</v>
      </c>
      <c r="N43" s="54">
        <v>-136.55999999999995</v>
      </c>
      <c r="O43" s="55">
        <f t="shared" si="1"/>
        <v>-367.90774627104162</v>
      </c>
    </row>
    <row r="44" spans="1:15" x14ac:dyDescent="0.45">
      <c r="A44" s="64">
        <v>44378</v>
      </c>
      <c r="B44" s="66">
        <v>1813.58</v>
      </c>
      <c r="C44" s="66">
        <v>43.779999999999973</v>
      </c>
      <c r="D44" s="65">
        <f t="shared" si="2"/>
        <v>383.7182761042157</v>
      </c>
      <c r="F44" s="38">
        <v>44378</v>
      </c>
      <c r="G44" s="19">
        <v>1813.58</v>
      </c>
      <c r="H44" s="19">
        <v>43.779999999999973</v>
      </c>
      <c r="I44" s="20">
        <f t="shared" si="3"/>
        <v>383.38619375479561</v>
      </c>
      <c r="L44" s="59">
        <v>44378</v>
      </c>
      <c r="M44" s="54">
        <v>1813.58</v>
      </c>
      <c r="N44" s="54">
        <v>43.779999999999973</v>
      </c>
      <c r="O44" s="55">
        <f t="shared" si="1"/>
        <v>356.24864763232705</v>
      </c>
    </row>
    <row r="45" spans="1:15" x14ac:dyDescent="0.45">
      <c r="A45" s="64">
        <v>44409</v>
      </c>
      <c r="B45" s="66">
        <v>1813.43</v>
      </c>
      <c r="C45" s="66">
        <v>-0.14999999999986358</v>
      </c>
      <c r="D45" s="65">
        <f t="shared" si="2"/>
        <v>-304.42028413161677</v>
      </c>
      <c r="F45" s="38">
        <v>44409</v>
      </c>
      <c r="G45" s="19">
        <v>1813.43</v>
      </c>
      <c r="H45" s="19">
        <v>-0.14999999999986358</v>
      </c>
      <c r="I45" s="20">
        <f t="shared" si="3"/>
        <v>-304.04684720483721</v>
      </c>
      <c r="L45" s="59">
        <v>44409</v>
      </c>
      <c r="M45" s="54">
        <v>1813.43</v>
      </c>
      <c r="N45" s="54">
        <v>-0.14999999999986358</v>
      </c>
      <c r="O45" s="55">
        <f t="shared" si="1"/>
        <v>-329.60665223562597</v>
      </c>
    </row>
    <row r="46" spans="1:15" x14ac:dyDescent="0.45">
      <c r="A46" s="64">
        <v>44440</v>
      </c>
      <c r="B46" s="66">
        <v>1756.66</v>
      </c>
      <c r="C46" s="66">
        <v>-56.769999999999982</v>
      </c>
      <c r="D46" s="65">
        <f t="shared" si="2"/>
        <v>141.38658443527993</v>
      </c>
      <c r="F46" s="38">
        <v>44440</v>
      </c>
      <c r="G46" s="19">
        <v>1756.66</v>
      </c>
      <c r="H46" s="19">
        <v>-56.769999999999982</v>
      </c>
      <c r="I46" s="20">
        <f t="shared" si="3"/>
        <v>141.03498203900517</v>
      </c>
      <c r="L46" s="59">
        <v>44440</v>
      </c>
      <c r="M46" s="54">
        <v>1756.66</v>
      </c>
      <c r="N46" s="54">
        <v>-56.769999999999982</v>
      </c>
      <c r="O46" s="55">
        <f t="shared" si="1"/>
        <v>113.89686477781918</v>
      </c>
    </row>
    <row r="47" spans="1:15" x14ac:dyDescent="0.45">
      <c r="A47" s="64">
        <v>44470</v>
      </c>
      <c r="B47" s="66">
        <v>1782.81</v>
      </c>
      <c r="C47" s="66">
        <v>26.149999999999864</v>
      </c>
      <c r="D47" s="65">
        <f t="shared" si="2"/>
        <v>1.131024084955726</v>
      </c>
      <c r="F47" s="38">
        <v>44470</v>
      </c>
      <c r="G47" s="19">
        <v>1782.81</v>
      </c>
      <c r="H47" s="19">
        <v>26.149999999999864</v>
      </c>
      <c r="I47" s="20">
        <f t="shared" si="3"/>
        <v>1.4139354214020159</v>
      </c>
      <c r="L47" s="59">
        <v>44470</v>
      </c>
      <c r="M47" s="54">
        <v>1782.81</v>
      </c>
      <c r="N47" s="54">
        <v>26.149999999999864</v>
      </c>
      <c r="O47" s="55">
        <f t="shared" si="1"/>
        <v>-24.376134926516457</v>
      </c>
    </row>
    <row r="48" spans="1:15" x14ac:dyDescent="0.45">
      <c r="A48" s="64">
        <v>44501</v>
      </c>
      <c r="B48" s="66">
        <v>1773.78</v>
      </c>
      <c r="C48" s="66">
        <v>-9.0299999999999727</v>
      </c>
      <c r="D48" s="65">
        <f t="shared" si="2"/>
        <v>-88.00857013658441</v>
      </c>
      <c r="F48" s="38">
        <v>44501</v>
      </c>
      <c r="G48" s="19">
        <v>1773.78</v>
      </c>
      <c r="H48" s="19">
        <v>-9.0299999999999727</v>
      </c>
      <c r="I48" s="20">
        <f t="shared" si="3"/>
        <v>-88.195719426842444</v>
      </c>
      <c r="L48" s="59">
        <v>44501</v>
      </c>
      <c r="M48" s="54">
        <v>1773.78</v>
      </c>
      <c r="N48" s="54">
        <v>-9.0299999999999727</v>
      </c>
      <c r="O48" s="55">
        <f t="shared" si="1"/>
        <v>-114.95439984846759</v>
      </c>
    </row>
    <row r="49" spans="1:15" x14ac:dyDescent="0.45">
      <c r="A49" s="64">
        <v>44531</v>
      </c>
      <c r="B49" s="66">
        <v>1828.39</v>
      </c>
      <c r="C49" s="66">
        <v>54.610000000000127</v>
      </c>
      <c r="D49" s="65">
        <f t="shared" si="2"/>
        <v>191.5323768287507</v>
      </c>
      <c r="F49" s="38">
        <v>44531</v>
      </c>
      <c r="G49" s="19">
        <v>1828.39</v>
      </c>
      <c r="H49" s="19">
        <v>54.610000000000127</v>
      </c>
      <c r="I49" s="20">
        <f t="shared" si="3"/>
        <v>191.61632126469587</v>
      </c>
      <c r="L49" s="59">
        <v>44531</v>
      </c>
      <c r="M49" s="54">
        <v>1828.39</v>
      </c>
      <c r="N49" s="54">
        <v>54.610000000000127</v>
      </c>
      <c r="O49" s="55">
        <f t="shared" si="1"/>
        <v>165.38413034179717</v>
      </c>
    </row>
    <row r="50" spans="1:15" x14ac:dyDescent="0.45">
      <c r="A50" s="64">
        <v>44562</v>
      </c>
      <c r="B50" s="66">
        <v>1796.47</v>
      </c>
      <c r="C50" s="66">
        <v>-31.920000000000073</v>
      </c>
      <c r="D50" s="65">
        <f t="shared" si="2"/>
        <v>-250.79874413638731</v>
      </c>
      <c r="F50" s="38">
        <v>44562</v>
      </c>
      <c r="G50" s="19">
        <v>1796.47</v>
      </c>
      <c r="H50" s="19">
        <v>-31.920000000000073</v>
      </c>
      <c r="I50" s="20">
        <f t="shared" si="3"/>
        <v>-250.78867520187609</v>
      </c>
      <c r="L50" s="59">
        <v>44562</v>
      </c>
      <c r="M50" s="54">
        <v>1796.47</v>
      </c>
      <c r="N50" s="54">
        <v>-31.920000000000073</v>
      </c>
      <c r="O50" s="55">
        <f t="shared" si="1"/>
        <v>-277.12021620837004</v>
      </c>
    </row>
    <row r="51" spans="1:15" x14ac:dyDescent="0.45">
      <c r="A51" s="64">
        <v>44593</v>
      </c>
      <c r="B51" s="66">
        <v>1907.9</v>
      </c>
      <c r="C51" s="66">
        <v>111.43000000000006</v>
      </c>
      <c r="D51" s="65">
        <f t="shared" si="2"/>
        <v>336.89164938087072</v>
      </c>
      <c r="F51" s="38">
        <v>44593</v>
      </c>
      <c r="G51" s="19">
        <v>1907.9</v>
      </c>
      <c r="H51" s="19">
        <v>111.43000000000006</v>
      </c>
      <c r="I51" s="20">
        <f t="shared" si="3"/>
        <v>336.80858997327005</v>
      </c>
      <c r="L51" s="59">
        <v>44593</v>
      </c>
      <c r="M51" s="54">
        <v>1907.9</v>
      </c>
      <c r="N51" s="54">
        <v>111.43000000000006</v>
      </c>
      <c r="O51" s="55">
        <f t="shared" si="1"/>
        <v>310.22356455279095</v>
      </c>
    </row>
    <row r="52" spans="1:15" x14ac:dyDescent="0.45">
      <c r="A52" s="64">
        <v>44621</v>
      </c>
      <c r="B52" s="66">
        <v>1937.23</v>
      </c>
      <c r="C52" s="66">
        <v>29.329999999999927</v>
      </c>
      <c r="D52" s="65">
        <f t="shared" si="2"/>
        <v>-267.03686314421577</v>
      </c>
      <c r="F52" s="38">
        <v>44621</v>
      </c>
      <c r="G52" s="19">
        <v>1937.23</v>
      </c>
      <c r="H52" s="19">
        <v>29.329999999999927</v>
      </c>
      <c r="I52" s="20">
        <f t="shared" si="3"/>
        <v>-266.90813398651244</v>
      </c>
      <c r="L52" s="59">
        <v>44621</v>
      </c>
      <c r="M52" s="54">
        <v>1937.23</v>
      </c>
      <c r="N52" s="54">
        <v>29.329999999999927</v>
      </c>
      <c r="O52" s="55">
        <f t="shared" si="1"/>
        <v>-292.99727030917916</v>
      </c>
    </row>
    <row r="53" spans="1:15" x14ac:dyDescent="0.45">
      <c r="A53" s="64">
        <v>44652</v>
      </c>
      <c r="B53" s="66">
        <v>1896.4</v>
      </c>
      <c r="C53" s="66">
        <v>-40.829999999999927</v>
      </c>
      <c r="D53" s="65">
        <f t="shared" si="2"/>
        <v>106.99681469891419</v>
      </c>
      <c r="F53" s="38">
        <v>44652</v>
      </c>
      <c r="G53" s="19">
        <v>1896.4</v>
      </c>
      <c r="H53" s="19">
        <v>-40.829999999999927</v>
      </c>
      <c r="I53" s="20">
        <f t="shared" si="3"/>
        <v>106.85073090061263</v>
      </c>
      <c r="L53" s="59">
        <v>44652</v>
      </c>
      <c r="M53" s="54">
        <v>1896.4</v>
      </c>
      <c r="N53" s="54">
        <v>-40.829999999999927</v>
      </c>
      <c r="O53" s="55">
        <f t="shared" si="1"/>
        <v>80.146200342673112</v>
      </c>
    </row>
    <row r="54" spans="1:15" x14ac:dyDescent="0.45">
      <c r="A54" s="64">
        <v>44682</v>
      </c>
      <c r="B54" s="66">
        <v>1837.09</v>
      </c>
      <c r="C54" s="66">
        <v>-59.310000000000173</v>
      </c>
      <c r="D54" s="65">
        <f t="shared" si="2"/>
        <v>-70.045001455610418</v>
      </c>
      <c r="F54" s="38">
        <v>44682</v>
      </c>
      <c r="G54" s="19">
        <v>1837.09</v>
      </c>
      <c r="H54" s="19">
        <v>-59.310000000000173</v>
      </c>
      <c r="I54" s="20">
        <f t="shared" si="3"/>
        <v>-69.90652661740512</v>
      </c>
      <c r="L54" s="59">
        <v>44682</v>
      </c>
      <c r="M54" s="54">
        <v>1837.09</v>
      </c>
      <c r="N54" s="54">
        <v>-59.310000000000173</v>
      </c>
      <c r="O54" s="55">
        <f t="shared" si="1"/>
        <v>-95.990968420309841</v>
      </c>
    </row>
    <row r="55" spans="1:15" x14ac:dyDescent="0.45">
      <c r="A55" s="64">
        <v>44713</v>
      </c>
      <c r="B55" s="66">
        <v>1806.89</v>
      </c>
      <c r="C55" s="66">
        <v>-30.199999999999818</v>
      </c>
      <c r="D55" s="65">
        <f t="shared" si="2"/>
        <v>-16.568169718396945</v>
      </c>
      <c r="F55" s="38">
        <v>44713</v>
      </c>
      <c r="G55" s="19">
        <v>1806.89</v>
      </c>
      <c r="H55" s="19">
        <v>-30.199999999999818</v>
      </c>
      <c r="I55" s="20">
        <f t="shared" si="3"/>
        <v>-16.680375703998749</v>
      </c>
      <c r="L55" s="59">
        <v>44713</v>
      </c>
      <c r="M55" s="54">
        <v>1806.89</v>
      </c>
      <c r="N55" s="54">
        <v>-30.199999999999818</v>
      </c>
      <c r="O55" s="55">
        <f t="shared" si="1"/>
        <v>-43.297979935159553</v>
      </c>
    </row>
    <row r="56" spans="1:15" x14ac:dyDescent="0.45">
      <c r="A56" s="64">
        <v>44743</v>
      </c>
      <c r="B56" s="66">
        <v>1765.22</v>
      </c>
      <c r="C56" s="66">
        <v>-41.670000000000073</v>
      </c>
      <c r="D56" s="65">
        <f t="shared" si="2"/>
        <v>54.88300526562255</v>
      </c>
      <c r="F56" s="38">
        <v>44743</v>
      </c>
      <c r="G56" s="19">
        <v>1765.22</v>
      </c>
      <c r="H56" s="19">
        <v>-41.670000000000073</v>
      </c>
      <c r="I56" s="20">
        <f t="shared" si="3"/>
        <v>54.958002998233013</v>
      </c>
      <c r="L56" s="59">
        <v>44743</v>
      </c>
      <c r="M56" s="54">
        <v>1765.22</v>
      </c>
      <c r="N56" s="54">
        <v>-41.670000000000073</v>
      </c>
      <c r="O56" s="55">
        <f t="shared" si="1"/>
        <v>28.726774383703983</v>
      </c>
    </row>
    <row r="57" spans="1:15" x14ac:dyDescent="0.45">
      <c r="A57" s="64">
        <v>44774</v>
      </c>
      <c r="B57" s="66">
        <v>1710.7</v>
      </c>
      <c r="C57" s="66">
        <v>-54.519999999999982</v>
      </c>
      <c r="D57" s="65">
        <f t="shared" si="2"/>
        <v>-132.38711430271849</v>
      </c>
      <c r="F57" s="38">
        <v>44774</v>
      </c>
      <c r="G57" s="19">
        <v>1710.7</v>
      </c>
      <c r="H57" s="19">
        <v>-54.519999999999982</v>
      </c>
      <c r="I57" s="20">
        <f t="shared" si="3"/>
        <v>-132.42167844207668</v>
      </c>
      <c r="L57" s="59">
        <v>44774</v>
      </c>
      <c r="M57" s="54">
        <v>1710.7</v>
      </c>
      <c r="N57" s="54">
        <v>-54.519999999999982</v>
      </c>
      <c r="O57" s="55">
        <f t="shared" si="1"/>
        <v>-158.86654125931932</v>
      </c>
    </row>
    <row r="58" spans="1:15" x14ac:dyDescent="0.45">
      <c r="A58" s="64">
        <v>44805</v>
      </c>
      <c r="B58" s="66">
        <v>1659.67</v>
      </c>
      <c r="C58" s="66">
        <v>-51.029999999999973</v>
      </c>
      <c r="D58" s="65">
        <f t="shared" si="2"/>
        <v>117.06324855568862</v>
      </c>
      <c r="F58" s="38">
        <v>44805</v>
      </c>
      <c r="G58" s="19">
        <v>1659.67</v>
      </c>
      <c r="H58" s="19">
        <v>-51.029999999999973</v>
      </c>
      <c r="I58" s="20">
        <f t="shared" si="3"/>
        <v>117.06073508595591</v>
      </c>
      <c r="L58" s="59">
        <v>44805</v>
      </c>
      <c r="M58" s="54">
        <v>1659.67</v>
      </c>
      <c r="N58" s="54">
        <v>-51.029999999999973</v>
      </c>
      <c r="O58" s="55">
        <f t="shared" si="1"/>
        <v>90.66145931419446</v>
      </c>
    </row>
    <row r="59" spans="1:15" x14ac:dyDescent="0.45">
      <c r="A59" s="64">
        <v>44835</v>
      </c>
      <c r="B59" s="66">
        <v>1633.12</v>
      </c>
      <c r="C59" s="66">
        <v>-26.550000000000182</v>
      </c>
      <c r="D59" s="65">
        <f t="shared" si="2"/>
        <v>-112.4622958555407</v>
      </c>
      <c r="F59" s="38">
        <v>44835</v>
      </c>
      <c r="G59" s="19">
        <v>1633.12</v>
      </c>
      <c r="H59" s="19">
        <v>-26.550000000000182</v>
      </c>
      <c r="I59" s="20">
        <f t="shared" si="3"/>
        <v>-112.43078285530916</v>
      </c>
      <c r="L59" s="59">
        <v>44835</v>
      </c>
      <c r="M59" s="54">
        <v>1633.12</v>
      </c>
      <c r="N59" s="54">
        <v>-26.550000000000182</v>
      </c>
      <c r="O59" s="55">
        <f t="shared" si="1"/>
        <v>-138.73588168782902</v>
      </c>
    </row>
    <row r="60" spans="1:15" x14ac:dyDescent="0.45">
      <c r="A60" s="64">
        <v>44866</v>
      </c>
      <c r="B60" s="66">
        <v>1768.45</v>
      </c>
      <c r="C60" s="66">
        <v>135.33000000000015</v>
      </c>
      <c r="D60" s="65">
        <f t="shared" si="2"/>
        <v>241.88976337075266</v>
      </c>
      <c r="F60" s="38">
        <v>44866</v>
      </c>
      <c r="G60" s="19">
        <v>1768.45</v>
      </c>
      <c r="H60" s="19">
        <v>135.33000000000015</v>
      </c>
      <c r="I60" s="20">
        <f t="shared" si="3"/>
        <v>241.83988815275865</v>
      </c>
      <c r="L60" s="59">
        <v>44866</v>
      </c>
      <c r="M60" s="54">
        <v>1768.45</v>
      </c>
      <c r="N60" s="54">
        <v>135.33000000000015</v>
      </c>
      <c r="O60" s="55">
        <f t="shared" si="1"/>
        <v>215.34368049951576</v>
      </c>
    </row>
    <row r="61" spans="1:15" x14ac:dyDescent="0.45">
      <c r="A61" s="64">
        <v>44896</v>
      </c>
      <c r="B61" s="66">
        <v>1824.4</v>
      </c>
      <c r="C61" s="66">
        <v>55.950000000000045</v>
      </c>
      <c r="D61" s="65">
        <f t="shared" si="2"/>
        <v>-170.01880103196439</v>
      </c>
      <c r="F61" s="38">
        <v>44896</v>
      </c>
      <c r="G61" s="19">
        <v>1824.4</v>
      </c>
      <c r="H61" s="19">
        <v>55.950000000000045</v>
      </c>
      <c r="I61" s="20">
        <f t="shared" si="3"/>
        <v>-169.96167296238008</v>
      </c>
      <c r="L61" s="59">
        <v>44896</v>
      </c>
      <c r="M61" s="54">
        <v>1824.4</v>
      </c>
      <c r="N61" s="54">
        <v>55.950000000000045</v>
      </c>
      <c r="O61" s="55">
        <f t="shared" si="1"/>
        <v>-196.21793415490475</v>
      </c>
    </row>
    <row r="62" spans="1:15" x14ac:dyDescent="0.45">
      <c r="A62" s="64">
        <v>44927</v>
      </c>
      <c r="B62" s="66">
        <v>1927.88</v>
      </c>
      <c r="C62" s="66">
        <v>103.48000000000002</v>
      </c>
      <c r="D62" s="65">
        <f t="shared" si="2"/>
        <v>169.82674418629799</v>
      </c>
      <c r="F62" s="38">
        <v>44927</v>
      </c>
      <c r="G62" s="19">
        <v>1927.88</v>
      </c>
      <c r="H62" s="19">
        <v>103.48000000000002</v>
      </c>
      <c r="I62" s="20">
        <f t="shared" si="3"/>
        <v>169.77222254935194</v>
      </c>
      <c r="L62" s="59">
        <v>44927</v>
      </c>
      <c r="M62" s="54">
        <v>1927.88</v>
      </c>
      <c r="N62" s="54">
        <v>103.48000000000002</v>
      </c>
      <c r="O62" s="55">
        <f t="shared" si="1"/>
        <v>143.27240890535506</v>
      </c>
    </row>
    <row r="63" spans="1:15" x14ac:dyDescent="0.45">
      <c r="A63" s="64">
        <v>44958</v>
      </c>
      <c r="B63" s="66">
        <v>1827.15</v>
      </c>
      <c r="C63" s="66">
        <v>-100.73000000000002</v>
      </c>
      <c r="D63" s="65">
        <f t="shared" si="2"/>
        <v>-234.9345029171034</v>
      </c>
      <c r="F63" s="38">
        <v>44958</v>
      </c>
      <c r="G63" s="19">
        <v>1827.15</v>
      </c>
      <c r="H63" s="19">
        <v>-100.73000000000002</v>
      </c>
      <c r="I63" s="20">
        <f t="shared" si="3"/>
        <v>-234.89001565195292</v>
      </c>
      <c r="L63" s="59">
        <v>44958</v>
      </c>
      <c r="M63" s="54">
        <v>1827.15</v>
      </c>
      <c r="N63" s="54">
        <v>-100.73000000000002</v>
      </c>
      <c r="O63" s="55">
        <f t="shared" si="1"/>
        <v>-261.17902325291698</v>
      </c>
    </row>
    <row r="64" spans="1:15" x14ac:dyDescent="0.45">
      <c r="A64" s="64">
        <v>44986</v>
      </c>
      <c r="B64" s="66">
        <v>1967.9</v>
      </c>
      <c r="C64" s="66">
        <v>140.75</v>
      </c>
      <c r="D64" s="65">
        <f t="shared" si="2"/>
        <v>296.0906949058284</v>
      </c>
      <c r="F64" s="38">
        <v>44986</v>
      </c>
      <c r="G64" s="19">
        <v>1967.9</v>
      </c>
      <c r="H64" s="19">
        <v>140.75</v>
      </c>
      <c r="I64" s="20">
        <f t="shared" si="3"/>
        <v>296.06065841293452</v>
      </c>
      <c r="L64" s="59">
        <v>44986</v>
      </c>
      <c r="M64" s="54">
        <v>1967.9</v>
      </c>
      <c r="N64" s="54">
        <v>140.75</v>
      </c>
      <c r="O64" s="55">
        <f t="shared" si="1"/>
        <v>269.61759686164856</v>
      </c>
    </row>
    <row r="65" spans="1:15" x14ac:dyDescent="0.45">
      <c r="A65" s="64">
        <v>45017</v>
      </c>
      <c r="B65" s="66">
        <v>1989.65</v>
      </c>
      <c r="C65" s="66">
        <v>21.75</v>
      </c>
      <c r="D65" s="65">
        <f t="shared" si="2"/>
        <v>-185.44963192724416</v>
      </c>
      <c r="F65" s="38">
        <v>45017</v>
      </c>
      <c r="G65" s="19">
        <v>1989.65</v>
      </c>
      <c r="H65" s="19">
        <v>21.75</v>
      </c>
      <c r="I65" s="20">
        <f t="shared" si="3"/>
        <v>-185.43543175853966</v>
      </c>
      <c r="L65" s="59">
        <v>45017</v>
      </c>
      <c r="M65" s="54">
        <v>1989.65</v>
      </c>
      <c r="N65" s="54">
        <v>21.75</v>
      </c>
      <c r="O65" s="55">
        <f t="shared" si="1"/>
        <v>-211.79190889347262</v>
      </c>
    </row>
    <row r="66" spans="1:15" x14ac:dyDescent="0.45">
      <c r="A66" s="64">
        <v>45047</v>
      </c>
      <c r="B66" s="66">
        <v>1962.3</v>
      </c>
      <c r="C66" s="66">
        <v>-27.350000000000136</v>
      </c>
      <c r="D66" s="65">
        <f t="shared" si="2"/>
        <v>12.553744710561659</v>
      </c>
      <c r="F66" s="38">
        <v>45047</v>
      </c>
      <c r="G66" s="19">
        <v>1962.3</v>
      </c>
      <c r="H66" s="19">
        <v>-27.350000000000136</v>
      </c>
      <c r="I66" s="20">
        <f t="shared" si="3"/>
        <v>12.554163324729359</v>
      </c>
      <c r="L66" s="59">
        <v>45047</v>
      </c>
      <c r="M66" s="54">
        <v>1962.3</v>
      </c>
      <c r="N66" s="54">
        <v>-27.350000000000136</v>
      </c>
      <c r="O66" s="55">
        <f t="shared" si="1"/>
        <v>-13.822802746889366</v>
      </c>
    </row>
    <row r="67" spans="1:15" x14ac:dyDescent="0.45">
      <c r="A67" s="64">
        <v>45078</v>
      </c>
      <c r="B67" s="66">
        <v>1919.57</v>
      </c>
      <c r="C67" s="66">
        <v>-42.730000000000018</v>
      </c>
      <c r="D67" s="65">
        <f t="shared" si="2"/>
        <v>42.975505702329357</v>
      </c>
      <c r="F67" s="38">
        <v>45078</v>
      </c>
      <c r="G67" s="19">
        <v>1919.57</v>
      </c>
      <c r="H67" s="19">
        <v>-42.730000000000018</v>
      </c>
      <c r="I67" s="20">
        <f t="shared" si="3"/>
        <v>42.963569620394594</v>
      </c>
      <c r="L67" s="59">
        <v>45078</v>
      </c>
      <c r="M67" s="54">
        <v>1919.57</v>
      </c>
      <c r="N67" s="54">
        <v>-42.730000000000018</v>
      </c>
      <c r="O67" s="55">
        <f t="shared" si="1"/>
        <v>16.551747148981292</v>
      </c>
    </row>
    <row r="68" spans="1:15" x14ac:dyDescent="0.45">
      <c r="A68" s="64">
        <v>45108</v>
      </c>
      <c r="B68" s="66">
        <v>1964.19</v>
      </c>
      <c r="C68" s="66">
        <v>44.620000000000118</v>
      </c>
      <c r="D68" s="65">
        <f t="shared" si="2"/>
        <v>-49.121944875788891</v>
      </c>
      <c r="F68" s="38">
        <v>45108</v>
      </c>
      <c r="G68" s="19">
        <v>1964.19</v>
      </c>
      <c r="H68" s="19">
        <v>44.620000000000118</v>
      </c>
      <c r="I68" s="20">
        <f t="shared" si="3"/>
        <v>-49.102631315141124</v>
      </c>
      <c r="L68" s="59">
        <v>45108</v>
      </c>
      <c r="M68" s="54">
        <v>1964.19</v>
      </c>
      <c r="N68" s="54">
        <v>44.620000000000118</v>
      </c>
      <c r="O68" s="55">
        <f t="shared" si="1"/>
        <v>-75.440856974975929</v>
      </c>
    </row>
    <row r="69" spans="1:15" x14ac:dyDescent="0.45">
      <c r="A69" s="64">
        <v>45139</v>
      </c>
      <c r="B69" s="66">
        <v>1939.74</v>
      </c>
      <c r="C69" s="66">
        <v>-24.450000000000045</v>
      </c>
      <c r="D69" s="65">
        <f t="shared" si="2"/>
        <v>64.378218556793016</v>
      </c>
      <c r="F69" s="38">
        <v>45139</v>
      </c>
      <c r="G69" s="19">
        <v>1939.74</v>
      </c>
      <c r="H69" s="19">
        <v>-24.450000000000045</v>
      </c>
      <c r="I69" s="20">
        <f t="shared" si="3"/>
        <v>64.355884994200892</v>
      </c>
      <c r="L69" s="59">
        <v>45139</v>
      </c>
      <c r="M69" s="54">
        <v>1939.74</v>
      </c>
      <c r="N69" s="54">
        <v>-24.450000000000045</v>
      </c>
      <c r="O69" s="55">
        <f t="shared" si="1"/>
        <v>37.924136948954768</v>
      </c>
    </row>
    <row r="70" spans="1:15" x14ac:dyDescent="0.45">
      <c r="A70" s="64">
        <v>45170</v>
      </c>
      <c r="B70" s="66">
        <v>1848.31</v>
      </c>
      <c r="C70" s="66">
        <v>-91.430000000000064</v>
      </c>
      <c r="D70" s="65">
        <f t="shared" si="2"/>
        <v>-182.08567057446365</v>
      </c>
      <c r="F70" s="38">
        <v>45170</v>
      </c>
      <c r="G70" s="19">
        <v>1848.31</v>
      </c>
      <c r="H70" s="19">
        <v>-91.430000000000064</v>
      </c>
      <c r="I70" s="20">
        <f t="shared" ref="I70:I81" si="4">H70+0.48732*H69-0.38935*H68-0.133*H67-1.64586*I69-0.79204*I68</f>
        <v>-182.06420976971123</v>
      </c>
      <c r="L70" s="59">
        <v>45170</v>
      </c>
      <c r="M70" s="54">
        <v>1848.31</v>
      </c>
      <c r="N70" s="54">
        <v>-91.430000000000064</v>
      </c>
      <c r="O70" s="55">
        <f t="shared" ref="O70:O81" si="5">N70+0.48732*N69-0.38935*N68-0.133*N67-1.64586*O69-0.79204*O68-90.7</f>
        <v>-208.4003246803469</v>
      </c>
    </row>
    <row r="71" spans="1:15" x14ac:dyDescent="0.45">
      <c r="A71" s="64">
        <v>45200</v>
      </c>
      <c r="B71" s="66">
        <v>1982.7</v>
      </c>
      <c r="C71" s="66">
        <v>134.3900000000001</v>
      </c>
      <c r="D71" s="65">
        <f t="shared" ref="D71:D81" si="6">C71+0.48732*C70-0.38935*C69-0.133*C68-1.64586*D70-0.79204*D69</f>
        <v>342.11687744596446</v>
      </c>
      <c r="F71" s="38">
        <v>45200</v>
      </c>
      <c r="G71" s="19">
        <v>1982.7</v>
      </c>
      <c r="H71" s="19">
        <v>134.3900000000001</v>
      </c>
      <c r="I71" s="20">
        <f t="shared" si="4"/>
        <v>342.09924504077014</v>
      </c>
      <c r="L71" s="59">
        <v>45200</v>
      </c>
      <c r="M71" s="54">
        <v>1982.7</v>
      </c>
      <c r="N71" s="54">
        <v>134.3900000000001</v>
      </c>
      <c r="O71" s="55">
        <f t="shared" si="5"/>
        <v>315.67980484934577</v>
      </c>
    </row>
    <row r="72" spans="1:15" x14ac:dyDescent="0.45">
      <c r="A72" s="64">
        <v>45231</v>
      </c>
      <c r="B72" s="66">
        <v>2035.75</v>
      </c>
      <c r="C72" s="66">
        <v>53.049999999999955</v>
      </c>
      <c r="D72" s="65">
        <f t="shared" si="6"/>
        <v>-261.4662940914169</v>
      </c>
      <c r="F72" s="38">
        <v>45231</v>
      </c>
      <c r="G72" s="19">
        <v>2035.75</v>
      </c>
      <c r="H72" s="19">
        <v>53.049999999999955</v>
      </c>
      <c r="I72" s="20">
        <f t="shared" si="4"/>
        <v>-261.45427143679979</v>
      </c>
      <c r="L72" s="59">
        <v>45231</v>
      </c>
      <c r="M72" s="54">
        <v>2035.75</v>
      </c>
      <c r="N72" s="54">
        <v>53.049999999999955</v>
      </c>
      <c r="O72" s="55">
        <f t="shared" si="5"/>
        <v>-287.81231514952225</v>
      </c>
    </row>
    <row r="73" spans="1:15" x14ac:dyDescent="0.45">
      <c r="A73" s="64">
        <v>45261</v>
      </c>
      <c r="B73" s="66">
        <v>2062.59</v>
      </c>
      <c r="C73" s="66">
        <v>26.840000000000146</v>
      </c>
      <c r="D73" s="65">
        <f t="shared" si="6"/>
        <v>171.89443268099785</v>
      </c>
      <c r="F73" s="38">
        <v>45261</v>
      </c>
      <c r="G73" s="19">
        <v>2062.59</v>
      </c>
      <c r="H73" s="19">
        <v>26.840000000000146</v>
      </c>
      <c r="I73" s="20">
        <f t="shared" si="4"/>
        <v>171.88861064487986</v>
      </c>
      <c r="L73" s="59">
        <v>45261</v>
      </c>
      <c r="M73" s="54">
        <v>2062.59</v>
      </c>
      <c r="N73" s="54">
        <v>26.840000000000146</v>
      </c>
      <c r="O73" s="55">
        <f t="shared" si="5"/>
        <v>145.49551387911697</v>
      </c>
    </row>
    <row r="74" spans="1:15" x14ac:dyDescent="0.45">
      <c r="A74" s="64">
        <v>45292</v>
      </c>
      <c r="B74" s="66">
        <v>2037.19</v>
      </c>
      <c r="C74" s="66">
        <v>-25.400000000000091</v>
      </c>
      <c r="D74" s="65">
        <f t="shared" si="6"/>
        <v>-126.67162610018138</v>
      </c>
      <c r="F74" s="38">
        <v>45292</v>
      </c>
      <c r="G74" s="19">
        <v>2037.19</v>
      </c>
      <c r="H74" s="19">
        <v>-25.400000000000091</v>
      </c>
      <c r="I74" s="20">
        <f t="shared" si="4"/>
        <v>-126.67156626717912</v>
      </c>
      <c r="L74" s="59">
        <v>45292</v>
      </c>
      <c r="M74" s="54">
        <v>2037.19</v>
      </c>
      <c r="N74" s="54">
        <v>-25.400000000000091</v>
      </c>
      <c r="O74" s="55">
        <f t="shared" si="5"/>
        <v>-153.05559908205589</v>
      </c>
    </row>
    <row r="75" spans="1:15" x14ac:dyDescent="0.45">
      <c r="A75" s="64">
        <v>45323</v>
      </c>
      <c r="B75" s="66">
        <v>2043.24</v>
      </c>
      <c r="C75" s="66">
        <v>6.0499999999999545</v>
      </c>
      <c r="D75" s="65">
        <f t="shared" si="6"/>
        <v>48.502764072586871</v>
      </c>
      <c r="F75" s="38">
        <v>45323</v>
      </c>
      <c r="G75" s="19">
        <v>2043.24</v>
      </c>
      <c r="H75" s="19">
        <v>6.0499999999999545</v>
      </c>
      <c r="I75" s="20">
        <f t="shared" si="4"/>
        <v>48.507276881328664</v>
      </c>
      <c r="L75" s="59">
        <v>45323</v>
      </c>
      <c r="M75" s="54">
        <v>2043.24</v>
      </c>
      <c r="N75" s="54">
        <v>6.0499999999999545</v>
      </c>
      <c r="O75" s="55">
        <f t="shared" si="5"/>
        <v>22.136089492376598</v>
      </c>
    </row>
    <row r="76" spans="1:15" x14ac:dyDescent="0.45">
      <c r="A76" s="64">
        <v>45352</v>
      </c>
      <c r="B76" s="66">
        <v>2232.38</v>
      </c>
      <c r="C76" s="66">
        <v>189.1400000000001</v>
      </c>
      <c r="D76" s="65">
        <f t="shared" si="6"/>
        <v>218.90829145987988</v>
      </c>
      <c r="F76" s="38">
        <v>45352</v>
      </c>
      <c r="G76" s="19">
        <v>2232.38</v>
      </c>
      <c r="H76" s="19">
        <v>189.1400000000001</v>
      </c>
      <c r="I76" s="20">
        <f t="shared" si="4"/>
        <v>218.90081661835302</v>
      </c>
      <c r="L76" s="59">
        <v>45352</v>
      </c>
      <c r="M76" s="54">
        <v>2232.38</v>
      </c>
      <c r="N76" s="54">
        <v>189.1400000000001</v>
      </c>
      <c r="O76" s="55">
        <f t="shared" si="5"/>
        <v>192.50130844502866</v>
      </c>
    </row>
    <row r="77" spans="1:15" x14ac:dyDescent="0.45">
      <c r="A77" s="64">
        <v>45383</v>
      </c>
      <c r="B77" s="66">
        <v>2285.5700000000002</v>
      </c>
      <c r="C77" s="66">
        <v>53.190000000000055</v>
      </c>
      <c r="D77" s="65">
        <f t="shared" si="6"/>
        <v>-252.3241925382095</v>
      </c>
      <c r="F77" s="38">
        <v>45383</v>
      </c>
      <c r="G77" s="19">
        <v>2285.5700000000002</v>
      </c>
      <c r="H77" s="19">
        <v>53.190000000000055</v>
      </c>
      <c r="I77" s="20">
        <f t="shared" si="4"/>
        <v>-252.31546432056996</v>
      </c>
      <c r="L77" s="59">
        <v>45383</v>
      </c>
      <c r="M77" s="54">
        <v>2285.5700000000002</v>
      </c>
      <c r="N77" s="54">
        <v>53.190000000000055</v>
      </c>
      <c r="O77" s="55">
        <f t="shared" si="5"/>
        <v>-278.6785345388767</v>
      </c>
    </row>
    <row r="78" spans="1:15" x14ac:dyDescent="0.45">
      <c r="A78" s="64">
        <v>45413</v>
      </c>
      <c r="B78" s="66">
        <v>2326.9699999999998</v>
      </c>
      <c r="C78" s="66">
        <v>41.399999999999636</v>
      </c>
      <c r="D78" s="65">
        <f t="shared" si="6"/>
        <v>234.7804141630539</v>
      </c>
      <c r="F78" s="38">
        <v>45413</v>
      </c>
      <c r="G78" s="19">
        <v>2326.9699999999998</v>
      </c>
      <c r="H78" s="19">
        <v>41.399999999999636</v>
      </c>
      <c r="I78" s="20">
        <f t="shared" si="4"/>
        <v>234.77196911225261</v>
      </c>
      <c r="L78" s="59">
        <v>45413</v>
      </c>
      <c r="M78" s="54">
        <v>2326.9699999999998</v>
      </c>
      <c r="N78" s="54">
        <v>41.399999999999636</v>
      </c>
      <c r="O78" s="55">
        <f t="shared" si="5"/>
        <v>208.37135831535483</v>
      </c>
    </row>
    <row r="79" spans="1:15" x14ac:dyDescent="0.45">
      <c r="A79" s="64">
        <v>45444</v>
      </c>
      <c r="B79" s="66">
        <v>2325.71</v>
      </c>
      <c r="C79" s="66">
        <v>-1.2599999999997635</v>
      </c>
      <c r="D79" s="65">
        <f t="shared" si="6"/>
        <v>-213.51493749644047</v>
      </c>
      <c r="F79" s="38">
        <v>45444</v>
      </c>
      <c r="G79" s="19">
        <v>2325.71</v>
      </c>
      <c r="H79" s="19">
        <v>-1.2599999999997635</v>
      </c>
      <c r="I79" s="20">
        <f t="shared" si="4"/>
        <v>-213.50795122262787</v>
      </c>
      <c r="L79" s="59">
        <v>45444</v>
      </c>
      <c r="M79" s="54">
        <v>2325.71</v>
      </c>
      <c r="N79" s="54">
        <v>-1.2599999999997635</v>
      </c>
      <c r="O79" s="55">
        <f t="shared" si="5"/>
        <v>-239.875635800738</v>
      </c>
    </row>
    <row r="80" spans="1:15" x14ac:dyDescent="0.45">
      <c r="A80" s="64">
        <v>45474</v>
      </c>
      <c r="B80" s="66">
        <v>2448.1</v>
      </c>
      <c r="C80" s="66">
        <v>122.38999999999987</v>
      </c>
      <c r="D80" s="65">
        <f t="shared" si="6"/>
        <v>264.04283259418639</v>
      </c>
      <c r="F80" s="38">
        <v>45474</v>
      </c>
      <c r="G80" s="19">
        <v>2448.1</v>
      </c>
      <c r="H80" s="19">
        <v>122.38999999999987</v>
      </c>
      <c r="I80" s="20">
        <f t="shared" si="4"/>
        <v>264.03802298360586</v>
      </c>
      <c r="L80" s="59">
        <v>45474</v>
      </c>
      <c r="M80" s="54">
        <v>2448.1</v>
      </c>
      <c r="N80" s="54">
        <v>122.38999999999987</v>
      </c>
      <c r="O80" s="55">
        <f t="shared" si="5"/>
        <v>237.64588009890912</v>
      </c>
    </row>
    <row r="81" spans="1:15" x14ac:dyDescent="0.45">
      <c r="A81" s="64">
        <v>45505</v>
      </c>
      <c r="B81" s="66">
        <v>2503.0300000000002</v>
      </c>
      <c r="C81" s="66">
        <v>54.930000000000291</v>
      </c>
      <c r="D81" s="65">
        <f t="shared" si="6"/>
        <v>-155.90768955878676</v>
      </c>
      <c r="F81" s="38">
        <v>45505</v>
      </c>
      <c r="G81" s="19">
        <v>2503.0300000000002</v>
      </c>
      <c r="H81" s="19">
        <v>54.930000000000291</v>
      </c>
      <c r="I81" s="20">
        <f t="shared" si="4"/>
        <v>-155.90530702142718</v>
      </c>
      <c r="L81" s="59">
        <v>45505</v>
      </c>
      <c r="M81" s="54">
        <v>2503.0300000000002</v>
      </c>
      <c r="N81" s="54">
        <v>54.930000000000291</v>
      </c>
      <c r="O81" s="55">
        <f t="shared" si="5"/>
        <v>-182.2832738399739</v>
      </c>
    </row>
    <row r="82" spans="1:15" x14ac:dyDescent="0.45">
      <c r="A82" s="10"/>
      <c r="B82" s="11"/>
      <c r="F82" s="10"/>
      <c r="G82" s="11"/>
      <c r="H82">
        <f>AVERAGE(H2:H81)</f>
        <v>14.479125000000002</v>
      </c>
      <c r="I82">
        <f>AVERAGE(I2:I81)</f>
        <v>3.7279449820021768</v>
      </c>
      <c r="L82" s="56"/>
      <c r="M82" s="57"/>
      <c r="N82" s="36">
        <f>AVERAGE(N2:N81)</f>
        <v>14.479125000000002</v>
      </c>
      <c r="O82" s="36">
        <f>AVERAGE(O2:O81)</f>
        <v>-22.968181620738196</v>
      </c>
    </row>
    <row r="83" spans="1:15" x14ac:dyDescent="0.45">
      <c r="A83" s="10"/>
      <c r="B83" s="11"/>
      <c r="F83" s="10"/>
      <c r="G83" s="11"/>
      <c r="L83" s="56"/>
      <c r="M83" s="57"/>
    </row>
    <row r="84" spans="1:15" x14ac:dyDescent="0.45">
      <c r="A84" s="10"/>
      <c r="B84" s="11"/>
      <c r="F84" s="10"/>
      <c r="G84" s="11"/>
      <c r="L84" s="56"/>
      <c r="M84" s="57"/>
    </row>
    <row r="85" spans="1:15" x14ac:dyDescent="0.45">
      <c r="A85" s="10"/>
      <c r="B85" s="11"/>
      <c r="F85" s="10"/>
      <c r="G85" s="11"/>
      <c r="L85" s="56"/>
      <c r="M85" s="57"/>
    </row>
    <row r="86" spans="1:15" x14ac:dyDescent="0.45">
      <c r="A86" s="10"/>
      <c r="B86" s="11"/>
      <c r="F86" s="10"/>
      <c r="G86" s="11"/>
      <c r="L86" s="56"/>
      <c r="M86" s="57"/>
    </row>
    <row r="87" spans="1:15" x14ac:dyDescent="0.45">
      <c r="A87" s="10"/>
      <c r="B87" s="11"/>
      <c r="F87" s="10"/>
      <c r="G87" s="11"/>
      <c r="L87" s="56"/>
      <c r="M87" s="57"/>
    </row>
    <row r="88" spans="1:15" x14ac:dyDescent="0.45">
      <c r="A88" s="10"/>
      <c r="B88" s="11"/>
      <c r="F88" s="10"/>
      <c r="G88" s="11"/>
      <c r="L88" s="56"/>
      <c r="M88" s="57"/>
    </row>
    <row r="89" spans="1:15" x14ac:dyDescent="0.45">
      <c r="A89" s="10"/>
      <c r="B89" s="11"/>
      <c r="F89" s="10"/>
      <c r="G89" s="11"/>
      <c r="L89" s="56"/>
      <c r="M89" s="57"/>
    </row>
    <row r="90" spans="1:15" x14ac:dyDescent="0.45">
      <c r="A90" s="10"/>
      <c r="B90" s="11"/>
      <c r="F90" s="10"/>
      <c r="G90" s="11"/>
      <c r="L90" s="56"/>
      <c r="M90" s="57"/>
    </row>
    <row r="91" spans="1:15" x14ac:dyDescent="0.45">
      <c r="A91" s="10"/>
      <c r="B91" s="11"/>
      <c r="F91" s="10"/>
      <c r="G91" s="11"/>
      <c r="L91" s="56"/>
      <c r="M91" s="57"/>
    </row>
    <row r="92" spans="1:15" x14ac:dyDescent="0.45">
      <c r="A92" s="10"/>
      <c r="B92" s="11"/>
      <c r="F92" s="10"/>
      <c r="G92" s="11"/>
      <c r="L92" s="56"/>
      <c r="M92" s="57"/>
    </row>
    <row r="93" spans="1:15" x14ac:dyDescent="0.45">
      <c r="A93" s="10"/>
      <c r="B93" s="11"/>
      <c r="F93" s="10"/>
      <c r="G93" s="11"/>
      <c r="L93" s="56"/>
      <c r="M93" s="57"/>
    </row>
    <row r="94" spans="1:15" x14ac:dyDescent="0.45">
      <c r="A94" s="10"/>
      <c r="B94" s="11"/>
      <c r="F94" s="10"/>
      <c r="G94" s="11"/>
      <c r="L94" s="56"/>
      <c r="M94" s="57"/>
    </row>
    <row r="95" spans="1:15" x14ac:dyDescent="0.45">
      <c r="A95" s="10"/>
      <c r="B95" s="11"/>
      <c r="F95" s="10"/>
      <c r="G95" s="11"/>
      <c r="L95" s="56"/>
      <c r="M95" s="57"/>
    </row>
    <row r="96" spans="1:15" x14ac:dyDescent="0.45">
      <c r="A96" s="10"/>
      <c r="B96" s="11"/>
      <c r="F96" s="10"/>
      <c r="G96" s="11"/>
      <c r="L96" s="56"/>
      <c r="M96" s="57"/>
    </row>
    <row r="97" spans="1:13" x14ac:dyDescent="0.45">
      <c r="A97" s="10"/>
      <c r="B97" s="11"/>
      <c r="F97" s="10"/>
      <c r="G97" s="11"/>
      <c r="L97" s="56"/>
      <c r="M97" s="57"/>
    </row>
    <row r="98" spans="1:13" x14ac:dyDescent="0.45">
      <c r="A98" s="10"/>
      <c r="B98" s="11"/>
      <c r="F98" s="10"/>
      <c r="G98" s="11"/>
      <c r="L98" s="56"/>
      <c r="M98" s="57"/>
    </row>
    <row r="99" spans="1:13" x14ac:dyDescent="0.45">
      <c r="A99" s="10"/>
      <c r="B99" s="12"/>
      <c r="F99" s="10"/>
      <c r="G99" s="12"/>
      <c r="L99" s="56"/>
      <c r="M99" s="5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176D-42FE-4506-BB2C-4EC136BDF4F6}">
  <dimension ref="A1:R99"/>
  <sheetViews>
    <sheetView topLeftCell="I1" zoomScale="67" zoomScaleNormal="67" workbookViewId="0">
      <selection activeCell="I23" sqref="I23"/>
    </sheetView>
  </sheetViews>
  <sheetFormatPr defaultRowHeight="14.25" x14ac:dyDescent="0.45"/>
  <cols>
    <col min="1" max="1" width="9.9296875" bestFit="1" customWidth="1"/>
    <col min="2" max="2" width="7.19921875" bestFit="1" customWidth="1"/>
    <col min="3" max="3" width="6.73046875" bestFit="1" customWidth="1"/>
    <col min="4" max="4" width="12.33203125" bestFit="1" customWidth="1"/>
    <col min="5" max="5" width="7.73046875" bestFit="1" customWidth="1"/>
    <col min="6" max="9" width="12.33203125" bestFit="1" customWidth="1"/>
    <col min="10" max="10" width="20.33203125" bestFit="1" customWidth="1"/>
    <col min="11" max="11" width="11.73046875" bestFit="1" customWidth="1"/>
  </cols>
  <sheetData>
    <row r="1" spans="1:18" x14ac:dyDescent="0.45">
      <c r="B1" t="s">
        <v>3</v>
      </c>
      <c r="C1" s="1" t="s">
        <v>0</v>
      </c>
      <c r="D1" s="22" t="s">
        <v>15</v>
      </c>
      <c r="E1" s="1" t="s">
        <v>16</v>
      </c>
      <c r="F1" s="1" t="s">
        <v>2</v>
      </c>
      <c r="G1" s="22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8" x14ac:dyDescent="0.45">
      <c r="A2" s="4">
        <v>43101</v>
      </c>
      <c r="B2" s="5">
        <v>13910.2</v>
      </c>
      <c r="C2" s="1"/>
      <c r="D2" s="20"/>
      <c r="E2" s="1">
        <v>1344.7</v>
      </c>
      <c r="F2" s="1"/>
      <c r="G2" s="20"/>
      <c r="J2">
        <f>SUMPRODUCT(H3:H81,I3:I81)</f>
        <v>41325.769932186136</v>
      </c>
      <c r="K2">
        <f>SUMPRODUCT(H3:H81,H3:H81)</f>
        <v>868212.46602663794</v>
      </c>
      <c r="L2">
        <f>SUMPRODUCT(I3:I81,I3:I81)</f>
        <v>2140737.5218310873</v>
      </c>
      <c r="O2" t="s">
        <v>39</v>
      </c>
      <c r="P2" t="s">
        <v>45</v>
      </c>
      <c r="Q2" t="s">
        <v>38</v>
      </c>
      <c r="R2" t="s">
        <v>18</v>
      </c>
    </row>
    <row r="3" spans="1:18" x14ac:dyDescent="0.45">
      <c r="A3" s="4">
        <v>43132</v>
      </c>
      <c r="B3" s="5">
        <v>13947.2</v>
      </c>
      <c r="C3" s="1">
        <v>49</v>
      </c>
      <c r="D3" s="20">
        <f>C3+0.48732*C2-0.38935*0-0.133*0-1.64586*0-0.79204*0</f>
        <v>49</v>
      </c>
      <c r="E3" s="1">
        <v>1317.66</v>
      </c>
      <c r="F3" s="1">
        <v>-27.039999999999964</v>
      </c>
      <c r="G3" s="20">
        <f>F3+0.48732*F2-0.38935*0-0.133*0-1.64586*0-0.79204*0</f>
        <v>-27.039999999999964</v>
      </c>
      <c r="H3">
        <f>D3-$D$82</f>
        <v>22.423489293709391</v>
      </c>
      <c r="I3">
        <f>G3-$G$82</f>
        <v>-30.767944982002142</v>
      </c>
      <c r="K3">
        <f>SQRT(K2)</f>
        <v>931.77919381505717</v>
      </c>
      <c r="L3">
        <f>SQRT(L2)</f>
        <v>1463.1259418898592</v>
      </c>
      <c r="O3">
        <f>G3</f>
        <v>-27.039999999999964</v>
      </c>
      <c r="P3">
        <f>G28-$G$82</f>
        <v>106.18421493168624</v>
      </c>
      <c r="Q3">
        <f>D3</f>
        <v>49</v>
      </c>
      <c r="R3">
        <f>Q3-$D$82</f>
        <v>22.423489293709391</v>
      </c>
    </row>
    <row r="4" spans="1:18" x14ac:dyDescent="0.45">
      <c r="A4" s="4">
        <v>43160</v>
      </c>
      <c r="B4" s="5">
        <v>14003.5</v>
      </c>
      <c r="C4" s="1">
        <v>63.400000000001455</v>
      </c>
      <c r="D4" s="20">
        <f>C4+0.48732*C3-0.38935*C2-0.133*0-1.64586*D3-0.79204*0</f>
        <v>6.6315400000014506</v>
      </c>
      <c r="E4" s="1">
        <v>1324</v>
      </c>
      <c r="F4" s="1">
        <v>6.3399999999999181</v>
      </c>
      <c r="G4" s="20">
        <f>F4+0.48732*F3-0.38935*F2-0.133*0-1.64586*G3-0.79204*0</f>
        <v>37.666921599999881</v>
      </c>
      <c r="H4">
        <f t="shared" ref="H4:H67" si="0">D4-$D$82</f>
        <v>-19.944970706289158</v>
      </c>
      <c r="I4">
        <f t="shared" ref="I4:I67" si="1">G4-$G$82</f>
        <v>33.938976617997703</v>
      </c>
      <c r="J4" t="s">
        <v>23</v>
      </c>
      <c r="O4">
        <f t="shared" ref="O4:O56" si="2">G4</f>
        <v>37.666921599999881</v>
      </c>
      <c r="P4">
        <f t="shared" ref="P4:P56" si="3">G29-$G$82</f>
        <v>-13.21357276489862</v>
      </c>
      <c r="Q4">
        <f t="shared" ref="Q4:Q56" si="4">D4</f>
        <v>6.6315400000014506</v>
      </c>
      <c r="R4">
        <f t="shared" ref="R4:R56" si="5">Q4-$D$82</f>
        <v>-19.944970706289158</v>
      </c>
    </row>
    <row r="5" spans="1:18" x14ac:dyDescent="0.45">
      <c r="A5" s="4">
        <v>43191</v>
      </c>
      <c r="B5" s="5">
        <v>14021.4</v>
      </c>
      <c r="C5" s="1">
        <v>23.199999999998909</v>
      </c>
      <c r="D5" s="20">
        <f>C5+0.48732*C4-0.38935*C3-0.133*C2-1.64586*D4-0.79204*D3</f>
        <v>-14.706608424402766</v>
      </c>
      <c r="E5" s="1">
        <v>1314.95</v>
      </c>
      <c r="F5" s="1">
        <v>-9.0499999999999545</v>
      </c>
      <c r="G5" s="20">
        <f>F5+0.48732*F4-0.38935*F3-0.133*F2-1.64586*G4-0.79204*G3</f>
        <v>-36.010085184575843</v>
      </c>
      <c r="H5">
        <f t="shared" si="0"/>
        <v>-41.283119130693379</v>
      </c>
      <c r="I5">
        <f t="shared" si="1"/>
        <v>-39.738030166578021</v>
      </c>
      <c r="J5">
        <f>J2/(K3*L3)</f>
        <v>3.0312812579318473E-2</v>
      </c>
      <c r="O5">
        <f t="shared" si="2"/>
        <v>-36.010085184575843</v>
      </c>
      <c r="P5">
        <f t="shared" si="3"/>
        <v>30.181127522718022</v>
      </c>
      <c r="Q5">
        <f t="shared" si="4"/>
        <v>-14.706608424402766</v>
      </c>
      <c r="R5">
        <f t="shared" si="5"/>
        <v>-41.283119130693379</v>
      </c>
    </row>
    <row r="6" spans="1:18" x14ac:dyDescent="0.45">
      <c r="A6" s="4">
        <v>43221</v>
      </c>
      <c r="B6" s="5">
        <v>14077.4</v>
      </c>
      <c r="C6" s="1">
        <v>56.5</v>
      </c>
      <c r="D6" s="20">
        <f>C6+0.48732*C5-0.38935*C4-0.133*C3-1.64586*D5-0.79204*D4</f>
        <v>55.556607599785288</v>
      </c>
      <c r="E6" s="1">
        <v>1297.92</v>
      </c>
      <c r="F6" s="1">
        <v>-17.029999999999973</v>
      </c>
      <c r="G6" s="20">
        <f t="shared" ref="G6:G69" si="6">F6+0.48732*F5-0.38935*F4-0.133*F3-1.64586*G5-0.79204*G4</f>
        <v>9.1214452178221634</v>
      </c>
      <c r="H6">
        <f t="shared" si="0"/>
        <v>28.980096893494679</v>
      </c>
      <c r="I6">
        <f t="shared" si="1"/>
        <v>5.3935002358199871</v>
      </c>
      <c r="J6" t="s">
        <v>20</v>
      </c>
      <c r="K6" t="s">
        <v>21</v>
      </c>
      <c r="L6" t="s">
        <v>22</v>
      </c>
      <c r="O6">
        <f t="shared" si="2"/>
        <v>9.1214452178221634</v>
      </c>
      <c r="P6">
        <f t="shared" si="3"/>
        <v>-15.769431225455506</v>
      </c>
      <c r="Q6">
        <f t="shared" si="4"/>
        <v>55.556607599785288</v>
      </c>
      <c r="R6">
        <f t="shared" si="5"/>
        <v>28.980096893494679</v>
      </c>
    </row>
    <row r="7" spans="1:18" x14ac:dyDescent="0.45">
      <c r="A7" s="4">
        <v>43252</v>
      </c>
      <c r="B7" s="5">
        <v>14137.7</v>
      </c>
      <c r="C7" s="1">
        <v>44.800000000001091</v>
      </c>
      <c r="D7" s="20">
        <f t="shared" ref="D7:D70" si="7">C7+0.48732*C6-0.38935*C5-0.133*C4-1.64586*D6-0.79204*D5</f>
        <v>-24.921716047717332</v>
      </c>
      <c r="E7" s="1">
        <v>1252.25</v>
      </c>
      <c r="F7" s="1">
        <v>-45.670000000000073</v>
      </c>
      <c r="G7" s="20">
        <f t="shared" si="6"/>
        <v>-37.779856056613411</v>
      </c>
      <c r="H7">
        <f t="shared" si="0"/>
        <v>-51.498226754007945</v>
      </c>
      <c r="I7">
        <f t="shared" si="1"/>
        <v>-41.50780103861559</v>
      </c>
      <c r="J7">
        <f>SUMPRODUCT(P3:P56,R3:R56)</f>
        <v>-326848.30451563682</v>
      </c>
      <c r="K7">
        <f>K3</f>
        <v>931.77919381505717</v>
      </c>
      <c r="L7">
        <f>L3</f>
        <v>1463.1259418898592</v>
      </c>
      <c r="O7">
        <f t="shared" si="2"/>
        <v>-37.779856056613411</v>
      </c>
      <c r="P7">
        <f t="shared" si="3"/>
        <v>177.25471868000935</v>
      </c>
      <c r="Q7">
        <f t="shared" si="4"/>
        <v>-24.921716047717332</v>
      </c>
      <c r="R7">
        <f t="shared" si="5"/>
        <v>-51.498226754007945</v>
      </c>
    </row>
    <row r="8" spans="1:18" x14ac:dyDescent="0.45">
      <c r="A8" s="4">
        <v>43282</v>
      </c>
      <c r="B8" s="5">
        <v>14171.1</v>
      </c>
      <c r="C8" s="1">
        <v>37.399999999999636</v>
      </c>
      <c r="D8" s="20">
        <f t="shared" si="7"/>
        <v>31.16266109096243</v>
      </c>
      <c r="E8" s="1">
        <v>1223.4100000000001</v>
      </c>
      <c r="F8" s="1">
        <v>-28.839999999999918</v>
      </c>
      <c r="G8" s="20">
        <f t="shared" si="6"/>
        <v>11.694180519013919</v>
      </c>
      <c r="H8">
        <f t="shared" si="0"/>
        <v>4.5861503846718215</v>
      </c>
      <c r="I8">
        <f t="shared" si="1"/>
        <v>7.9662355370117428</v>
      </c>
      <c r="J8">
        <f>J7/(K7*L7)</f>
        <v>-0.23974608126862776</v>
      </c>
      <c r="O8">
        <f t="shared" si="2"/>
        <v>11.694180519013919</v>
      </c>
      <c r="P8">
        <f t="shared" si="3"/>
        <v>-229.76779613249585</v>
      </c>
      <c r="Q8">
        <f t="shared" si="4"/>
        <v>31.16266109096243</v>
      </c>
      <c r="R8">
        <f t="shared" si="5"/>
        <v>4.5861503846718215</v>
      </c>
    </row>
    <row r="9" spans="1:18" x14ac:dyDescent="0.45">
      <c r="A9" s="4">
        <v>43313</v>
      </c>
      <c r="B9" s="5">
        <v>14219.4</v>
      </c>
      <c r="C9" s="1">
        <v>48.600000000000364</v>
      </c>
      <c r="D9" s="20">
        <f t="shared" si="7"/>
        <v>10.318006595262361</v>
      </c>
      <c r="E9" s="1">
        <v>1200.71</v>
      </c>
      <c r="F9" s="1">
        <v>-22.700000000000045</v>
      </c>
      <c r="G9" s="20">
        <f t="shared" si="6"/>
        <v>-6.031531057944143</v>
      </c>
      <c r="H9">
        <f t="shared" si="0"/>
        <v>-16.258504111028248</v>
      </c>
      <c r="I9">
        <f t="shared" si="1"/>
        <v>-9.7594760399463194</v>
      </c>
      <c r="O9">
        <f t="shared" si="2"/>
        <v>-6.031531057944143</v>
      </c>
      <c r="P9">
        <f t="shared" si="3"/>
        <v>55.466237705689799</v>
      </c>
      <c r="Q9">
        <f t="shared" si="4"/>
        <v>10.318006595262361</v>
      </c>
      <c r="R9">
        <f t="shared" si="5"/>
        <v>-16.258504111028248</v>
      </c>
    </row>
    <row r="10" spans="1:18" x14ac:dyDescent="0.45">
      <c r="A10" s="4">
        <v>43344</v>
      </c>
      <c r="B10" s="5">
        <v>14253.8</v>
      </c>
      <c r="C10" s="1">
        <v>22.299999999999272</v>
      </c>
      <c r="D10" s="20">
        <f t="shared" si="7"/>
        <v>-16.20040642536495</v>
      </c>
      <c r="E10" s="1">
        <v>1191.69</v>
      </c>
      <c r="F10" s="1">
        <v>-9.0199999999999818</v>
      </c>
      <c r="G10" s="20">
        <f t="shared" si="6"/>
        <v>-2.1144030312518645</v>
      </c>
      <c r="H10">
        <f t="shared" si="0"/>
        <v>-42.776917131655559</v>
      </c>
      <c r="I10">
        <f t="shared" si="1"/>
        <v>-5.8423480132540409</v>
      </c>
      <c r="O10">
        <f t="shared" si="2"/>
        <v>-2.1144030312518645</v>
      </c>
      <c r="P10">
        <f t="shared" si="3"/>
        <v>5.4221010048701235</v>
      </c>
      <c r="Q10">
        <f t="shared" si="4"/>
        <v>-16.20040642536495</v>
      </c>
      <c r="R10">
        <f t="shared" si="5"/>
        <v>-42.776917131655559</v>
      </c>
    </row>
    <row r="11" spans="1:18" x14ac:dyDescent="0.45">
      <c r="A11" s="4">
        <v>43374</v>
      </c>
      <c r="B11" s="5">
        <v>14265.4</v>
      </c>
      <c r="C11" s="1">
        <v>11.100000000000364</v>
      </c>
      <c r="D11" s="20">
        <f t="shared" si="7"/>
        <v>16.561952975539469</v>
      </c>
      <c r="E11" s="1">
        <v>1214.1400000000001</v>
      </c>
      <c r="F11" s="1">
        <v>22.450000000000045</v>
      </c>
      <c r="G11" s="20">
        <f t="shared" si="6"/>
        <v>38.985563832150333</v>
      </c>
      <c r="H11">
        <f t="shared" si="0"/>
        <v>-10.01455773075114</v>
      </c>
      <c r="I11">
        <f t="shared" si="1"/>
        <v>35.257618850148155</v>
      </c>
      <c r="O11">
        <f t="shared" si="2"/>
        <v>38.985563832150333</v>
      </c>
      <c r="P11">
        <f t="shared" si="3"/>
        <v>-136.76870842591546</v>
      </c>
      <c r="Q11">
        <f t="shared" si="4"/>
        <v>16.561952975539469</v>
      </c>
      <c r="R11">
        <f t="shared" si="5"/>
        <v>-10.01455773075114</v>
      </c>
    </row>
    <row r="12" spans="1:18" x14ac:dyDescent="0.45">
      <c r="A12" s="4">
        <v>43405</v>
      </c>
      <c r="B12" s="5">
        <v>14285.7</v>
      </c>
      <c r="C12" s="1">
        <v>26.199999999998909</v>
      </c>
      <c r="D12" s="20">
        <f t="shared" si="7"/>
        <v>2.0356609808239803</v>
      </c>
      <c r="E12" s="1">
        <v>1221.8800000000001</v>
      </c>
      <c r="F12" s="1">
        <v>7.7400000000000091</v>
      </c>
      <c r="G12" s="20">
        <f t="shared" si="6"/>
        <v>-37.278717311910192</v>
      </c>
      <c r="H12">
        <f t="shared" si="0"/>
        <v>-24.540849725466629</v>
      </c>
      <c r="I12">
        <f t="shared" si="1"/>
        <v>-41.00666229391237</v>
      </c>
      <c r="O12">
        <f t="shared" si="2"/>
        <v>-37.278717311910192</v>
      </c>
      <c r="P12">
        <f t="shared" si="3"/>
        <v>292.40557741635467</v>
      </c>
      <c r="Q12">
        <f t="shared" si="4"/>
        <v>2.0356609808239803</v>
      </c>
      <c r="R12">
        <f t="shared" si="5"/>
        <v>-24.540849725466629</v>
      </c>
    </row>
    <row r="13" spans="1:18" x14ac:dyDescent="0.45">
      <c r="A13" s="4">
        <v>43435</v>
      </c>
      <c r="B13" s="5">
        <v>14407.5</v>
      </c>
      <c r="C13" s="1">
        <v>104</v>
      </c>
      <c r="D13" s="20">
        <f t="shared" si="7"/>
        <v>93.011956783354179</v>
      </c>
      <c r="E13" s="1">
        <v>1282.73</v>
      </c>
      <c r="F13" s="1">
        <v>60.849999999999909</v>
      </c>
      <c r="G13" s="20">
        <f t="shared" si="6"/>
        <v>87.558032997364052</v>
      </c>
      <c r="H13">
        <f t="shared" si="0"/>
        <v>66.435446077063574</v>
      </c>
      <c r="I13">
        <f t="shared" si="1"/>
        <v>83.830088015361881</v>
      </c>
      <c r="O13">
        <f t="shared" si="2"/>
        <v>87.558032997364052</v>
      </c>
      <c r="P13">
        <f t="shared" si="3"/>
        <v>-337.63527197844473</v>
      </c>
      <c r="Q13">
        <f t="shared" si="4"/>
        <v>93.011956783354179</v>
      </c>
      <c r="R13">
        <f t="shared" si="5"/>
        <v>66.435446077063574</v>
      </c>
    </row>
    <row r="14" spans="1:18" x14ac:dyDescent="0.45">
      <c r="A14" s="4">
        <v>43466</v>
      </c>
      <c r="B14" s="5">
        <v>14471.5</v>
      </c>
      <c r="C14" s="1">
        <v>72.900000000001455</v>
      </c>
      <c r="D14" s="20">
        <f t="shared" si="7"/>
        <v>-42.792974114701316</v>
      </c>
      <c r="E14" s="1">
        <v>1320.56</v>
      </c>
      <c r="F14" s="1">
        <v>37.829999999999927</v>
      </c>
      <c r="G14" s="20">
        <f t="shared" si="6"/>
        <v>-53.098025929316414</v>
      </c>
      <c r="H14">
        <f t="shared" si="0"/>
        <v>-69.369484820991929</v>
      </c>
      <c r="I14">
        <f t="shared" si="1"/>
        <v>-56.825970911318592</v>
      </c>
      <c r="O14">
        <f t="shared" si="2"/>
        <v>-53.098025929316414</v>
      </c>
      <c r="P14">
        <f t="shared" si="3"/>
        <v>141.03429064796831</v>
      </c>
      <c r="Q14">
        <f t="shared" si="4"/>
        <v>-42.792974114701316</v>
      </c>
      <c r="R14">
        <f t="shared" si="5"/>
        <v>-69.369484820991929</v>
      </c>
    </row>
    <row r="15" spans="1:18" x14ac:dyDescent="0.45">
      <c r="A15" s="4">
        <v>43497</v>
      </c>
      <c r="B15" s="5">
        <v>14506.7</v>
      </c>
      <c r="C15" s="1">
        <v>46.599999999998545</v>
      </c>
      <c r="D15" s="20">
        <f t="shared" si="7"/>
        <v>34.910682125733871</v>
      </c>
      <c r="E15" s="1">
        <v>1312.66</v>
      </c>
      <c r="F15" s="1">
        <v>-7.8999999999998636</v>
      </c>
      <c r="G15" s="20">
        <f t="shared" si="6"/>
        <v>3.8564006007926253</v>
      </c>
      <c r="H15">
        <f t="shared" si="0"/>
        <v>8.3341714194432619</v>
      </c>
      <c r="I15">
        <f t="shared" si="1"/>
        <v>0.12845561879044842</v>
      </c>
      <c r="O15">
        <f t="shared" si="2"/>
        <v>3.8564006007926253</v>
      </c>
      <c r="P15">
        <f t="shared" si="3"/>
        <v>-55.136860841683038</v>
      </c>
      <c r="Q15">
        <f t="shared" si="4"/>
        <v>34.910682125733871</v>
      </c>
      <c r="R15">
        <f t="shared" si="5"/>
        <v>8.3341714194432619</v>
      </c>
    </row>
    <row r="16" spans="1:18" x14ac:dyDescent="0.45">
      <c r="A16" s="4">
        <v>43525</v>
      </c>
      <c r="B16" s="5">
        <v>14550.5</v>
      </c>
      <c r="C16" s="1">
        <v>51.200000000000728</v>
      </c>
      <c r="D16" s="20">
        <f t="shared" si="7"/>
        <v>8.1291489343471355</v>
      </c>
      <c r="E16" s="1">
        <v>1291.9000000000001</v>
      </c>
      <c r="F16" s="1">
        <v>-20.759999999999991</v>
      </c>
      <c r="G16" s="20">
        <f t="shared" si="6"/>
        <v>-11.723323535764671</v>
      </c>
      <c r="H16">
        <f t="shared" si="0"/>
        <v>-18.447361771943473</v>
      </c>
      <c r="I16">
        <f t="shared" si="1"/>
        <v>-15.451268517766847</v>
      </c>
      <c r="O16">
        <f t="shared" si="2"/>
        <v>-11.723323535764671</v>
      </c>
      <c r="P16">
        <f t="shared" si="3"/>
        <v>65.446228566450245</v>
      </c>
      <c r="Q16">
        <f t="shared" si="4"/>
        <v>8.1291489343471355</v>
      </c>
      <c r="R16">
        <f t="shared" si="5"/>
        <v>-18.447361771943473</v>
      </c>
    </row>
    <row r="17" spans="1:18" x14ac:dyDescent="0.45">
      <c r="A17" s="4">
        <v>43556</v>
      </c>
      <c r="B17" s="5">
        <v>14579</v>
      </c>
      <c r="C17" s="1">
        <v>37.200000000000728</v>
      </c>
      <c r="D17" s="20">
        <f t="shared" si="7"/>
        <v>-6.718723735949375</v>
      </c>
      <c r="E17" s="1">
        <v>1283.3499999999999</v>
      </c>
      <c r="F17" s="1">
        <v>-8.5500000000001819</v>
      </c>
      <c r="G17" s="20">
        <f t="shared" si="6"/>
        <v>-4.3817624572783682</v>
      </c>
      <c r="H17">
        <f t="shared" si="0"/>
        <v>-33.295234442239988</v>
      </c>
      <c r="I17">
        <f t="shared" si="1"/>
        <v>-8.1097074392805446</v>
      </c>
      <c r="O17">
        <f t="shared" si="2"/>
        <v>-4.3817624572783682</v>
      </c>
      <c r="P17">
        <f t="shared" si="3"/>
        <v>116.20392105904351</v>
      </c>
      <c r="Q17">
        <f t="shared" si="4"/>
        <v>-6.718723735949375</v>
      </c>
      <c r="R17">
        <f t="shared" si="5"/>
        <v>-33.295234442239988</v>
      </c>
    </row>
    <row r="18" spans="1:18" x14ac:dyDescent="0.45">
      <c r="A18" s="4">
        <v>43586</v>
      </c>
      <c r="B18" s="5">
        <v>14678.3</v>
      </c>
      <c r="C18" s="1">
        <v>109.69999999999891</v>
      </c>
      <c r="D18" s="20">
        <f t="shared" si="7"/>
        <v>106.31525152608852</v>
      </c>
      <c r="E18" s="1">
        <v>1305.25</v>
      </c>
      <c r="F18" s="1">
        <v>21.900000000000091</v>
      </c>
      <c r="G18" s="20">
        <f t="shared" si="6"/>
        <v>43.364128731203202</v>
      </c>
      <c r="H18">
        <f t="shared" si="0"/>
        <v>79.738740819797911</v>
      </c>
      <c r="I18">
        <f t="shared" si="1"/>
        <v>39.636183749201024</v>
      </c>
      <c r="O18">
        <f t="shared" si="2"/>
        <v>43.364128731203202</v>
      </c>
      <c r="P18">
        <f t="shared" si="3"/>
        <v>-345.78397504163382</v>
      </c>
      <c r="Q18">
        <f t="shared" si="4"/>
        <v>106.31525152608852</v>
      </c>
      <c r="R18">
        <f t="shared" si="5"/>
        <v>79.738740819797911</v>
      </c>
    </row>
    <row r="19" spans="1:18" x14ac:dyDescent="0.45">
      <c r="A19" s="4">
        <v>43617</v>
      </c>
      <c r="B19" s="5">
        <v>14798.6</v>
      </c>
      <c r="C19" s="1">
        <v>98.399999999999636</v>
      </c>
      <c r="D19" s="20">
        <f t="shared" si="7"/>
        <v>-39.092937928907986</v>
      </c>
      <c r="E19" s="1">
        <v>1409.1</v>
      </c>
      <c r="F19" s="1">
        <v>103.84999999999991</v>
      </c>
      <c r="G19" s="20">
        <f t="shared" si="6"/>
        <v>52.711576723124665</v>
      </c>
      <c r="H19">
        <f t="shared" si="0"/>
        <v>-65.669448635198592</v>
      </c>
      <c r="I19">
        <f t="shared" si="1"/>
        <v>48.983631741122487</v>
      </c>
      <c r="O19">
        <f t="shared" si="2"/>
        <v>52.711576723124665</v>
      </c>
      <c r="P19">
        <f t="shared" si="3"/>
        <v>379.65824877279346</v>
      </c>
      <c r="Q19">
        <f t="shared" si="4"/>
        <v>-39.092937928907986</v>
      </c>
      <c r="R19">
        <f t="shared" si="5"/>
        <v>-65.669448635198592</v>
      </c>
    </row>
    <row r="20" spans="1:18" x14ac:dyDescent="0.45">
      <c r="A20" s="4">
        <v>43647</v>
      </c>
      <c r="B20" s="5">
        <v>14881.8</v>
      </c>
      <c r="C20" s="1">
        <v>84</v>
      </c>
      <c r="D20" s="20">
        <f t="shared" si="7"/>
        <v>64.428564000949507</v>
      </c>
      <c r="E20" s="1">
        <v>1413.55</v>
      </c>
      <c r="F20" s="1">
        <v>4.4500000000000455</v>
      </c>
      <c r="G20" s="20">
        <f t="shared" si="6"/>
        <v>-73.433433185784168</v>
      </c>
      <c r="H20">
        <f t="shared" si="0"/>
        <v>37.852053294658901</v>
      </c>
      <c r="I20">
        <f t="shared" si="1"/>
        <v>-77.161378167786339</v>
      </c>
      <c r="O20">
        <f t="shared" si="2"/>
        <v>-73.433433185784168</v>
      </c>
      <c r="P20">
        <f t="shared" si="3"/>
        <v>-307.77479218683936</v>
      </c>
      <c r="Q20">
        <f t="shared" si="4"/>
        <v>64.428564000949507</v>
      </c>
      <c r="R20">
        <f t="shared" si="5"/>
        <v>37.852053294658901</v>
      </c>
    </row>
    <row r="21" spans="1:18" x14ac:dyDescent="0.45">
      <c r="A21" s="4">
        <v>43678</v>
      </c>
      <c r="B21" s="5">
        <v>14964.1</v>
      </c>
      <c r="C21" s="1">
        <v>87.600000000000364</v>
      </c>
      <c r="D21" s="20">
        <f t="shared" si="7"/>
        <v>0.55551421061016981</v>
      </c>
      <c r="E21" s="1">
        <v>1519.85</v>
      </c>
      <c r="F21" s="1">
        <v>106.29999999999995</v>
      </c>
      <c r="G21" s="20">
        <f t="shared" si="6"/>
        <v>144.23334961537108</v>
      </c>
      <c r="H21">
        <f t="shared" si="0"/>
        <v>-26.020996495680439</v>
      </c>
      <c r="I21">
        <f t="shared" si="1"/>
        <v>140.5054046333689</v>
      </c>
      <c r="O21">
        <f t="shared" si="2"/>
        <v>144.23334961537108</v>
      </c>
      <c r="P21">
        <f t="shared" si="3"/>
        <v>137.30703705700299</v>
      </c>
      <c r="Q21">
        <f t="shared" si="4"/>
        <v>0.55551421061016981</v>
      </c>
      <c r="R21">
        <f t="shared" si="5"/>
        <v>-26.020996495680439</v>
      </c>
    </row>
    <row r="22" spans="1:18" x14ac:dyDescent="0.45">
      <c r="A22" s="4">
        <v>43709</v>
      </c>
      <c r="B22" s="5">
        <v>15062.4</v>
      </c>
      <c r="C22" s="1">
        <v>72.600000000000364</v>
      </c>
      <c r="D22" s="20">
        <f t="shared" si="7"/>
        <v>17.552333550013692</v>
      </c>
      <c r="E22" s="1">
        <v>1472</v>
      </c>
      <c r="F22" s="1">
        <v>-47.849999999999909</v>
      </c>
      <c r="G22" s="20">
        <f t="shared" si="6"/>
        <v>-190.8182258774861</v>
      </c>
      <c r="H22">
        <f t="shared" si="0"/>
        <v>-9.0241771562769166</v>
      </c>
      <c r="I22">
        <f t="shared" si="1"/>
        <v>-194.54617085948829</v>
      </c>
      <c r="O22">
        <f t="shared" si="2"/>
        <v>-190.8182258774861</v>
      </c>
      <c r="P22">
        <f t="shared" si="3"/>
        <v>-2.3140095606001609</v>
      </c>
      <c r="Q22">
        <f t="shared" si="4"/>
        <v>17.552333550013692</v>
      </c>
      <c r="R22">
        <f t="shared" si="5"/>
        <v>-9.0241771562769166</v>
      </c>
    </row>
    <row r="23" spans="1:18" x14ac:dyDescent="0.45">
      <c r="A23" s="4">
        <v>43739</v>
      </c>
      <c r="B23" s="5">
        <v>15197.3</v>
      </c>
      <c r="C23" s="1">
        <v>137.10000000000036</v>
      </c>
      <c r="D23" s="20">
        <f t="shared" si="7"/>
        <v>97.871698828003204</v>
      </c>
      <c r="E23" s="1">
        <v>1513.16</v>
      </c>
      <c r="F23" s="1">
        <v>41.160000000000082</v>
      </c>
      <c r="G23" s="20">
        <f t="shared" si="6"/>
        <v>175.68348601336092</v>
      </c>
      <c r="H23">
        <f t="shared" si="0"/>
        <v>71.295188121712599</v>
      </c>
      <c r="I23">
        <f t="shared" si="1"/>
        <v>171.95554103135873</v>
      </c>
      <c r="O23">
        <f t="shared" si="2"/>
        <v>175.68348601336092</v>
      </c>
      <c r="P23">
        <f t="shared" si="3"/>
        <v>-91.923664408844616</v>
      </c>
      <c r="Q23">
        <f t="shared" si="4"/>
        <v>97.871698828003204</v>
      </c>
      <c r="R23">
        <f t="shared" si="5"/>
        <v>71.295188121712599</v>
      </c>
    </row>
    <row r="24" spans="1:18" x14ac:dyDescent="0.45">
      <c r="A24" s="4">
        <v>43770</v>
      </c>
      <c r="B24" s="5">
        <v>15305.1</v>
      </c>
      <c r="C24" s="1">
        <v>111.89999999999964</v>
      </c>
      <c r="D24" s="20">
        <f t="shared" si="7"/>
        <v>-36.191302498010579</v>
      </c>
      <c r="E24" s="1">
        <v>1463.9</v>
      </c>
      <c r="F24" s="1">
        <v>-49.259999999999991</v>
      </c>
      <c r="G24" s="20">
        <f t="shared" si="6"/>
        <v>-162.72416596594613</v>
      </c>
      <c r="H24">
        <f t="shared" si="0"/>
        <v>-62.767813204301191</v>
      </c>
      <c r="I24">
        <f t="shared" si="1"/>
        <v>-166.45211094794831</v>
      </c>
      <c r="O24">
        <f t="shared" si="2"/>
        <v>-162.72416596594613</v>
      </c>
      <c r="P24">
        <f t="shared" si="3"/>
        <v>187.88837628269368</v>
      </c>
      <c r="Q24">
        <f t="shared" si="4"/>
        <v>-36.191302498010579</v>
      </c>
      <c r="R24">
        <f t="shared" si="5"/>
        <v>-62.767813204301191</v>
      </c>
    </row>
    <row r="25" spans="1:18" x14ac:dyDescent="0.45">
      <c r="A25" s="4">
        <v>43800</v>
      </c>
      <c r="B25" s="5">
        <v>15373.7</v>
      </c>
      <c r="C25" s="1">
        <v>51.5</v>
      </c>
      <c r="D25" s="20">
        <f t="shared" si="7"/>
        <v>25.042939789643683</v>
      </c>
      <c r="E25" s="1">
        <v>1517.01</v>
      </c>
      <c r="F25" s="1">
        <v>53.1099999999999</v>
      </c>
      <c r="G25" s="20">
        <f t="shared" si="6"/>
        <v>148.11586833468962</v>
      </c>
      <c r="H25">
        <f t="shared" si="0"/>
        <v>-1.5335709166469265</v>
      </c>
      <c r="I25">
        <f t="shared" si="1"/>
        <v>144.38792335268744</v>
      </c>
      <c r="O25">
        <f t="shared" si="2"/>
        <v>148.11586833468962</v>
      </c>
      <c r="P25">
        <f t="shared" si="3"/>
        <v>-254.51662018387827</v>
      </c>
      <c r="Q25">
        <f t="shared" si="4"/>
        <v>25.042939789643683</v>
      </c>
      <c r="R25">
        <f t="shared" si="5"/>
        <v>-1.5335709166469265</v>
      </c>
    </row>
    <row r="26" spans="1:18" x14ac:dyDescent="0.45">
      <c r="A26" s="4">
        <v>43831</v>
      </c>
      <c r="B26" s="5">
        <v>15443.2</v>
      </c>
      <c r="C26" s="1">
        <v>79.600000000000364</v>
      </c>
      <c r="D26" s="20">
        <f t="shared" si="7"/>
        <v>30.34220134834181</v>
      </c>
      <c r="E26" s="1">
        <v>1589.81</v>
      </c>
      <c r="F26" s="1">
        <v>72.799999999999955</v>
      </c>
      <c r="G26" s="20">
        <f t="shared" si="6"/>
        <v>-2.5072684456644083</v>
      </c>
      <c r="H26">
        <f t="shared" si="0"/>
        <v>3.7656906420512009</v>
      </c>
      <c r="I26">
        <f t="shared" si="1"/>
        <v>-6.2352134276665847</v>
      </c>
      <c r="O26">
        <f t="shared" si="2"/>
        <v>-2.5072684456644083</v>
      </c>
      <c r="P26">
        <f t="shared" si="3"/>
        <v>333.08064499126789</v>
      </c>
      <c r="Q26">
        <f t="shared" si="4"/>
        <v>30.34220134834181</v>
      </c>
      <c r="R26">
        <f t="shared" si="5"/>
        <v>3.7656906420512009</v>
      </c>
    </row>
    <row r="27" spans="1:18" x14ac:dyDescent="0.45">
      <c r="A27" s="4">
        <v>43862</v>
      </c>
      <c r="B27" s="5">
        <v>15497.1</v>
      </c>
      <c r="C27" s="1">
        <v>66.299999999999272</v>
      </c>
      <c r="D27" s="20">
        <f t="shared" si="7"/>
        <v>0.38242145782825077</v>
      </c>
      <c r="E27" s="1">
        <v>1584.74</v>
      </c>
      <c r="F27" s="1">
        <v>-5.0699999999999363</v>
      </c>
      <c r="G27" s="20">
        <f t="shared" si="6"/>
        <v>-96.906982011826258</v>
      </c>
      <c r="H27">
        <f t="shared" si="0"/>
        <v>-26.194089248462358</v>
      </c>
      <c r="I27">
        <f t="shared" si="1"/>
        <v>-100.63492699382843</v>
      </c>
      <c r="O27">
        <f t="shared" si="2"/>
        <v>-96.906982011826258</v>
      </c>
      <c r="P27">
        <f t="shared" si="3"/>
        <v>-270.6360789685146</v>
      </c>
      <c r="Q27">
        <f t="shared" si="4"/>
        <v>0.38242145782825077</v>
      </c>
      <c r="R27">
        <f t="shared" si="5"/>
        <v>-26.194089248462358</v>
      </c>
    </row>
    <row r="28" spans="1:18" x14ac:dyDescent="0.45">
      <c r="A28" s="4">
        <v>43891</v>
      </c>
      <c r="B28" s="5">
        <v>16025.9</v>
      </c>
      <c r="C28" s="1">
        <v>539.60000000000036</v>
      </c>
      <c r="D28" s="20">
        <f t="shared" si="7"/>
        <v>509.40590666347799</v>
      </c>
      <c r="E28" s="1">
        <v>1571.05</v>
      </c>
      <c r="F28" s="1">
        <v>-13.690000000000055</v>
      </c>
      <c r="G28" s="20">
        <f t="shared" si="6"/>
        <v>109.91215991368841</v>
      </c>
      <c r="H28">
        <f t="shared" si="0"/>
        <v>482.82939595718739</v>
      </c>
      <c r="I28">
        <f t="shared" si="1"/>
        <v>106.18421493168624</v>
      </c>
      <c r="O28">
        <f t="shared" si="2"/>
        <v>109.91215991368841</v>
      </c>
      <c r="P28">
        <f t="shared" si="3"/>
        <v>103.12278591861046</v>
      </c>
      <c r="Q28">
        <f t="shared" si="4"/>
        <v>509.40590666347799</v>
      </c>
      <c r="R28">
        <f t="shared" si="5"/>
        <v>482.82939595718739</v>
      </c>
    </row>
    <row r="29" spans="1:18" x14ac:dyDescent="0.45">
      <c r="A29" s="4">
        <v>43922</v>
      </c>
      <c r="B29" s="5">
        <v>17039.099999999999</v>
      </c>
      <c r="C29" s="1">
        <v>1032.2999999999993</v>
      </c>
      <c r="D29" s="20">
        <f t="shared" si="7"/>
        <v>420.1434683673894</v>
      </c>
      <c r="E29" s="1">
        <v>1680.09</v>
      </c>
      <c r="F29" s="1">
        <v>109.03999999999996</v>
      </c>
      <c r="G29" s="20">
        <f t="shared" si="6"/>
        <v>-9.4856277828964437</v>
      </c>
      <c r="H29">
        <f t="shared" si="0"/>
        <v>393.5669576610988</v>
      </c>
      <c r="I29">
        <f t="shared" si="1"/>
        <v>-13.21357276489862</v>
      </c>
      <c r="O29">
        <f t="shared" si="2"/>
        <v>-9.4856277828964437</v>
      </c>
      <c r="P29">
        <f t="shared" si="3"/>
        <v>-73.634471599407291</v>
      </c>
      <c r="Q29">
        <f t="shared" si="4"/>
        <v>420.1434683673894</v>
      </c>
      <c r="R29">
        <f t="shared" si="5"/>
        <v>393.5669576610988</v>
      </c>
    </row>
    <row r="30" spans="1:18" x14ac:dyDescent="0.45">
      <c r="A30" s="4">
        <v>43952</v>
      </c>
      <c r="B30" s="5">
        <v>17886.400000000001</v>
      </c>
      <c r="C30" s="1">
        <v>867.60000000000218</v>
      </c>
      <c r="D30" s="20">
        <f t="shared" si="7"/>
        <v>56.782092839109112</v>
      </c>
      <c r="E30" s="1">
        <v>1726.3</v>
      </c>
      <c r="F30" s="1">
        <v>46.210000000000036</v>
      </c>
      <c r="G30" s="20">
        <f t="shared" si="6"/>
        <v>33.9090725047202</v>
      </c>
      <c r="H30">
        <f t="shared" si="0"/>
        <v>30.205582132818503</v>
      </c>
      <c r="I30">
        <f t="shared" si="1"/>
        <v>30.181127522718022</v>
      </c>
      <c r="O30">
        <f t="shared" si="2"/>
        <v>33.9090725047202</v>
      </c>
      <c r="P30">
        <f t="shared" si="3"/>
        <v>-20.408320686000927</v>
      </c>
      <c r="Q30">
        <f t="shared" si="4"/>
        <v>56.782092839109112</v>
      </c>
      <c r="R30">
        <f t="shared" si="5"/>
        <v>30.205582132818503</v>
      </c>
    </row>
    <row r="31" spans="1:18" x14ac:dyDescent="0.45">
      <c r="A31" s="4">
        <v>43983</v>
      </c>
      <c r="B31" s="5">
        <v>18173.5</v>
      </c>
      <c r="C31" s="1">
        <v>251.39999999999782</v>
      </c>
      <c r="D31" s="20">
        <f t="shared" si="7"/>
        <v>-225.71978100588404</v>
      </c>
      <c r="E31" s="1">
        <v>1780.67</v>
      </c>
      <c r="F31" s="1">
        <v>54.370000000000118</v>
      </c>
      <c r="G31" s="20">
        <f t="shared" si="6"/>
        <v>-12.041486243453329</v>
      </c>
      <c r="H31">
        <f t="shared" si="0"/>
        <v>-252.29629171217465</v>
      </c>
      <c r="I31">
        <f t="shared" si="1"/>
        <v>-15.769431225455506</v>
      </c>
      <c r="O31">
        <f t="shared" si="2"/>
        <v>-12.041486243453329</v>
      </c>
      <c r="P31">
        <f t="shared" si="3"/>
        <v>51.230058016230835</v>
      </c>
      <c r="Q31">
        <f t="shared" si="4"/>
        <v>-225.71978100588404</v>
      </c>
      <c r="R31">
        <f t="shared" si="5"/>
        <v>-252.29629171217465</v>
      </c>
    </row>
    <row r="32" spans="1:18" x14ac:dyDescent="0.45">
      <c r="A32" s="4">
        <v>44013</v>
      </c>
      <c r="B32" s="5">
        <v>18330.099999999999</v>
      </c>
      <c r="C32" s="1">
        <v>151.10000000000218</v>
      </c>
      <c r="D32" s="20">
        <f t="shared" si="7"/>
        <v>125.04575795405671</v>
      </c>
      <c r="E32" s="1">
        <v>1974.69</v>
      </c>
      <c r="F32" s="1">
        <v>194.01999999999998</v>
      </c>
      <c r="G32" s="20">
        <f t="shared" si="6"/>
        <v>180.98266366201153</v>
      </c>
      <c r="H32">
        <f t="shared" si="0"/>
        <v>98.469247247766106</v>
      </c>
      <c r="I32">
        <f t="shared" si="1"/>
        <v>177.25471868000935</v>
      </c>
      <c r="O32">
        <f t="shared" si="2"/>
        <v>180.98266366201153</v>
      </c>
      <c r="P32">
        <f t="shared" si="3"/>
        <v>-136.14962342407887</v>
      </c>
      <c r="Q32">
        <f t="shared" si="4"/>
        <v>125.04575795405671</v>
      </c>
      <c r="R32">
        <f t="shared" si="5"/>
        <v>98.469247247766106</v>
      </c>
    </row>
    <row r="33" spans="1:18" x14ac:dyDescent="0.45">
      <c r="A33" s="4">
        <v>44044</v>
      </c>
      <c r="B33" s="5">
        <v>18396.3</v>
      </c>
      <c r="C33" s="1">
        <v>75.799999999999272</v>
      </c>
      <c r="D33" s="20">
        <f t="shared" si="7"/>
        <v>-90.868053838362499</v>
      </c>
      <c r="E33" s="1">
        <v>1969.75</v>
      </c>
      <c r="F33" s="1">
        <v>-4.9400000000000546</v>
      </c>
      <c r="G33" s="20">
        <f t="shared" si="6"/>
        <v>-226.03985115049366</v>
      </c>
      <c r="H33">
        <f t="shared" si="0"/>
        <v>-117.4445645446531</v>
      </c>
      <c r="I33">
        <f t="shared" si="1"/>
        <v>-229.76779613249585</v>
      </c>
      <c r="O33">
        <f t="shared" si="2"/>
        <v>-226.03985115049366</v>
      </c>
      <c r="P33">
        <f t="shared" si="3"/>
        <v>113.33279010395374</v>
      </c>
      <c r="Q33">
        <f t="shared" si="4"/>
        <v>-90.868053838362499</v>
      </c>
      <c r="R33">
        <f t="shared" si="5"/>
        <v>-117.4445645446531</v>
      </c>
    </row>
    <row r="34" spans="1:18" x14ac:dyDescent="0.45">
      <c r="A34" s="4">
        <v>44075</v>
      </c>
      <c r="B34" s="5">
        <v>18628.8</v>
      </c>
      <c r="C34" s="1">
        <v>191.29999999999927</v>
      </c>
      <c r="D34" s="20">
        <f t="shared" si="7"/>
        <v>186.48672396047462</v>
      </c>
      <c r="E34" s="1">
        <v>1885.44</v>
      </c>
      <c r="F34" s="1">
        <v>-84.309999999999945</v>
      </c>
      <c r="G34" s="20">
        <f t="shared" si="6"/>
        <v>59.194182687691978</v>
      </c>
      <c r="H34">
        <f t="shared" si="0"/>
        <v>159.91021325418401</v>
      </c>
      <c r="I34">
        <f t="shared" si="1"/>
        <v>55.466237705689799</v>
      </c>
      <c r="O34">
        <f t="shared" si="2"/>
        <v>59.194182687691978</v>
      </c>
      <c r="P34">
        <f t="shared" si="3"/>
        <v>-116.15872783731133</v>
      </c>
      <c r="Q34">
        <f t="shared" si="4"/>
        <v>186.48672396047462</v>
      </c>
      <c r="R34">
        <f t="shared" si="5"/>
        <v>159.91021325418401</v>
      </c>
    </row>
    <row r="35" spans="1:18" x14ac:dyDescent="0.45">
      <c r="A35" s="4">
        <v>44105</v>
      </c>
      <c r="B35" s="5">
        <v>18783.400000000001</v>
      </c>
      <c r="C35" s="1">
        <v>155.09999999999854</v>
      </c>
      <c r="D35" s="20">
        <f t="shared" si="7"/>
        <v>-36.244620135451967</v>
      </c>
      <c r="E35" s="1">
        <v>1877.95</v>
      </c>
      <c r="F35" s="1">
        <v>-7.4900000000000091</v>
      </c>
      <c r="G35" s="20">
        <f t="shared" si="6"/>
        <v>9.1500459868722999</v>
      </c>
      <c r="H35">
        <f t="shared" si="0"/>
        <v>-62.821130841742573</v>
      </c>
      <c r="I35">
        <f t="shared" si="1"/>
        <v>5.4221010048701235</v>
      </c>
      <c r="O35">
        <f t="shared" si="2"/>
        <v>9.1500459868722999</v>
      </c>
      <c r="P35">
        <f t="shared" si="3"/>
        <v>238.11194317075646</v>
      </c>
      <c r="Q35">
        <f t="shared" si="4"/>
        <v>-36.244620135451967</v>
      </c>
      <c r="R35">
        <f t="shared" si="5"/>
        <v>-62.821130841742573</v>
      </c>
    </row>
    <row r="36" spans="1:18" x14ac:dyDescent="0.45">
      <c r="A36" s="4">
        <v>44136</v>
      </c>
      <c r="B36" s="5">
        <v>19012.099999999999</v>
      </c>
      <c r="C36" s="1">
        <v>239.40000000000146</v>
      </c>
      <c r="D36" s="20">
        <f t="shared" si="7"/>
        <v>142.36790265048177</v>
      </c>
      <c r="E36" s="1">
        <v>1777.02</v>
      </c>
      <c r="F36" s="1">
        <v>-100.93000000000006</v>
      </c>
      <c r="G36" s="20">
        <f t="shared" si="6"/>
        <v>-133.04076344391328</v>
      </c>
      <c r="H36">
        <f t="shared" si="0"/>
        <v>115.79139194419116</v>
      </c>
      <c r="I36">
        <f t="shared" si="1"/>
        <v>-136.76870842591546</v>
      </c>
      <c r="O36">
        <f t="shared" si="2"/>
        <v>-133.04076344391328</v>
      </c>
      <c r="P36">
        <f t="shared" si="3"/>
        <v>-173.68961794438226</v>
      </c>
      <c r="Q36">
        <f t="shared" si="4"/>
        <v>142.36790265048177</v>
      </c>
      <c r="R36">
        <f t="shared" si="5"/>
        <v>115.79139194419116</v>
      </c>
    </row>
    <row r="37" spans="1:18" x14ac:dyDescent="0.45">
      <c r="A37" s="4">
        <v>44166</v>
      </c>
      <c r="B37" s="5">
        <v>19165.900000000001</v>
      </c>
      <c r="C37" s="1">
        <v>118.70000000000073</v>
      </c>
      <c r="D37" s="20">
        <f t="shared" si="7"/>
        <v>-56.077124324236443</v>
      </c>
      <c r="E37" s="1">
        <v>1896.49</v>
      </c>
      <c r="F37" s="1">
        <v>119.47000000000003</v>
      </c>
      <c r="G37" s="20">
        <f t="shared" si="6"/>
        <v>296.13352239835683</v>
      </c>
      <c r="H37">
        <f t="shared" si="0"/>
        <v>-82.653635030527056</v>
      </c>
      <c r="I37">
        <f t="shared" si="1"/>
        <v>292.40557741635467</v>
      </c>
      <c r="O37">
        <f t="shared" si="2"/>
        <v>296.13352239835683</v>
      </c>
      <c r="P37">
        <f t="shared" si="3"/>
        <v>166.04427756734975</v>
      </c>
      <c r="Q37">
        <f t="shared" si="4"/>
        <v>-56.077124324236443</v>
      </c>
      <c r="R37">
        <f t="shared" si="5"/>
        <v>-82.653635030527056</v>
      </c>
    </row>
    <row r="38" spans="1:18" x14ac:dyDescent="0.45">
      <c r="A38" s="4">
        <v>44197</v>
      </c>
      <c r="B38" s="5">
        <v>19392.5</v>
      </c>
      <c r="C38" s="1">
        <v>263.29999999999927</v>
      </c>
      <c r="D38" s="20">
        <f t="shared" si="7"/>
        <v>186.84021622499949</v>
      </c>
      <c r="E38" s="1">
        <v>1846.09</v>
      </c>
      <c r="F38" s="1">
        <v>-50.400000000000091</v>
      </c>
      <c r="G38" s="20">
        <f t="shared" si="6"/>
        <v>-333.90732699644258</v>
      </c>
      <c r="H38">
        <f t="shared" si="0"/>
        <v>160.26370551870889</v>
      </c>
      <c r="I38">
        <f t="shared" si="1"/>
        <v>-337.63527197844473</v>
      </c>
      <c r="O38">
        <f t="shared" si="2"/>
        <v>-333.90732699644258</v>
      </c>
      <c r="P38">
        <f t="shared" si="3"/>
        <v>-238.61796063395511</v>
      </c>
      <c r="Q38">
        <f t="shared" si="4"/>
        <v>186.84021622499949</v>
      </c>
      <c r="R38">
        <f t="shared" si="5"/>
        <v>160.26370551870889</v>
      </c>
    </row>
    <row r="39" spans="1:18" x14ac:dyDescent="0.45">
      <c r="A39" s="4">
        <v>44228</v>
      </c>
      <c r="B39" s="5">
        <v>19628.2</v>
      </c>
      <c r="C39" s="1">
        <v>262.79999999999927</v>
      </c>
      <c r="D39" s="20">
        <f t="shared" si="7"/>
        <v>49.957798273688987</v>
      </c>
      <c r="E39" s="1">
        <v>1733.49</v>
      </c>
      <c r="F39" s="1">
        <v>-112.59999999999991</v>
      </c>
      <c r="G39" s="20">
        <f t="shared" si="6"/>
        <v>144.76223562997049</v>
      </c>
      <c r="H39">
        <f t="shared" si="0"/>
        <v>23.381287567398378</v>
      </c>
      <c r="I39">
        <f t="shared" si="1"/>
        <v>141.03429064796831</v>
      </c>
      <c r="O39">
        <f t="shared" si="2"/>
        <v>144.76223562997049</v>
      </c>
      <c r="P39">
        <f t="shared" si="3"/>
        <v>292.33271343093236</v>
      </c>
      <c r="Q39">
        <f t="shared" si="4"/>
        <v>49.957798273688987</v>
      </c>
      <c r="R39">
        <f t="shared" si="5"/>
        <v>23.381287567398378</v>
      </c>
    </row>
    <row r="40" spans="1:18" x14ac:dyDescent="0.45">
      <c r="A40" s="4">
        <v>44256</v>
      </c>
      <c r="B40" s="5">
        <v>19852.2</v>
      </c>
      <c r="C40" s="1">
        <v>231.40000000000146</v>
      </c>
      <c r="D40" s="20">
        <f t="shared" si="7"/>
        <v>10.956274274418917</v>
      </c>
      <c r="E40" s="1">
        <v>1707.01</v>
      </c>
      <c r="F40" s="1">
        <v>-26.480000000000018</v>
      </c>
      <c r="G40" s="20">
        <f t="shared" si="6"/>
        <v>-51.40891585968086</v>
      </c>
      <c r="H40">
        <f t="shared" si="0"/>
        <v>-15.620236431871692</v>
      </c>
      <c r="I40">
        <f t="shared" si="1"/>
        <v>-55.136860841683038</v>
      </c>
      <c r="O40">
        <f t="shared" si="2"/>
        <v>-51.40891585968086</v>
      </c>
      <c r="P40">
        <f t="shared" si="3"/>
        <v>-189.16337674054185</v>
      </c>
      <c r="Q40">
        <f t="shared" si="4"/>
        <v>10.956274274418917</v>
      </c>
      <c r="R40">
        <f t="shared" si="5"/>
        <v>-15.620236431871692</v>
      </c>
    </row>
    <row r="41" spans="1:18" x14ac:dyDescent="0.45">
      <c r="A41" s="4">
        <v>44287</v>
      </c>
      <c r="B41" s="5">
        <v>20189</v>
      </c>
      <c r="C41" s="1">
        <v>303.70000000000073</v>
      </c>
      <c r="D41" s="20">
        <f t="shared" si="7"/>
        <v>221.52469987801408</v>
      </c>
      <c r="E41" s="1">
        <v>1768.59</v>
      </c>
      <c r="F41" s="1">
        <v>61.579999999999927</v>
      </c>
      <c r="G41" s="20">
        <f t="shared" si="6"/>
        <v>69.174173548452416</v>
      </c>
      <c r="H41">
        <f t="shared" si="0"/>
        <v>194.94818917172347</v>
      </c>
      <c r="I41">
        <f t="shared" si="1"/>
        <v>65.446228566450245</v>
      </c>
      <c r="O41">
        <f t="shared" si="2"/>
        <v>69.174173548452416</v>
      </c>
      <c r="P41">
        <f t="shared" si="3"/>
        <v>8.8262183427271825</v>
      </c>
      <c r="Q41">
        <f t="shared" si="4"/>
        <v>221.52469987801408</v>
      </c>
      <c r="R41">
        <f t="shared" si="5"/>
        <v>194.94818917172347</v>
      </c>
    </row>
    <row r="42" spans="1:18" x14ac:dyDescent="0.45">
      <c r="A42" s="4">
        <v>44317</v>
      </c>
      <c r="B42" s="5">
        <v>20457</v>
      </c>
      <c r="C42" s="1">
        <v>283.5</v>
      </c>
      <c r="D42" s="20">
        <f t="shared" si="7"/>
        <v>-66.82535601753915</v>
      </c>
      <c r="E42" s="1">
        <v>1906.36</v>
      </c>
      <c r="F42" s="1">
        <v>137.76999999999998</v>
      </c>
      <c r="G42" s="20">
        <f t="shared" si="6"/>
        <v>119.93186604104568</v>
      </c>
      <c r="H42">
        <f t="shared" si="0"/>
        <v>-93.401866723829755</v>
      </c>
      <c r="I42">
        <f t="shared" si="1"/>
        <v>116.20392105904351</v>
      </c>
      <c r="O42">
        <f t="shared" si="2"/>
        <v>119.93186604104568</v>
      </c>
      <c r="P42">
        <f t="shared" si="3"/>
        <v>39.235624638392416</v>
      </c>
      <c r="Q42">
        <f t="shared" si="4"/>
        <v>-66.82535601753915</v>
      </c>
      <c r="R42">
        <f t="shared" si="5"/>
        <v>-93.401866723829755</v>
      </c>
    </row>
    <row r="43" spans="1:18" x14ac:dyDescent="0.45">
      <c r="A43" s="4">
        <v>44348</v>
      </c>
      <c r="B43" s="5">
        <v>20499.2</v>
      </c>
      <c r="C43" s="1">
        <v>17.399999999997817</v>
      </c>
      <c r="D43" s="20">
        <f t="shared" si="7"/>
        <v>-58.937817836357937</v>
      </c>
      <c r="E43" s="1">
        <v>1769.8</v>
      </c>
      <c r="F43" s="1">
        <v>-136.55999999999995</v>
      </c>
      <c r="G43" s="20">
        <f t="shared" si="6"/>
        <v>-342.05603005963167</v>
      </c>
      <c r="H43">
        <f t="shared" si="0"/>
        <v>-85.514328542648542</v>
      </c>
      <c r="I43">
        <f t="shared" si="1"/>
        <v>-345.78397504163382</v>
      </c>
      <c r="O43">
        <f t="shared" si="2"/>
        <v>-342.05603005963167</v>
      </c>
      <c r="P43">
        <f t="shared" si="3"/>
        <v>-52.830576297143303</v>
      </c>
      <c r="Q43">
        <f t="shared" si="4"/>
        <v>-58.937817836357937</v>
      </c>
      <c r="R43">
        <f t="shared" si="5"/>
        <v>-85.514328542648542</v>
      </c>
    </row>
    <row r="44" spans="1:18" x14ac:dyDescent="0.45">
      <c r="A44" s="4">
        <v>44378</v>
      </c>
      <c r="B44" s="5">
        <v>20654.400000000001</v>
      </c>
      <c r="C44" s="1">
        <v>155.5</v>
      </c>
      <c r="D44" s="20">
        <f t="shared" si="7"/>
        <v>163.13829484427862</v>
      </c>
      <c r="E44" s="1">
        <v>1813.58</v>
      </c>
      <c r="F44" s="1">
        <v>43.779999999999973</v>
      </c>
      <c r="G44" s="20">
        <f t="shared" si="6"/>
        <v>383.38619375479561</v>
      </c>
      <c r="H44">
        <f t="shared" si="0"/>
        <v>136.56178413798801</v>
      </c>
      <c r="I44">
        <f t="shared" si="1"/>
        <v>379.65824877279346</v>
      </c>
      <c r="O44">
        <f t="shared" si="2"/>
        <v>383.38619375479561</v>
      </c>
      <c r="P44">
        <f t="shared" si="3"/>
        <v>60.627940012198714</v>
      </c>
      <c r="Q44">
        <f t="shared" si="4"/>
        <v>163.13829484427862</v>
      </c>
      <c r="R44">
        <f t="shared" si="5"/>
        <v>136.56178413798801</v>
      </c>
    </row>
    <row r="45" spans="1:18" x14ac:dyDescent="0.45">
      <c r="A45" s="4">
        <v>44409</v>
      </c>
      <c r="B45" s="5">
        <v>20837</v>
      </c>
      <c r="C45" s="1">
        <v>207.60000000000218</v>
      </c>
      <c r="D45" s="20">
        <f t="shared" si="7"/>
        <v>17.076385286707506</v>
      </c>
      <c r="E45" s="1">
        <v>1813.43</v>
      </c>
      <c r="F45" s="1">
        <v>-0.14999999999986358</v>
      </c>
      <c r="G45" s="20">
        <f t="shared" si="6"/>
        <v>-304.04684720483721</v>
      </c>
      <c r="H45">
        <f t="shared" si="0"/>
        <v>-9.5001254195831031</v>
      </c>
      <c r="I45">
        <f t="shared" si="1"/>
        <v>-307.77479218683936</v>
      </c>
      <c r="O45">
        <f t="shared" si="2"/>
        <v>-304.04684720483721</v>
      </c>
      <c r="P45">
        <f t="shared" si="3"/>
        <v>-185.79215475171341</v>
      </c>
      <c r="Q45">
        <f t="shared" si="4"/>
        <v>17.076385286707506</v>
      </c>
      <c r="R45">
        <f t="shared" si="5"/>
        <v>-9.5001254195831031</v>
      </c>
    </row>
    <row r="46" spans="1:18" x14ac:dyDescent="0.45">
      <c r="A46" s="4">
        <v>44440</v>
      </c>
      <c r="B46" s="5">
        <v>21004.6</v>
      </c>
      <c r="C46" s="1">
        <v>140.09999999999854</v>
      </c>
      <c r="D46" s="20">
        <f t="shared" si="7"/>
        <v>21.092112463557044</v>
      </c>
      <c r="E46" s="1">
        <v>1756.66</v>
      </c>
      <c r="F46" s="1">
        <v>-56.769999999999982</v>
      </c>
      <c r="G46" s="20">
        <f t="shared" si="6"/>
        <v>141.03498203900517</v>
      </c>
      <c r="H46">
        <f t="shared" si="0"/>
        <v>-5.4843982427335654</v>
      </c>
      <c r="I46">
        <f t="shared" si="1"/>
        <v>137.30703705700299</v>
      </c>
      <c r="O46">
        <f t="shared" si="2"/>
        <v>141.03498203900517</v>
      </c>
      <c r="P46">
        <f t="shared" si="3"/>
        <v>338.37130005876799</v>
      </c>
      <c r="Q46">
        <f t="shared" si="4"/>
        <v>21.092112463557044</v>
      </c>
      <c r="R46">
        <f t="shared" si="5"/>
        <v>-5.4843982427335654</v>
      </c>
    </row>
    <row r="47" spans="1:18" x14ac:dyDescent="0.45">
      <c r="A47" s="4">
        <v>44470</v>
      </c>
      <c r="B47" s="5">
        <v>21168</v>
      </c>
      <c r="C47" s="1">
        <v>179.59999999999854</v>
      </c>
      <c r="D47" s="20">
        <f t="shared" si="7"/>
        <v>98.123127578243199</v>
      </c>
      <c r="E47" s="1">
        <v>1782.81</v>
      </c>
      <c r="F47" s="1">
        <v>26.149999999999864</v>
      </c>
      <c r="G47" s="20">
        <f t="shared" si="6"/>
        <v>1.4139354214020159</v>
      </c>
      <c r="H47">
        <f t="shared" si="0"/>
        <v>71.546616871952594</v>
      </c>
      <c r="I47">
        <f t="shared" si="1"/>
        <v>-2.3140095606001609</v>
      </c>
      <c r="O47">
        <f t="shared" si="2"/>
        <v>1.4139354214020159</v>
      </c>
      <c r="P47">
        <f t="shared" si="3"/>
        <v>-265.18221641880194</v>
      </c>
      <c r="Q47">
        <f t="shared" si="4"/>
        <v>98.123127578243199</v>
      </c>
      <c r="R47">
        <f t="shared" si="5"/>
        <v>71.546616871952594</v>
      </c>
    </row>
    <row r="48" spans="1:18" x14ac:dyDescent="0.45">
      <c r="A48" s="4">
        <v>44501</v>
      </c>
      <c r="B48" s="5">
        <v>21337.9</v>
      </c>
      <c r="C48" s="1">
        <v>174.90000000000146</v>
      </c>
      <c r="D48" s="20">
        <f t="shared" si="7"/>
        <v>2.0612094884379069</v>
      </c>
      <c r="E48" s="1">
        <v>1773.78</v>
      </c>
      <c r="F48" s="1">
        <v>-9.0299999999999727</v>
      </c>
      <c r="G48" s="20">
        <f t="shared" si="6"/>
        <v>-88.195719426842444</v>
      </c>
      <c r="H48">
        <f t="shared" si="0"/>
        <v>-24.515301217852702</v>
      </c>
      <c r="I48">
        <f t="shared" si="1"/>
        <v>-91.923664408844616</v>
      </c>
      <c r="O48">
        <f t="shared" si="2"/>
        <v>-88.195719426842444</v>
      </c>
      <c r="P48">
        <f t="shared" si="3"/>
        <v>168.16066566287768</v>
      </c>
      <c r="Q48">
        <f t="shared" si="4"/>
        <v>2.0612094884379069</v>
      </c>
      <c r="R48">
        <f t="shared" si="5"/>
        <v>-24.515301217852702</v>
      </c>
    </row>
    <row r="49" spans="1:18" x14ac:dyDescent="0.45">
      <c r="A49" s="4">
        <v>44531</v>
      </c>
      <c r="B49" s="5">
        <v>21494</v>
      </c>
      <c r="C49" s="1">
        <v>163</v>
      </c>
      <c r="D49" s="20">
        <f t="shared" si="7"/>
        <v>78.561803784289353</v>
      </c>
      <c r="E49" s="1">
        <v>1828.39</v>
      </c>
      <c r="F49" s="1">
        <v>54.610000000000127</v>
      </c>
      <c r="G49" s="20">
        <f t="shared" si="6"/>
        <v>191.61632126469587</v>
      </c>
      <c r="H49">
        <f t="shared" si="0"/>
        <v>51.985293077998747</v>
      </c>
      <c r="I49">
        <f t="shared" si="1"/>
        <v>187.88837628269368</v>
      </c>
      <c r="O49">
        <f t="shared" si="2"/>
        <v>191.61632126469587</v>
      </c>
      <c r="P49">
        <f t="shared" si="3"/>
        <v>-130.3995112491813</v>
      </c>
      <c r="Q49">
        <f t="shared" si="4"/>
        <v>78.561803784289353</v>
      </c>
      <c r="R49">
        <f t="shared" si="5"/>
        <v>51.985293077998747</v>
      </c>
    </row>
    <row r="50" spans="1:18" x14ac:dyDescent="0.45">
      <c r="A50" s="4">
        <v>44562</v>
      </c>
      <c r="B50" s="5">
        <v>21614</v>
      </c>
      <c r="C50" s="1">
        <v>151.59999999999854</v>
      </c>
      <c r="D50" s="20">
        <f t="shared" si="7"/>
        <v>8.1147542603653093</v>
      </c>
      <c r="E50" s="1">
        <v>1796.47</v>
      </c>
      <c r="F50" s="1">
        <v>-31.920000000000073</v>
      </c>
      <c r="G50" s="20">
        <f t="shared" si="6"/>
        <v>-250.78867520187609</v>
      </c>
      <c r="H50">
        <f t="shared" si="0"/>
        <v>-18.4617564459253</v>
      </c>
      <c r="I50">
        <f t="shared" si="1"/>
        <v>-254.51662018387827</v>
      </c>
      <c r="O50">
        <f t="shared" si="2"/>
        <v>-250.78867520187609</v>
      </c>
      <c r="P50">
        <f t="shared" si="3"/>
        <v>44.779331899326486</v>
      </c>
      <c r="Q50">
        <f t="shared" si="4"/>
        <v>8.1147542603653093</v>
      </c>
      <c r="R50">
        <f t="shared" si="5"/>
        <v>-18.4617564459253</v>
      </c>
    </row>
    <row r="51" spans="1:18" x14ac:dyDescent="0.45">
      <c r="A51" s="4">
        <v>44593</v>
      </c>
      <c r="B51" s="5">
        <v>21712.7</v>
      </c>
      <c r="C51" s="1">
        <v>75.100000000002183</v>
      </c>
      <c r="D51" s="20">
        <f t="shared" si="7"/>
        <v>-13.327878516272094</v>
      </c>
      <c r="E51" s="1">
        <v>1907.9</v>
      </c>
      <c r="F51" s="1">
        <v>111.43000000000006</v>
      </c>
      <c r="G51" s="20">
        <f t="shared" si="6"/>
        <v>336.80858997327005</v>
      </c>
      <c r="H51">
        <f t="shared" si="0"/>
        <v>-39.904389222562699</v>
      </c>
      <c r="I51">
        <f t="shared" si="1"/>
        <v>333.08064499126789</v>
      </c>
      <c r="O51">
        <f t="shared" si="2"/>
        <v>336.80858997327005</v>
      </c>
      <c r="P51">
        <f t="shared" si="3"/>
        <v>215.17287163635083</v>
      </c>
      <c r="Q51">
        <f t="shared" si="4"/>
        <v>-13.327878516272094</v>
      </c>
      <c r="R51">
        <f t="shared" si="5"/>
        <v>-39.904389222562699</v>
      </c>
    </row>
    <row r="52" spans="1:18" x14ac:dyDescent="0.45">
      <c r="A52" s="4">
        <v>44621</v>
      </c>
      <c r="B52" s="5">
        <v>21749.8</v>
      </c>
      <c r="C52" s="1">
        <v>62</v>
      </c>
      <c r="D52" s="20">
        <f t="shared" si="7"/>
        <v>33.401884170413481</v>
      </c>
      <c r="E52" s="1">
        <v>1937.23</v>
      </c>
      <c r="F52" s="1">
        <v>29.329999999999927</v>
      </c>
      <c r="G52" s="20">
        <f t="shared" si="6"/>
        <v>-266.90813398651244</v>
      </c>
      <c r="H52">
        <f t="shared" si="0"/>
        <v>6.8253734641228725</v>
      </c>
      <c r="I52">
        <f t="shared" si="1"/>
        <v>-270.6360789685146</v>
      </c>
      <c r="O52">
        <f t="shared" si="2"/>
        <v>-266.90813398651244</v>
      </c>
      <c r="P52">
        <f t="shared" si="3"/>
        <v>-256.04340930257212</v>
      </c>
      <c r="Q52">
        <f t="shared" si="4"/>
        <v>33.401884170413481</v>
      </c>
      <c r="R52">
        <f t="shared" si="5"/>
        <v>6.8253734641228725</v>
      </c>
    </row>
    <row r="53" spans="1:18" x14ac:dyDescent="0.45">
      <c r="A53" s="4">
        <v>44652</v>
      </c>
      <c r="B53" s="5">
        <v>21780.3</v>
      </c>
      <c r="C53" s="1">
        <v>-17.799999999999272</v>
      </c>
      <c r="D53" s="20">
        <f t="shared" si="7"/>
        <v>-81.407757180688535</v>
      </c>
      <c r="E53" s="1">
        <v>1896.4</v>
      </c>
      <c r="F53" s="1">
        <v>-40.829999999999927</v>
      </c>
      <c r="G53" s="20">
        <f t="shared" si="6"/>
        <v>106.85073090061263</v>
      </c>
      <c r="H53">
        <f t="shared" si="0"/>
        <v>-107.98426788697914</v>
      </c>
      <c r="I53">
        <f t="shared" si="1"/>
        <v>103.12278591861046</v>
      </c>
      <c r="O53">
        <f t="shared" si="2"/>
        <v>106.85073090061263</v>
      </c>
      <c r="P53">
        <f t="shared" si="3"/>
        <v>231.04402413025042</v>
      </c>
      <c r="Q53">
        <f t="shared" si="4"/>
        <v>-81.407757180688535</v>
      </c>
      <c r="R53">
        <f t="shared" si="5"/>
        <v>-107.98426788697914</v>
      </c>
    </row>
    <row r="54" spans="1:18" x14ac:dyDescent="0.45">
      <c r="A54" s="4">
        <v>44682</v>
      </c>
      <c r="B54" s="5">
        <v>21723.200000000001</v>
      </c>
      <c r="C54" s="1">
        <v>-49.5</v>
      </c>
      <c r="D54" s="20">
        <f t="shared" si="7"/>
        <v>15.22784689507381</v>
      </c>
      <c r="E54" s="1">
        <v>1837.09</v>
      </c>
      <c r="F54" s="1">
        <v>-59.310000000000173</v>
      </c>
      <c r="G54" s="20">
        <f t="shared" si="6"/>
        <v>-69.90652661740512</v>
      </c>
      <c r="H54">
        <f t="shared" si="0"/>
        <v>-11.348663811216799</v>
      </c>
      <c r="I54">
        <f t="shared" si="1"/>
        <v>-73.634471599407291</v>
      </c>
      <c r="O54">
        <f t="shared" si="2"/>
        <v>-69.90652661740512</v>
      </c>
      <c r="P54">
        <f t="shared" si="3"/>
        <v>-217.23589620463005</v>
      </c>
      <c r="Q54">
        <f t="shared" si="4"/>
        <v>15.22784689507381</v>
      </c>
      <c r="R54">
        <f t="shared" si="5"/>
        <v>-11.348663811216799</v>
      </c>
    </row>
    <row r="55" spans="1:18" x14ac:dyDescent="0.45">
      <c r="A55" s="4">
        <v>44713</v>
      </c>
      <c r="B55" s="5">
        <v>21676.799999999999</v>
      </c>
      <c r="C55" s="1">
        <v>-68.400000000001455</v>
      </c>
      <c r="D55" s="20">
        <f t="shared" si="7"/>
        <v>-54.422614093335355</v>
      </c>
      <c r="E55" s="1">
        <v>1806.89</v>
      </c>
      <c r="F55" s="1">
        <v>-30.199999999999818</v>
      </c>
      <c r="G55" s="20">
        <f t="shared" si="6"/>
        <v>-16.680375703998749</v>
      </c>
      <c r="H55">
        <f t="shared" si="0"/>
        <v>-80.99912479962596</v>
      </c>
      <c r="I55">
        <f t="shared" si="1"/>
        <v>-20.408320686000927</v>
      </c>
      <c r="O55">
        <f t="shared" si="2"/>
        <v>-16.680375703998749</v>
      </c>
      <c r="P55">
        <f t="shared" si="3"/>
        <v>260.3100780016037</v>
      </c>
      <c r="Q55">
        <f t="shared" si="4"/>
        <v>-54.422614093335355</v>
      </c>
      <c r="R55">
        <f t="shared" si="5"/>
        <v>-80.99912479962596</v>
      </c>
    </row>
    <row r="56" spans="1:18" x14ac:dyDescent="0.45">
      <c r="A56" s="4">
        <v>44743</v>
      </c>
      <c r="B56" s="5">
        <v>21676.5</v>
      </c>
      <c r="C56" s="1">
        <v>1.4000000000014552</v>
      </c>
      <c r="D56" s="20">
        <f t="shared" si="7"/>
        <v>67.218476776883307</v>
      </c>
      <c r="E56" s="1">
        <v>1765.22</v>
      </c>
      <c r="F56" s="1">
        <v>-41.670000000000073</v>
      </c>
      <c r="G56" s="20">
        <f t="shared" si="6"/>
        <v>54.958002998233013</v>
      </c>
      <c r="H56">
        <f t="shared" si="0"/>
        <v>40.641966070592701</v>
      </c>
      <c r="I56">
        <f t="shared" si="1"/>
        <v>51.230058016230835</v>
      </c>
      <c r="O56">
        <f t="shared" si="2"/>
        <v>54.958002998233013</v>
      </c>
      <c r="P56">
        <f t="shared" si="3"/>
        <v>-159.63325200342936</v>
      </c>
      <c r="Q56">
        <f t="shared" si="4"/>
        <v>67.218476776883307</v>
      </c>
      <c r="R56">
        <f t="shared" si="5"/>
        <v>40.641966070592701</v>
      </c>
    </row>
    <row r="57" spans="1:18" x14ac:dyDescent="0.45">
      <c r="A57" s="4">
        <v>44774</v>
      </c>
      <c r="B57" s="5">
        <v>21644</v>
      </c>
      <c r="C57" s="1">
        <v>-14.5</v>
      </c>
      <c r="D57" s="20">
        <f t="shared" si="7"/>
        <v>-48.130026921514556</v>
      </c>
      <c r="E57" s="1">
        <v>1710.7</v>
      </c>
      <c r="F57" s="1">
        <v>-54.519999999999982</v>
      </c>
      <c r="G57" s="20">
        <f t="shared" si="6"/>
        <v>-132.42167844207668</v>
      </c>
      <c r="H57">
        <f t="shared" si="0"/>
        <v>-74.706537627805162</v>
      </c>
      <c r="I57">
        <f t="shared" si="1"/>
        <v>-136.14962342407887</v>
      </c>
    </row>
    <row r="58" spans="1:18" x14ac:dyDescent="0.45">
      <c r="A58" s="4">
        <v>44805</v>
      </c>
      <c r="B58" s="5">
        <v>21560.6</v>
      </c>
      <c r="C58" s="1">
        <v>-101.70000000000073</v>
      </c>
      <c r="D58" s="20">
        <f t="shared" si="7"/>
        <v>-74.238466237319798</v>
      </c>
      <c r="E58" s="1">
        <v>1659.67</v>
      </c>
      <c r="F58" s="1">
        <v>-51.029999999999973</v>
      </c>
      <c r="G58" s="20">
        <f t="shared" si="6"/>
        <v>117.06073508595591</v>
      </c>
      <c r="H58">
        <f t="shared" si="0"/>
        <v>-100.8149769436104</v>
      </c>
      <c r="I58">
        <f t="shared" si="1"/>
        <v>113.33279010395374</v>
      </c>
    </row>
    <row r="59" spans="1:18" x14ac:dyDescent="0.45">
      <c r="A59" s="4">
        <v>44835</v>
      </c>
      <c r="B59" s="5">
        <v>21465.8</v>
      </c>
      <c r="C59" s="1">
        <v>-75</v>
      </c>
      <c r="D59" s="20">
        <f t="shared" si="7"/>
        <v>41.205959564270998</v>
      </c>
      <c r="E59" s="1">
        <v>1633.12</v>
      </c>
      <c r="F59" s="1">
        <v>-26.550000000000182</v>
      </c>
      <c r="G59" s="20">
        <f t="shared" si="6"/>
        <v>-112.43078285530916</v>
      </c>
      <c r="H59">
        <f t="shared" si="0"/>
        <v>14.629448857980389</v>
      </c>
      <c r="I59">
        <f t="shared" si="1"/>
        <v>-116.15872783731133</v>
      </c>
    </row>
    <row r="60" spans="1:18" x14ac:dyDescent="0.45">
      <c r="A60" s="4">
        <v>44866</v>
      </c>
      <c r="B60" s="5">
        <v>21408.6</v>
      </c>
      <c r="C60" s="1">
        <v>-55</v>
      </c>
      <c r="D60" s="20">
        <f t="shared" si="7"/>
        <v>-59.043010809844034</v>
      </c>
      <c r="E60" s="1">
        <v>1768.45</v>
      </c>
      <c r="F60" s="1">
        <v>135.33000000000015</v>
      </c>
      <c r="G60" s="20">
        <f t="shared" si="6"/>
        <v>241.83988815275865</v>
      </c>
      <c r="H60">
        <f t="shared" si="0"/>
        <v>-85.61952151613464</v>
      </c>
      <c r="I60">
        <f t="shared" si="1"/>
        <v>238.11194317075646</v>
      </c>
    </row>
    <row r="61" spans="1:18" x14ac:dyDescent="0.45">
      <c r="A61" s="4">
        <v>44896</v>
      </c>
      <c r="B61" s="5">
        <v>21266.400000000001</v>
      </c>
      <c r="C61" s="1">
        <v>-115.79999999999927</v>
      </c>
      <c r="D61" s="20">
        <f t="shared" si="7"/>
        <v>-35.335488441794446</v>
      </c>
      <c r="E61" s="1">
        <v>1824.4</v>
      </c>
      <c r="F61" s="1">
        <v>55.950000000000045</v>
      </c>
      <c r="G61" s="20">
        <f t="shared" si="6"/>
        <v>-169.96167296238008</v>
      </c>
      <c r="H61">
        <f t="shared" si="0"/>
        <v>-61.911999148085059</v>
      </c>
      <c r="I61">
        <f t="shared" si="1"/>
        <v>-173.68961794438226</v>
      </c>
    </row>
    <row r="62" spans="1:18" x14ac:dyDescent="0.45">
      <c r="A62" s="4">
        <v>44927</v>
      </c>
      <c r="B62" s="5">
        <v>21249.4</v>
      </c>
      <c r="C62" s="1">
        <v>-11</v>
      </c>
      <c r="D62" s="20">
        <f t="shared" si="7"/>
        <v>68.879287288641038</v>
      </c>
      <c r="E62" s="1">
        <v>1927.88</v>
      </c>
      <c r="F62" s="1">
        <v>103.48000000000002</v>
      </c>
      <c r="G62" s="20">
        <f t="shared" si="6"/>
        <v>169.77222254935194</v>
      </c>
      <c r="H62">
        <f t="shared" si="0"/>
        <v>42.302776582350432</v>
      </c>
      <c r="I62">
        <f t="shared" si="1"/>
        <v>166.04427756734975</v>
      </c>
    </row>
    <row r="63" spans="1:18" x14ac:dyDescent="0.45">
      <c r="A63" s="4">
        <v>44958</v>
      </c>
      <c r="B63" s="5">
        <v>21226.9</v>
      </c>
      <c r="C63" s="1">
        <v>-36.200000000000728</v>
      </c>
      <c r="D63" s="20">
        <f t="shared" si="7"/>
        <v>-74.537333511444885</v>
      </c>
      <c r="E63" s="1">
        <v>1827.15</v>
      </c>
      <c r="F63" s="1">
        <v>-100.73000000000002</v>
      </c>
      <c r="G63" s="20">
        <f t="shared" si="6"/>
        <v>-234.89001565195292</v>
      </c>
      <c r="H63">
        <f t="shared" si="0"/>
        <v>-101.11384421773549</v>
      </c>
      <c r="I63">
        <f t="shared" si="1"/>
        <v>-238.61796063395511</v>
      </c>
    </row>
    <row r="64" spans="1:18" x14ac:dyDescent="0.45">
      <c r="A64" s="4">
        <v>44986</v>
      </c>
      <c r="B64" s="5">
        <v>20917.400000000001</v>
      </c>
      <c r="C64" s="1">
        <v>-296.29999999999927</v>
      </c>
      <c r="D64" s="20">
        <f t="shared" si="7"/>
        <v>-226.13386897094827</v>
      </c>
      <c r="E64" s="1">
        <v>1967.9</v>
      </c>
      <c r="F64" s="1">
        <v>140.75</v>
      </c>
      <c r="G64" s="20">
        <f t="shared" si="6"/>
        <v>296.06065841293452</v>
      </c>
      <c r="H64">
        <f t="shared" si="0"/>
        <v>-252.71037967723888</v>
      </c>
      <c r="I64">
        <f t="shared" si="1"/>
        <v>292.33271343093236</v>
      </c>
    </row>
    <row r="65" spans="1:9" x14ac:dyDescent="0.45">
      <c r="A65" s="4">
        <v>45017</v>
      </c>
      <c r="B65" s="5">
        <v>20770.400000000001</v>
      </c>
      <c r="C65" s="1">
        <v>-186</v>
      </c>
      <c r="D65" s="20">
        <f t="shared" si="7"/>
        <v>116.3857932189304</v>
      </c>
      <c r="E65" s="1">
        <v>1989.65</v>
      </c>
      <c r="F65" s="1">
        <v>21.75</v>
      </c>
      <c r="G65" s="20">
        <f t="shared" si="6"/>
        <v>-185.43543175853966</v>
      </c>
      <c r="H65">
        <f t="shared" si="0"/>
        <v>89.809282512639797</v>
      </c>
      <c r="I65">
        <f t="shared" si="1"/>
        <v>-189.16337674054185</v>
      </c>
    </row>
    <row r="66" spans="1:9" x14ac:dyDescent="0.45">
      <c r="A66" s="4">
        <v>45047</v>
      </c>
      <c r="B66" s="5">
        <v>20840.8</v>
      </c>
      <c r="C66" s="1">
        <v>68.19999999999709</v>
      </c>
      <c r="D66" s="20">
        <f t="shared" si="7"/>
        <v>85.289832952437962</v>
      </c>
      <c r="E66" s="1">
        <v>1962.3</v>
      </c>
      <c r="F66" s="1">
        <v>-27.350000000000136</v>
      </c>
      <c r="G66" s="20">
        <f t="shared" si="6"/>
        <v>12.554163324729359</v>
      </c>
      <c r="H66">
        <f t="shared" si="0"/>
        <v>58.713322246147357</v>
      </c>
      <c r="I66">
        <f t="shared" si="1"/>
        <v>8.8262183427271825</v>
      </c>
    </row>
    <row r="67" spans="1:9" x14ac:dyDescent="0.45">
      <c r="A67" s="4">
        <v>45078</v>
      </c>
      <c r="B67" s="5">
        <v>20823.8</v>
      </c>
      <c r="C67" s="1">
        <v>-30.19999999999709</v>
      </c>
      <c r="D67" s="20">
        <f t="shared" si="7"/>
        <v>-117.6951041242198</v>
      </c>
      <c r="E67" s="1">
        <v>1919.57</v>
      </c>
      <c r="F67" s="1">
        <v>-42.730000000000018</v>
      </c>
      <c r="G67" s="20">
        <f t="shared" si="6"/>
        <v>42.963569620394594</v>
      </c>
      <c r="H67">
        <f t="shared" si="0"/>
        <v>-144.2716148305104</v>
      </c>
      <c r="I67">
        <f t="shared" si="1"/>
        <v>39.235624638392416</v>
      </c>
    </row>
    <row r="68" spans="1:9" x14ac:dyDescent="0.45">
      <c r="A68" s="4">
        <v>45108</v>
      </c>
      <c r="B68" s="5">
        <v>20815.5</v>
      </c>
      <c r="C68" s="1">
        <v>-8</v>
      </c>
      <c r="D68" s="20">
        <f t="shared" si="7"/>
        <v>101.623970782242</v>
      </c>
      <c r="E68" s="1">
        <v>1964.19</v>
      </c>
      <c r="F68" s="1">
        <v>44.620000000000118</v>
      </c>
      <c r="G68" s="20">
        <f t="shared" si="6"/>
        <v>-49.102631315141124</v>
      </c>
      <c r="H68">
        <f t="shared" ref="H68:H81" si="8">D68-$D$82</f>
        <v>75.047460075951392</v>
      </c>
      <c r="I68">
        <f t="shared" ref="I68:I81" si="9">G68-$G$82</f>
        <v>-52.830576297143303</v>
      </c>
    </row>
    <row r="69" spans="1:9" x14ac:dyDescent="0.45">
      <c r="A69" s="4">
        <v>45139</v>
      </c>
      <c r="B69" s="5">
        <v>20792.5</v>
      </c>
      <c r="C69" s="1">
        <v>-13.900000000001455</v>
      </c>
      <c r="D69" s="20">
        <f t="shared" si="7"/>
        <v>-89.15038828111598</v>
      </c>
      <c r="E69" s="1">
        <v>1939.74</v>
      </c>
      <c r="F69" s="1">
        <v>-24.450000000000045</v>
      </c>
      <c r="G69" s="20">
        <f t="shared" si="6"/>
        <v>64.355884994200892</v>
      </c>
      <c r="H69">
        <f t="shared" si="8"/>
        <v>-115.72689898740659</v>
      </c>
      <c r="I69">
        <f t="shared" si="9"/>
        <v>60.627940012198714</v>
      </c>
    </row>
    <row r="70" spans="1:9" x14ac:dyDescent="0.45">
      <c r="A70" s="4">
        <v>45170</v>
      </c>
      <c r="B70" s="5">
        <v>20771.8</v>
      </c>
      <c r="C70" s="1">
        <v>-29.700000000000728</v>
      </c>
      <c r="D70" s="20">
        <f t="shared" si="7"/>
        <v>36.896460237988791</v>
      </c>
      <c r="E70" s="1">
        <v>1848.31</v>
      </c>
      <c r="F70" s="1">
        <v>-91.430000000000064</v>
      </c>
      <c r="G70" s="20">
        <f t="shared" ref="G70:G81" si="10">F70+0.48732*F69-0.38935*F68-0.133*F67-1.64586*G69-0.79204*G68</f>
        <v>-182.06420976971123</v>
      </c>
      <c r="H70">
        <f t="shared" si="8"/>
        <v>10.319949531698182</v>
      </c>
      <c r="I70">
        <f t="shared" si="9"/>
        <v>-185.79215475171341</v>
      </c>
    </row>
    <row r="71" spans="1:9" x14ac:dyDescent="0.45">
      <c r="A71" s="4">
        <v>45200</v>
      </c>
      <c r="B71" s="5">
        <v>20737.099999999999</v>
      </c>
      <c r="C71" s="1">
        <v>-14.899999999997817</v>
      </c>
      <c r="D71" s="20">
        <f t="shared" ref="D71:D81" si="11">C71+0.48732*C70-0.38935*C69-0.133*C68-1.64586*D70-0.79204*D69</f>
        <v>-13.013173513118744</v>
      </c>
      <c r="E71" s="1">
        <v>1982.7</v>
      </c>
      <c r="F71" s="1">
        <v>134.3900000000001</v>
      </c>
      <c r="G71" s="20">
        <f t="shared" si="10"/>
        <v>342.09924504077014</v>
      </c>
      <c r="H71">
        <f t="shared" si="8"/>
        <v>-39.589684219409349</v>
      </c>
      <c r="I71">
        <f t="shared" si="9"/>
        <v>338.37130005876799</v>
      </c>
    </row>
    <row r="72" spans="1:9" x14ac:dyDescent="0.45">
      <c r="A72" s="4">
        <v>45231</v>
      </c>
      <c r="B72" s="5">
        <v>20743.400000000001</v>
      </c>
      <c r="C72" s="1">
        <v>13.5</v>
      </c>
      <c r="D72" s="20">
        <f t="shared" si="11"/>
        <v>11.845716391406516</v>
      </c>
      <c r="E72" s="1">
        <v>2035.75</v>
      </c>
      <c r="F72" s="1">
        <v>53.049999999999955</v>
      </c>
      <c r="G72" s="20">
        <f t="shared" si="10"/>
        <v>-261.45427143679979</v>
      </c>
      <c r="H72">
        <f t="shared" si="8"/>
        <v>-14.730794314884093</v>
      </c>
      <c r="I72">
        <f t="shared" si="9"/>
        <v>-265.18221641880194</v>
      </c>
    </row>
    <row r="73" spans="1:9" x14ac:dyDescent="0.45">
      <c r="A73" s="4">
        <v>45261</v>
      </c>
      <c r="B73" s="5">
        <v>20745.099999999999</v>
      </c>
      <c r="C73" s="1">
        <v>31.399999999997817</v>
      </c>
      <c r="D73" s="20">
        <f t="shared" si="11"/>
        <v>38.540798169367307</v>
      </c>
      <c r="E73" s="1">
        <v>2062.59</v>
      </c>
      <c r="F73" s="1">
        <v>26.840000000000146</v>
      </c>
      <c r="G73" s="20">
        <f t="shared" si="10"/>
        <v>171.88861064487986</v>
      </c>
      <c r="H73">
        <f t="shared" si="8"/>
        <v>11.964287463076698</v>
      </c>
      <c r="I73">
        <f t="shared" si="9"/>
        <v>168.16066566287768</v>
      </c>
    </row>
    <row r="74" spans="1:9" x14ac:dyDescent="0.45">
      <c r="A74" s="4">
        <v>45292</v>
      </c>
      <c r="B74" s="5">
        <v>20815.3</v>
      </c>
      <c r="C74" s="1">
        <v>65.900000000001455</v>
      </c>
      <c r="D74" s="20">
        <f t="shared" si="11"/>
        <v>5.112283714315609</v>
      </c>
      <c r="E74" s="1">
        <v>2037.19</v>
      </c>
      <c r="F74" s="1">
        <v>-25.400000000000091</v>
      </c>
      <c r="G74" s="20">
        <f t="shared" si="10"/>
        <v>-126.67156626717912</v>
      </c>
      <c r="H74">
        <f t="shared" si="8"/>
        <v>-21.464226991975</v>
      </c>
      <c r="I74">
        <f t="shared" si="9"/>
        <v>-130.3995112491813</v>
      </c>
    </row>
    <row r="75" spans="1:9" x14ac:dyDescent="0.45">
      <c r="A75" s="4">
        <v>45323</v>
      </c>
      <c r="B75" s="5">
        <v>20903</v>
      </c>
      <c r="C75" s="1">
        <v>83.200000000000728</v>
      </c>
      <c r="D75" s="20">
        <f t="shared" si="11"/>
        <v>62.353340943893116</v>
      </c>
      <c r="E75" s="1">
        <v>2043.24</v>
      </c>
      <c r="F75" s="1">
        <v>6.0499999999999545</v>
      </c>
      <c r="G75" s="20">
        <f t="shared" si="10"/>
        <v>48.507276881328664</v>
      </c>
      <c r="H75">
        <f t="shared" si="8"/>
        <v>35.77683023760251</v>
      </c>
      <c r="I75">
        <f t="shared" si="9"/>
        <v>44.779331899326486</v>
      </c>
    </row>
    <row r="76" spans="1:9" x14ac:dyDescent="0.45">
      <c r="A76" s="4">
        <v>45352</v>
      </c>
      <c r="B76" s="5">
        <v>20943.8</v>
      </c>
      <c r="C76" s="1">
        <v>46.299999999999272</v>
      </c>
      <c r="D76" s="20">
        <f t="shared" si="11"/>
        <v>-49.663343919003111</v>
      </c>
      <c r="E76" s="1">
        <v>2232.38</v>
      </c>
      <c r="F76" s="1">
        <v>189.1400000000001</v>
      </c>
      <c r="G76" s="20">
        <f t="shared" si="10"/>
        <v>218.90081661835302</v>
      </c>
      <c r="H76">
        <f t="shared" si="8"/>
        <v>-76.239854625293717</v>
      </c>
      <c r="I76">
        <f t="shared" si="9"/>
        <v>215.17287163635083</v>
      </c>
    </row>
    <row r="77" spans="1:9" x14ac:dyDescent="0.45">
      <c r="A77" s="4">
        <v>45383</v>
      </c>
      <c r="B77" s="5">
        <v>20969.900000000001</v>
      </c>
      <c r="C77" s="1">
        <v>-14.400000000001455</v>
      </c>
      <c r="D77" s="20">
        <f t="shared" si="11"/>
        <v>-0.64313293867292742</v>
      </c>
      <c r="E77" s="1">
        <v>2285.5700000000002</v>
      </c>
      <c r="F77" s="1">
        <v>53.190000000000055</v>
      </c>
      <c r="G77" s="20">
        <f t="shared" si="10"/>
        <v>-252.31546432056996</v>
      </c>
      <c r="H77">
        <f t="shared" si="8"/>
        <v>-27.219643644963536</v>
      </c>
      <c r="I77">
        <f t="shared" si="9"/>
        <v>-256.04340930257212</v>
      </c>
    </row>
    <row r="78" spans="1:9" x14ac:dyDescent="0.45">
      <c r="A78" s="4">
        <v>45413</v>
      </c>
      <c r="B78" s="5">
        <v>21032</v>
      </c>
      <c r="C78" s="1">
        <v>61.100000000002183</v>
      </c>
      <c r="D78" s="20">
        <f t="shared" si="11"/>
        <v>65.38394869605311</v>
      </c>
      <c r="E78" s="1">
        <v>2326.9699999999998</v>
      </c>
      <c r="F78" s="1">
        <v>41.399999999999636</v>
      </c>
      <c r="G78" s="20">
        <f t="shared" si="10"/>
        <v>234.77196911225261</v>
      </c>
      <c r="H78">
        <f t="shared" si="8"/>
        <v>38.807437989762505</v>
      </c>
      <c r="I78">
        <f t="shared" si="9"/>
        <v>231.04402413025042</v>
      </c>
    </row>
    <row r="79" spans="1:9" x14ac:dyDescent="0.45">
      <c r="A79" s="4">
        <v>45444</v>
      </c>
      <c r="B79" s="5">
        <v>21094.6</v>
      </c>
      <c r="C79" s="1">
        <v>47.799999999999272</v>
      </c>
      <c r="D79" s="20">
        <f t="shared" si="11"/>
        <v>-30.07944678813848</v>
      </c>
      <c r="E79" s="1">
        <v>2325.71</v>
      </c>
      <c r="F79" s="1">
        <v>-1.2599999999997635</v>
      </c>
      <c r="G79" s="20">
        <f t="shared" si="10"/>
        <v>-213.50795122262787</v>
      </c>
      <c r="H79">
        <f t="shared" si="8"/>
        <v>-56.655957494429089</v>
      </c>
      <c r="I79">
        <f t="shared" si="9"/>
        <v>-217.23589620463005</v>
      </c>
    </row>
    <row r="80" spans="1:9" x14ac:dyDescent="0.45">
      <c r="A80" s="4">
        <v>45474</v>
      </c>
      <c r="B80" s="5">
        <v>21122.6</v>
      </c>
      <c r="C80" s="1">
        <v>26.700000000000728</v>
      </c>
      <c r="D80" s="20">
        <f t="shared" si="11"/>
        <v>25.839666565503421</v>
      </c>
      <c r="E80" s="1">
        <v>2448.1</v>
      </c>
      <c r="F80" s="1">
        <v>122.38999999999987</v>
      </c>
      <c r="G80" s="20">
        <f t="shared" si="10"/>
        <v>264.03802298360586</v>
      </c>
      <c r="H80">
        <f t="shared" si="8"/>
        <v>-0.73684414078718774</v>
      </c>
      <c r="I80">
        <f t="shared" si="9"/>
        <v>260.3100780016037</v>
      </c>
    </row>
    <row r="81" spans="1:9" x14ac:dyDescent="0.45">
      <c r="A81" s="6">
        <v>45505</v>
      </c>
      <c r="B81" s="7">
        <v>21204.7</v>
      </c>
      <c r="C81" s="1">
        <v>91.399999999997817</v>
      </c>
      <c r="D81" s="20">
        <f t="shared" si="11"/>
        <v>58.969865420575914</v>
      </c>
      <c r="E81" s="1">
        <v>2503.0300000000002</v>
      </c>
      <c r="F81" s="1">
        <v>54.930000000000291</v>
      </c>
      <c r="G81" s="20">
        <f t="shared" si="10"/>
        <v>-155.90530702142718</v>
      </c>
      <c r="H81">
        <f t="shared" si="8"/>
        <v>32.393354714285309</v>
      </c>
      <c r="I81">
        <f t="shared" si="9"/>
        <v>-159.63325200342936</v>
      </c>
    </row>
    <row r="82" spans="1:9" x14ac:dyDescent="0.45">
      <c r="A82" s="8"/>
      <c r="B82" s="9"/>
      <c r="D82">
        <f>AVERAGE(D3:D81)</f>
        <v>26.576510706290609</v>
      </c>
      <c r="E82" s="9"/>
      <c r="G82">
        <f>AVERAGE(G3:G81)</f>
        <v>3.7279449820021768</v>
      </c>
    </row>
    <row r="83" spans="1:9" x14ac:dyDescent="0.45">
      <c r="A83" s="10"/>
      <c r="B83" s="11"/>
      <c r="E83" s="11"/>
    </row>
    <row r="84" spans="1:9" x14ac:dyDescent="0.45">
      <c r="A84" s="10"/>
      <c r="B84" s="11"/>
      <c r="E84" s="11"/>
    </row>
    <row r="85" spans="1:9" x14ac:dyDescent="0.45">
      <c r="A85" s="10"/>
      <c r="B85" s="11"/>
      <c r="E85" s="11"/>
    </row>
    <row r="86" spans="1:9" x14ac:dyDescent="0.45">
      <c r="A86" s="10"/>
      <c r="B86" s="11"/>
      <c r="E86" s="11"/>
    </row>
    <row r="87" spans="1:9" x14ac:dyDescent="0.45">
      <c r="A87" s="10"/>
      <c r="B87" s="11"/>
      <c r="E87" s="11"/>
    </row>
    <row r="88" spans="1:9" x14ac:dyDescent="0.45">
      <c r="A88" s="10"/>
      <c r="B88" s="11"/>
      <c r="E88" s="11"/>
    </row>
    <row r="89" spans="1:9" x14ac:dyDescent="0.45">
      <c r="A89" s="10"/>
      <c r="B89" s="11"/>
      <c r="E89" s="11"/>
    </row>
    <row r="90" spans="1:9" x14ac:dyDescent="0.45">
      <c r="A90" s="10"/>
      <c r="B90" s="11"/>
      <c r="E90" s="11"/>
    </row>
    <row r="91" spans="1:9" x14ac:dyDescent="0.45">
      <c r="A91" s="10"/>
      <c r="B91" s="11"/>
      <c r="E91" s="11"/>
    </row>
    <row r="92" spans="1:9" x14ac:dyDescent="0.45">
      <c r="A92" s="10"/>
      <c r="B92" s="11"/>
      <c r="E92" s="11"/>
    </row>
    <row r="93" spans="1:9" x14ac:dyDescent="0.45">
      <c r="A93" s="10"/>
      <c r="B93" s="11"/>
      <c r="E93" s="11"/>
    </row>
    <row r="94" spans="1:9" x14ac:dyDescent="0.45">
      <c r="A94" s="10"/>
      <c r="B94" s="11"/>
      <c r="E94" s="11"/>
    </row>
    <row r="95" spans="1:9" x14ac:dyDescent="0.45">
      <c r="A95" s="10"/>
      <c r="B95" s="11"/>
      <c r="E95" s="11"/>
    </row>
    <row r="96" spans="1:9" x14ac:dyDescent="0.45">
      <c r="A96" s="10"/>
      <c r="B96" s="11"/>
      <c r="E96" s="11"/>
    </row>
    <row r="97" spans="1:5" x14ac:dyDescent="0.45">
      <c r="A97" s="10"/>
      <c r="B97" s="11"/>
      <c r="E97" s="11"/>
    </row>
    <row r="98" spans="1:5" x14ac:dyDescent="0.45">
      <c r="A98" s="10"/>
      <c r="B98" s="11"/>
      <c r="E98" s="11"/>
    </row>
    <row r="99" spans="1:5" x14ac:dyDescent="0.45">
      <c r="A99" s="10"/>
      <c r="B99" s="12"/>
      <c r="E99" s="1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8014-3D29-4FA3-A272-BA50AF66E5B8}">
  <dimension ref="A1:J82"/>
  <sheetViews>
    <sheetView topLeftCell="A78" workbookViewId="0">
      <selection activeCell="H1" sqref="H1:H1048576"/>
    </sheetView>
  </sheetViews>
  <sheetFormatPr defaultRowHeight="14.25" x14ac:dyDescent="0.45"/>
  <sheetData>
    <row r="1" spans="1:10" x14ac:dyDescent="0.45">
      <c r="A1" s="46" t="s">
        <v>12</v>
      </c>
      <c r="B1" s="46" t="s">
        <v>13</v>
      </c>
      <c r="C1" s="45" t="s">
        <v>15</v>
      </c>
      <c r="F1" s="72" t="s">
        <v>12</v>
      </c>
      <c r="G1" s="72" t="s">
        <v>13</v>
      </c>
      <c r="H1" s="73" t="s">
        <v>15</v>
      </c>
      <c r="J1" s="1"/>
    </row>
    <row r="2" spans="1:10" x14ac:dyDescent="0.45">
      <c r="A2" s="53">
        <v>2823.81</v>
      </c>
      <c r="B2" s="53"/>
      <c r="C2" s="16"/>
      <c r="F2" s="54">
        <v>2823.81</v>
      </c>
      <c r="G2" s="54"/>
      <c r="H2" s="55"/>
      <c r="J2" s="1"/>
    </row>
    <row r="3" spans="1:10" x14ac:dyDescent="0.45">
      <c r="A3" s="53">
        <v>2713.83</v>
      </c>
      <c r="B3" s="53">
        <v>-109.98000000000002</v>
      </c>
      <c r="C3" s="16">
        <v>0</v>
      </c>
      <c r="F3" s="54">
        <v>2713.83</v>
      </c>
      <c r="G3" s="54">
        <v>-109.98000000000002</v>
      </c>
      <c r="H3" s="55">
        <v>0</v>
      </c>
      <c r="J3" s="1"/>
    </row>
    <row r="4" spans="1:10" x14ac:dyDescent="0.45">
      <c r="A4" s="53">
        <v>2640.87</v>
      </c>
      <c r="B4" s="53">
        <v>-72.960000000000036</v>
      </c>
      <c r="C4" s="16">
        <v>0</v>
      </c>
      <c r="F4" s="54">
        <v>2640.87</v>
      </c>
      <c r="G4" s="54">
        <v>-72.960000000000036</v>
      </c>
      <c r="H4" s="55">
        <v>0</v>
      </c>
      <c r="J4" s="1"/>
    </row>
    <row r="5" spans="1:10" x14ac:dyDescent="0.45">
      <c r="A5" s="53">
        <v>2648.05</v>
      </c>
      <c r="B5" s="53">
        <v>7.180000000000291</v>
      </c>
      <c r="C5" s="16">
        <v>0</v>
      </c>
      <c r="F5" s="54">
        <v>2648.05</v>
      </c>
      <c r="G5" s="54">
        <v>7.180000000000291</v>
      </c>
      <c r="H5" s="55">
        <v>0</v>
      </c>
      <c r="J5" s="1"/>
    </row>
    <row r="6" spans="1:10" x14ac:dyDescent="0.45">
      <c r="A6" s="53">
        <v>2705.27</v>
      </c>
      <c r="B6" s="53">
        <v>57.2199999999998</v>
      </c>
      <c r="C6" s="16">
        <v>0</v>
      </c>
      <c r="F6" s="54">
        <v>2705.27</v>
      </c>
      <c r="G6" s="54">
        <v>57.2199999999998</v>
      </c>
      <c r="H6" s="55">
        <v>0</v>
      </c>
      <c r="J6" s="1"/>
    </row>
    <row r="7" spans="1:10" x14ac:dyDescent="0.45">
      <c r="A7" s="53">
        <v>2718.37</v>
      </c>
      <c r="B7" s="53">
        <v>13.099999999999909</v>
      </c>
      <c r="C7" s="16">
        <v>0</v>
      </c>
      <c r="F7" s="54">
        <v>2718.37</v>
      </c>
      <c r="G7" s="54">
        <v>13.099999999999909</v>
      </c>
      <c r="H7" s="55">
        <v>0</v>
      </c>
      <c r="J7" s="1"/>
    </row>
    <row r="8" spans="1:10" x14ac:dyDescent="0.45">
      <c r="A8" s="53">
        <v>2816.29</v>
      </c>
      <c r="B8" s="53">
        <v>97.920000000000073</v>
      </c>
      <c r="C8" s="16">
        <v>0</v>
      </c>
      <c r="F8" s="54">
        <v>2816.29</v>
      </c>
      <c r="G8" s="54">
        <v>97.920000000000073</v>
      </c>
      <c r="H8" s="55">
        <v>0</v>
      </c>
      <c r="J8" s="1"/>
    </row>
    <row r="9" spans="1:10" x14ac:dyDescent="0.45">
      <c r="A9" s="53">
        <v>2901.52</v>
      </c>
      <c r="B9" s="53">
        <v>85.230000000000018</v>
      </c>
      <c r="C9" s="16">
        <v>0</v>
      </c>
      <c r="F9" s="54">
        <v>2901.52</v>
      </c>
      <c r="G9" s="54">
        <v>85.230000000000018</v>
      </c>
      <c r="H9" s="55">
        <v>0</v>
      </c>
      <c r="J9" s="1"/>
    </row>
    <row r="10" spans="1:10" x14ac:dyDescent="0.45">
      <c r="A10" s="53">
        <v>2913.98</v>
      </c>
      <c r="B10" s="53">
        <v>12.460000000000036</v>
      </c>
      <c r="C10" s="16">
        <f>B10-0.31899*C3</f>
        <v>12.460000000000036</v>
      </c>
      <c r="F10" s="54">
        <v>2913.98</v>
      </c>
      <c r="G10" s="54">
        <v>12.460000000000036</v>
      </c>
      <c r="H10" s="55">
        <f>G10-0.31899*H3-37.5</f>
        <v>-25.039999999999964</v>
      </c>
      <c r="J10" s="1"/>
    </row>
    <row r="11" spans="1:10" x14ac:dyDescent="0.45">
      <c r="A11" s="53">
        <v>2711.74</v>
      </c>
      <c r="B11" s="53">
        <v>-202.24000000000024</v>
      </c>
      <c r="C11" s="16">
        <f t="shared" ref="C11:C74" si="0">B11-0.31899*C4</f>
        <v>-202.24000000000024</v>
      </c>
      <c r="F11" s="54">
        <v>2711.74</v>
      </c>
      <c r="G11" s="54">
        <v>-202.24000000000024</v>
      </c>
      <c r="H11" s="55">
        <f t="shared" ref="H11:H74" si="1">G11-0.31899*H4-37.5</f>
        <v>-239.74000000000024</v>
      </c>
      <c r="J11" s="1"/>
    </row>
    <row r="12" spans="1:10" x14ac:dyDescent="0.45">
      <c r="A12" s="53">
        <v>2760.17</v>
      </c>
      <c r="B12" s="53">
        <v>48.430000000000291</v>
      </c>
      <c r="C12" s="16">
        <f t="shared" si="0"/>
        <v>48.430000000000291</v>
      </c>
      <c r="F12" s="54">
        <v>2760.17</v>
      </c>
      <c r="G12" s="54">
        <v>48.430000000000291</v>
      </c>
      <c r="H12" s="55">
        <f t="shared" si="1"/>
        <v>10.930000000000291</v>
      </c>
      <c r="J12" s="1"/>
    </row>
    <row r="13" spans="1:10" x14ac:dyDescent="0.45">
      <c r="A13" s="53">
        <v>2506.85</v>
      </c>
      <c r="B13" s="53">
        <v>-253.32000000000016</v>
      </c>
      <c r="C13" s="16">
        <f t="shared" si="0"/>
        <v>-253.32000000000016</v>
      </c>
      <c r="F13" s="54">
        <v>2506.85</v>
      </c>
      <c r="G13" s="54">
        <v>-253.32000000000016</v>
      </c>
      <c r="H13" s="55">
        <f t="shared" si="1"/>
        <v>-290.82000000000016</v>
      </c>
      <c r="J13" s="1"/>
    </row>
    <row r="14" spans="1:10" x14ac:dyDescent="0.45">
      <c r="A14" s="53">
        <v>2704.1</v>
      </c>
      <c r="B14" s="53">
        <v>197.25</v>
      </c>
      <c r="C14" s="16">
        <f t="shared" si="0"/>
        <v>197.25</v>
      </c>
      <c r="F14" s="54">
        <v>2704.1</v>
      </c>
      <c r="G14" s="54">
        <v>197.25</v>
      </c>
      <c r="H14" s="55">
        <f t="shared" si="1"/>
        <v>159.75</v>
      </c>
      <c r="J14" s="1"/>
    </row>
    <row r="15" spans="1:10" x14ac:dyDescent="0.45">
      <c r="A15" s="53">
        <v>2784.49</v>
      </c>
      <c r="B15" s="53">
        <v>80.389999999999873</v>
      </c>
      <c r="C15" s="16">
        <f t="shared" si="0"/>
        <v>80.389999999999873</v>
      </c>
      <c r="F15" s="54">
        <v>2784.49</v>
      </c>
      <c r="G15" s="54">
        <v>80.389999999999873</v>
      </c>
      <c r="H15" s="55">
        <f t="shared" si="1"/>
        <v>42.889999999999873</v>
      </c>
      <c r="J15" s="1"/>
    </row>
    <row r="16" spans="1:10" x14ac:dyDescent="0.45">
      <c r="A16" s="53">
        <v>2834.4</v>
      </c>
      <c r="B16" s="53">
        <v>49.910000000000309</v>
      </c>
      <c r="C16" s="16">
        <f t="shared" si="0"/>
        <v>49.910000000000309</v>
      </c>
      <c r="F16" s="54">
        <v>2834.4</v>
      </c>
      <c r="G16" s="54">
        <v>49.910000000000309</v>
      </c>
      <c r="H16" s="55">
        <f t="shared" si="1"/>
        <v>12.410000000000309</v>
      </c>
      <c r="J16" s="1"/>
    </row>
    <row r="17" spans="1:10" x14ac:dyDescent="0.45">
      <c r="A17" s="53">
        <v>2945.83</v>
      </c>
      <c r="B17" s="53">
        <v>111.42999999999984</v>
      </c>
      <c r="C17" s="16">
        <f t="shared" si="0"/>
        <v>107.45538459999983</v>
      </c>
      <c r="F17" s="54">
        <v>2945.83</v>
      </c>
      <c r="G17" s="54">
        <v>111.42999999999984</v>
      </c>
      <c r="H17" s="55">
        <f t="shared" si="1"/>
        <v>81.917509599999818</v>
      </c>
      <c r="J17" s="1"/>
    </row>
    <row r="18" spans="1:10" x14ac:dyDescent="0.45">
      <c r="A18" s="53">
        <v>2752.06</v>
      </c>
      <c r="B18" s="53">
        <v>-193.76999999999998</v>
      </c>
      <c r="C18" s="16">
        <f t="shared" si="0"/>
        <v>-129.25746239999989</v>
      </c>
      <c r="F18" s="54">
        <v>2752.06</v>
      </c>
      <c r="G18" s="54">
        <v>-193.76999999999998</v>
      </c>
      <c r="H18" s="55">
        <f t="shared" si="1"/>
        <v>-154.79533739999991</v>
      </c>
      <c r="J18" s="1"/>
    </row>
    <row r="19" spans="1:10" x14ac:dyDescent="0.45">
      <c r="A19" s="53">
        <v>2941.76</v>
      </c>
      <c r="B19" s="53">
        <v>189.70000000000027</v>
      </c>
      <c r="C19" s="16">
        <f t="shared" si="0"/>
        <v>174.25131430000019</v>
      </c>
      <c r="F19" s="54">
        <v>2941.76</v>
      </c>
      <c r="G19" s="54">
        <v>189.70000000000027</v>
      </c>
      <c r="H19" s="55">
        <f t="shared" si="1"/>
        <v>148.71343930000018</v>
      </c>
      <c r="J19" s="1"/>
    </row>
    <row r="20" spans="1:10" x14ac:dyDescent="0.45">
      <c r="A20" s="53">
        <v>2980.38</v>
      </c>
      <c r="B20" s="53">
        <v>38.619999999999891</v>
      </c>
      <c r="C20" s="16">
        <f t="shared" si="0"/>
        <v>119.42654679999994</v>
      </c>
      <c r="F20" s="54">
        <v>2980.38</v>
      </c>
      <c r="G20" s="54">
        <v>38.619999999999891</v>
      </c>
      <c r="H20" s="55">
        <f t="shared" si="1"/>
        <v>93.888671799999941</v>
      </c>
      <c r="J20" s="1"/>
    </row>
    <row r="21" spans="1:10" x14ac:dyDescent="0.45">
      <c r="A21" s="53">
        <v>2926.46</v>
      </c>
      <c r="B21" s="53">
        <v>-53.920000000000073</v>
      </c>
      <c r="C21" s="16">
        <f t="shared" si="0"/>
        <v>-116.84077750000007</v>
      </c>
      <c r="F21" s="54">
        <v>2926.46</v>
      </c>
      <c r="G21" s="54">
        <v>-53.920000000000073</v>
      </c>
      <c r="H21" s="55">
        <f t="shared" si="1"/>
        <v>-142.37865250000007</v>
      </c>
      <c r="J21" s="1"/>
    </row>
    <row r="22" spans="1:10" x14ac:dyDescent="0.45">
      <c r="A22" s="53">
        <v>2976.74</v>
      </c>
      <c r="B22" s="53">
        <v>50.279999999999745</v>
      </c>
      <c r="C22" s="16">
        <f t="shared" si="0"/>
        <v>24.636393899999785</v>
      </c>
      <c r="F22" s="54">
        <v>2976.74</v>
      </c>
      <c r="G22" s="54">
        <v>50.279999999999745</v>
      </c>
      <c r="H22" s="55">
        <f t="shared" si="1"/>
        <v>-0.9014811000002112</v>
      </c>
      <c r="J22" s="1"/>
    </row>
    <row r="23" spans="1:10" x14ac:dyDescent="0.45">
      <c r="A23" s="53">
        <v>3037.56</v>
      </c>
      <c r="B23" s="53">
        <v>60.820000000000164</v>
      </c>
      <c r="C23" s="16">
        <f t="shared" si="0"/>
        <v>44.899209100000064</v>
      </c>
      <c r="F23" s="54">
        <v>3037.56</v>
      </c>
      <c r="G23" s="54">
        <v>60.820000000000164</v>
      </c>
      <c r="H23" s="55">
        <f t="shared" si="1"/>
        <v>19.361334100000064</v>
      </c>
      <c r="J23" s="1"/>
    </row>
    <row r="24" spans="1:10" x14ac:dyDescent="0.45">
      <c r="A24" s="53">
        <v>3140.98</v>
      </c>
      <c r="B24" s="53">
        <v>103.42000000000007</v>
      </c>
      <c r="C24" s="16">
        <f t="shared" si="0"/>
        <v>69.142806866446136</v>
      </c>
      <c r="F24" s="54">
        <v>3140.98</v>
      </c>
      <c r="G24" s="54">
        <v>103.42000000000007</v>
      </c>
      <c r="H24" s="55">
        <f t="shared" si="1"/>
        <v>39.789133612696133</v>
      </c>
      <c r="J24" s="1"/>
    </row>
    <row r="25" spans="1:10" x14ac:dyDescent="0.45">
      <c r="A25" s="53">
        <v>3230.78</v>
      </c>
      <c r="B25" s="53">
        <v>89.800000000000182</v>
      </c>
      <c r="C25" s="16">
        <f t="shared" si="0"/>
        <v>131.03183793097614</v>
      </c>
      <c r="F25" s="54">
        <v>3230.78</v>
      </c>
      <c r="G25" s="54">
        <v>89.800000000000182</v>
      </c>
      <c r="H25" s="55">
        <f t="shared" si="1"/>
        <v>101.67816467722616</v>
      </c>
      <c r="J25" s="1"/>
    </row>
    <row r="26" spans="1:10" x14ac:dyDescent="0.45">
      <c r="A26" s="53">
        <v>3225.52</v>
      </c>
      <c r="B26" s="53">
        <v>-5.2600000000002183</v>
      </c>
      <c r="C26" s="16">
        <f t="shared" si="0"/>
        <v>-60.844426748557275</v>
      </c>
      <c r="F26" s="54">
        <v>3225.52</v>
      </c>
      <c r="G26" s="54">
        <v>-5.2600000000002183</v>
      </c>
      <c r="H26" s="55">
        <f t="shared" si="1"/>
        <v>-90.198100002307271</v>
      </c>
      <c r="J26" s="1"/>
    </row>
    <row r="27" spans="1:10" x14ac:dyDescent="0.45">
      <c r="A27" s="53">
        <v>2954.22</v>
      </c>
      <c r="B27" s="53">
        <v>-271.30000000000018</v>
      </c>
      <c r="C27" s="16">
        <f t="shared" si="0"/>
        <v>-309.39587416373217</v>
      </c>
      <c r="F27" s="54">
        <v>2954.22</v>
      </c>
      <c r="G27" s="54">
        <v>-271.30000000000018</v>
      </c>
      <c r="H27" s="55">
        <f t="shared" si="1"/>
        <v>-338.74954741748218</v>
      </c>
      <c r="J27" s="1"/>
    </row>
    <row r="28" spans="1:10" x14ac:dyDescent="0.45">
      <c r="A28" s="53">
        <v>2584.59</v>
      </c>
      <c r="B28" s="53">
        <v>-369.62999999999965</v>
      </c>
      <c r="C28" s="16">
        <f t="shared" si="0"/>
        <v>-332.35896038527466</v>
      </c>
      <c r="F28" s="54">
        <v>2584.59</v>
      </c>
      <c r="G28" s="54">
        <v>-369.62999999999965</v>
      </c>
      <c r="H28" s="55">
        <f t="shared" si="1"/>
        <v>-361.7126336390246</v>
      </c>
      <c r="J28" s="1"/>
    </row>
    <row r="29" spans="1:10" x14ac:dyDescent="0.45">
      <c r="A29" s="53">
        <v>2912.43</v>
      </c>
      <c r="B29" s="53">
        <v>327.83999999999969</v>
      </c>
      <c r="C29" s="16">
        <f t="shared" si="0"/>
        <v>319.98123670983875</v>
      </c>
      <c r="F29" s="54">
        <v>2912.43</v>
      </c>
      <c r="G29" s="54">
        <v>327.83999999999969</v>
      </c>
      <c r="H29" s="55">
        <f t="shared" si="1"/>
        <v>290.62756345608875</v>
      </c>
      <c r="J29" s="1"/>
    </row>
    <row r="30" spans="1:10" x14ac:dyDescent="0.45">
      <c r="A30" s="53">
        <v>3044.31</v>
      </c>
      <c r="B30" s="53">
        <v>131.88000000000011</v>
      </c>
      <c r="C30" s="16">
        <f t="shared" si="0"/>
        <v>117.55760128919108</v>
      </c>
      <c r="F30" s="54">
        <v>3044.31</v>
      </c>
      <c r="G30" s="54">
        <v>131.88000000000011</v>
      </c>
      <c r="H30" s="55">
        <f t="shared" si="1"/>
        <v>88.203928035441095</v>
      </c>
      <c r="J30" s="1"/>
    </row>
    <row r="31" spans="1:10" x14ac:dyDescent="0.45">
      <c r="A31" s="53">
        <v>3100.29</v>
      </c>
      <c r="B31" s="53">
        <v>55.980000000000018</v>
      </c>
      <c r="C31" s="16">
        <f t="shared" si="0"/>
        <v>33.924136037672369</v>
      </c>
      <c r="F31" s="54">
        <v>3100.29</v>
      </c>
      <c r="G31" s="54">
        <v>55.980000000000018</v>
      </c>
      <c r="H31" s="55">
        <f t="shared" si="1"/>
        <v>5.7876642688860755</v>
      </c>
      <c r="J31" s="1"/>
    </row>
    <row r="32" spans="1:10" x14ac:dyDescent="0.45">
      <c r="A32" s="53">
        <v>3271.12</v>
      </c>
      <c r="B32" s="53">
        <v>170.82999999999993</v>
      </c>
      <c r="C32" s="16">
        <f t="shared" si="0"/>
        <v>129.03215401839785</v>
      </c>
      <c r="F32" s="54">
        <v>3271.12</v>
      </c>
      <c r="G32" s="54">
        <v>170.82999999999993</v>
      </c>
      <c r="H32" s="55">
        <f t="shared" si="1"/>
        <v>100.89568224961155</v>
      </c>
      <c r="J32" s="1"/>
    </row>
    <row r="33" spans="1:10" x14ac:dyDescent="0.45">
      <c r="A33" s="53">
        <v>3500.31</v>
      </c>
      <c r="B33" s="53">
        <v>229.19000000000005</v>
      </c>
      <c r="C33" s="16">
        <f t="shared" si="0"/>
        <v>248.59876368852235</v>
      </c>
      <c r="F33" s="54">
        <v>3500.31</v>
      </c>
      <c r="G33" s="54">
        <v>229.19000000000005</v>
      </c>
      <c r="H33" s="55">
        <f t="shared" si="1"/>
        <v>220.46229191973606</v>
      </c>
      <c r="J33" s="1"/>
    </row>
    <row r="34" spans="1:10" x14ac:dyDescent="0.45">
      <c r="A34" s="53">
        <v>3363</v>
      </c>
      <c r="B34" s="53">
        <v>-137.30999999999995</v>
      </c>
      <c r="C34" s="16">
        <f t="shared" si="0"/>
        <v>-38.615810100511027</v>
      </c>
      <c r="F34" s="54">
        <v>3363</v>
      </c>
      <c r="G34" s="54">
        <v>-137.30999999999995</v>
      </c>
      <c r="H34" s="55">
        <f t="shared" si="1"/>
        <v>-66.752281869297306</v>
      </c>
      <c r="J34" s="1"/>
    </row>
    <row r="35" spans="1:10" x14ac:dyDescent="0.45">
      <c r="A35" s="53">
        <v>3269.96</v>
      </c>
      <c r="B35" s="53">
        <v>-93.039999999999964</v>
      </c>
      <c r="C35" s="16">
        <f t="shared" si="0"/>
        <v>12.979184773298797</v>
      </c>
      <c r="F35" s="54">
        <v>3269.96</v>
      </c>
      <c r="G35" s="54">
        <v>-93.039999999999964</v>
      </c>
      <c r="H35" s="55">
        <f t="shared" si="1"/>
        <v>-15.15728699548751</v>
      </c>
      <c r="J35" s="1"/>
    </row>
    <row r="36" spans="1:10" x14ac:dyDescent="0.45">
      <c r="A36" s="53">
        <v>3621.63</v>
      </c>
      <c r="B36" s="53">
        <v>351.67000000000007</v>
      </c>
      <c r="C36" s="16">
        <f t="shared" si="0"/>
        <v>249.59918530192863</v>
      </c>
      <c r="F36" s="54">
        <v>3621.63</v>
      </c>
      <c r="G36" s="54">
        <v>351.67000000000007</v>
      </c>
      <c r="H36" s="55">
        <f t="shared" si="1"/>
        <v>221.46271353314233</v>
      </c>
      <c r="J36" s="1"/>
    </row>
    <row r="37" spans="1:10" x14ac:dyDescent="0.45">
      <c r="A37" s="53">
        <v>3756.07</v>
      </c>
      <c r="B37" s="53">
        <v>134.44000000000005</v>
      </c>
      <c r="C37" s="16">
        <f t="shared" si="0"/>
        <v>96.940300764760991</v>
      </c>
      <c r="F37" s="54">
        <v>3756.07</v>
      </c>
      <c r="G37" s="54">
        <v>134.44000000000005</v>
      </c>
      <c r="H37" s="55">
        <f t="shared" si="1"/>
        <v>68.803828995974698</v>
      </c>
      <c r="J37" s="1"/>
    </row>
    <row r="38" spans="1:10" x14ac:dyDescent="0.45">
      <c r="A38" s="53">
        <v>3714.24</v>
      </c>
      <c r="B38" s="53">
        <v>-41.830000000000382</v>
      </c>
      <c r="C38" s="16">
        <f t="shared" si="0"/>
        <v>-52.651460154657492</v>
      </c>
      <c r="F38" s="54">
        <v>3714.24</v>
      </c>
      <c r="G38" s="54">
        <v>-41.830000000000382</v>
      </c>
      <c r="H38" s="55">
        <f t="shared" si="1"/>
        <v>-81.176207025132356</v>
      </c>
      <c r="J38" s="1"/>
    </row>
    <row r="39" spans="1:10" x14ac:dyDescent="0.45">
      <c r="A39" s="53">
        <v>3811.15</v>
      </c>
      <c r="B39" s="53">
        <v>96.910000000000309</v>
      </c>
      <c r="C39" s="16">
        <f t="shared" si="0"/>
        <v>55.750033189671584</v>
      </c>
      <c r="F39" s="54">
        <v>3811.15</v>
      </c>
      <c r="G39" s="54">
        <v>96.910000000000309</v>
      </c>
      <c r="H39" s="55">
        <f t="shared" si="1"/>
        <v>27.225286319196726</v>
      </c>
      <c r="J39" s="1"/>
    </row>
    <row r="40" spans="1:10" x14ac:dyDescent="0.45">
      <c r="A40" s="53">
        <v>3972.89</v>
      </c>
      <c r="B40" s="53">
        <v>161.73999999999978</v>
      </c>
      <c r="C40" s="16">
        <f t="shared" si="0"/>
        <v>82.439480370998041</v>
      </c>
      <c r="F40" s="54">
        <v>3972.89</v>
      </c>
      <c r="G40" s="54">
        <v>161.73999999999978</v>
      </c>
      <c r="H40" s="55">
        <f t="shared" si="1"/>
        <v>53.914733500523184</v>
      </c>
      <c r="J40" s="1"/>
    </row>
    <row r="41" spans="1:10" x14ac:dyDescent="0.45">
      <c r="A41" s="53">
        <v>4181.17</v>
      </c>
      <c r="B41" s="53">
        <v>208.2800000000002</v>
      </c>
      <c r="C41" s="16">
        <f t="shared" si="0"/>
        <v>220.5980572639622</v>
      </c>
      <c r="F41" s="54">
        <v>4181.17</v>
      </c>
      <c r="G41" s="54">
        <v>208.2800000000002</v>
      </c>
      <c r="H41" s="55">
        <f t="shared" si="1"/>
        <v>192.07331039348736</v>
      </c>
      <c r="J41" s="1"/>
    </row>
    <row r="42" spans="1:10" x14ac:dyDescent="0.45">
      <c r="A42" s="53">
        <v>4204.1099999999997</v>
      </c>
      <c r="B42" s="53">
        <v>22.9399999999996</v>
      </c>
      <c r="C42" s="16">
        <f t="shared" si="0"/>
        <v>18.799769849165017</v>
      </c>
      <c r="F42" s="54">
        <v>4204.1099999999997</v>
      </c>
      <c r="G42" s="54">
        <v>22.9399999999996</v>
      </c>
      <c r="H42" s="55">
        <f t="shared" si="1"/>
        <v>-9.7249770213098401</v>
      </c>
      <c r="J42" s="1"/>
    </row>
    <row r="43" spans="1:10" x14ac:dyDescent="0.45">
      <c r="A43" s="53">
        <v>4297.5</v>
      </c>
      <c r="B43" s="53">
        <v>93.390000000000327</v>
      </c>
      <c r="C43" s="16">
        <f t="shared" si="0"/>
        <v>13.770355880538119</v>
      </c>
      <c r="F43" s="54">
        <v>4297.5</v>
      </c>
      <c r="G43" s="54">
        <v>93.390000000000327</v>
      </c>
      <c r="H43" s="55">
        <f t="shared" si="1"/>
        <v>-14.754390989936752</v>
      </c>
      <c r="J43" s="1"/>
    </row>
    <row r="44" spans="1:10" x14ac:dyDescent="0.45">
      <c r="A44" s="53">
        <v>4395.26</v>
      </c>
      <c r="B44" s="53">
        <v>97.760000000000218</v>
      </c>
      <c r="C44" s="16">
        <f t="shared" si="0"/>
        <v>66.837013459049103</v>
      </c>
      <c r="F44" s="54">
        <v>4395.26</v>
      </c>
      <c r="G44" s="54">
        <v>97.760000000000218</v>
      </c>
      <c r="H44" s="55">
        <f t="shared" si="1"/>
        <v>38.312266588574246</v>
      </c>
      <c r="J44" s="1"/>
    </row>
    <row r="45" spans="1:10" x14ac:dyDescent="0.45">
      <c r="A45" s="53">
        <v>4522.68</v>
      </c>
      <c r="B45" s="53">
        <v>127.42000000000007</v>
      </c>
      <c r="C45" s="16">
        <f t="shared" si="0"/>
        <v>144.21528927473426</v>
      </c>
      <c r="F45" s="54">
        <v>4522.68</v>
      </c>
      <c r="G45" s="54">
        <v>127.42000000000007</v>
      </c>
      <c r="H45" s="55">
        <f t="shared" si="1"/>
        <v>115.81439827894704</v>
      </c>
      <c r="J45" s="1"/>
    </row>
    <row r="46" spans="1:10" x14ac:dyDescent="0.45">
      <c r="A46" s="53">
        <v>4307.54</v>
      </c>
      <c r="B46" s="53">
        <v>-215.14000000000033</v>
      </c>
      <c r="C46" s="16">
        <f t="shared" si="0"/>
        <v>-232.92370308717366</v>
      </c>
      <c r="F46" s="54">
        <v>4307.54</v>
      </c>
      <c r="G46" s="54">
        <v>-215.14000000000033</v>
      </c>
      <c r="H46" s="55">
        <f t="shared" si="1"/>
        <v>-261.32459408296086</v>
      </c>
      <c r="J46" s="1"/>
    </row>
    <row r="47" spans="1:10" x14ac:dyDescent="0.45">
      <c r="A47" s="53">
        <v>4605.38</v>
      </c>
      <c r="B47" s="53">
        <v>297.84000000000015</v>
      </c>
      <c r="C47" s="16">
        <f t="shared" si="0"/>
        <v>271.54263015645546</v>
      </c>
      <c r="F47" s="54">
        <v>4605.38</v>
      </c>
      <c r="G47" s="54">
        <v>297.84000000000015</v>
      </c>
      <c r="H47" s="55">
        <f t="shared" si="1"/>
        <v>243.14173916066824</v>
      </c>
      <c r="J47" s="1"/>
    </row>
    <row r="48" spans="1:10" x14ac:dyDescent="0.45">
      <c r="A48" s="53">
        <v>4567</v>
      </c>
      <c r="B48" s="53">
        <v>-38.380000000000109</v>
      </c>
      <c r="C48" s="16">
        <f t="shared" si="0"/>
        <v>-108.74857428663141</v>
      </c>
      <c r="F48" s="54">
        <v>4567</v>
      </c>
      <c r="G48" s="54">
        <v>-38.380000000000109</v>
      </c>
      <c r="H48" s="55">
        <f t="shared" si="1"/>
        <v>-137.14946528241865</v>
      </c>
      <c r="J48" s="1"/>
    </row>
    <row r="49" spans="1:10" x14ac:dyDescent="0.45">
      <c r="A49" s="53">
        <v>4766.18</v>
      </c>
      <c r="B49" s="53">
        <v>199.18000000000029</v>
      </c>
      <c r="C49" s="16">
        <f t="shared" si="0"/>
        <v>193.18306141581513</v>
      </c>
      <c r="F49" s="54">
        <v>4766.18</v>
      </c>
      <c r="G49" s="54">
        <v>199.18000000000029</v>
      </c>
      <c r="H49" s="55">
        <f t="shared" si="1"/>
        <v>164.78217042002791</v>
      </c>
      <c r="J49" s="1"/>
    </row>
    <row r="50" spans="1:10" x14ac:dyDescent="0.45">
      <c r="A50" s="53">
        <v>4515.55</v>
      </c>
      <c r="B50" s="53">
        <v>-250.63000000000011</v>
      </c>
      <c r="C50" s="16">
        <f t="shared" si="0"/>
        <v>-255.02260582233296</v>
      </c>
      <c r="F50" s="54">
        <v>4515.55</v>
      </c>
      <c r="G50" s="54">
        <v>-250.63000000000011</v>
      </c>
      <c r="H50" s="55">
        <f t="shared" si="1"/>
        <v>-283.42349681812016</v>
      </c>
      <c r="J50" s="1"/>
    </row>
    <row r="51" spans="1:10" x14ac:dyDescent="0.45">
      <c r="A51" s="53">
        <v>4373.9399999999996</v>
      </c>
      <c r="B51" s="53">
        <v>-141.61000000000058</v>
      </c>
      <c r="C51" s="16">
        <f t="shared" si="0"/>
        <v>-162.93033892330266</v>
      </c>
      <c r="F51" s="54">
        <v>4373.9399999999996</v>
      </c>
      <c r="G51" s="54">
        <v>-141.61000000000058</v>
      </c>
      <c r="H51" s="55">
        <f t="shared" si="1"/>
        <v>-191.33122991908988</v>
      </c>
      <c r="J51" s="1"/>
    </row>
    <row r="52" spans="1:10" x14ac:dyDescent="0.45">
      <c r="A52" s="53">
        <v>4530.41</v>
      </c>
      <c r="B52" s="53">
        <v>156.47000000000025</v>
      </c>
      <c r="C52" s="16">
        <f t="shared" si="0"/>
        <v>110.46676487425277</v>
      </c>
      <c r="F52" s="54">
        <v>4530.41</v>
      </c>
      <c r="G52" s="54">
        <v>156.47000000000025</v>
      </c>
      <c r="H52" s="55">
        <f t="shared" si="1"/>
        <v>82.02636509299893</v>
      </c>
      <c r="J52" s="1"/>
    </row>
    <row r="53" spans="1:10" x14ac:dyDescent="0.45">
      <c r="A53" s="53">
        <v>4131.93</v>
      </c>
      <c r="B53" s="53">
        <v>-398.47999999999956</v>
      </c>
      <c r="C53" s="16">
        <f t="shared" si="0"/>
        <v>-324.17966795222202</v>
      </c>
      <c r="F53" s="54">
        <v>4131.93</v>
      </c>
      <c r="G53" s="54">
        <v>-398.47999999999956</v>
      </c>
      <c r="H53" s="55">
        <f t="shared" si="1"/>
        <v>-352.62006773347588</v>
      </c>
      <c r="J53" s="1"/>
    </row>
    <row r="54" spans="1:10" x14ac:dyDescent="0.45">
      <c r="A54" s="53">
        <v>4132.1499999999996</v>
      </c>
      <c r="B54" s="53">
        <v>0.21999999999934516</v>
      </c>
      <c r="C54" s="16">
        <f t="shared" si="0"/>
        <v>-86.399383593608377</v>
      </c>
      <c r="F54" s="54">
        <v>4132.1499999999996</v>
      </c>
      <c r="G54" s="54">
        <v>0.21999999999934516</v>
      </c>
      <c r="H54" s="55">
        <f t="shared" si="1"/>
        <v>-114.83978337486222</v>
      </c>
      <c r="J54" s="1"/>
    </row>
    <row r="55" spans="1:10" x14ac:dyDescent="0.45">
      <c r="A55" s="53">
        <v>3785.38</v>
      </c>
      <c r="B55" s="53">
        <v>-346.76999999999953</v>
      </c>
      <c r="C55" s="16">
        <f t="shared" si="0"/>
        <v>-312.08029228830696</v>
      </c>
      <c r="F55" s="54">
        <v>3785.38</v>
      </c>
      <c r="G55" s="54">
        <v>-346.76999999999953</v>
      </c>
      <c r="H55" s="55">
        <f t="shared" si="1"/>
        <v>-340.52069206956082</v>
      </c>
      <c r="J55" s="1"/>
    </row>
    <row r="56" spans="1:10" x14ac:dyDescent="0.45">
      <c r="A56" s="53">
        <v>4130.29</v>
      </c>
      <c r="B56" s="53">
        <v>344.90999999999985</v>
      </c>
      <c r="C56" s="16">
        <f t="shared" si="0"/>
        <v>283.28653523896901</v>
      </c>
      <c r="F56" s="54">
        <v>4130.29</v>
      </c>
      <c r="G56" s="54">
        <v>344.90999999999985</v>
      </c>
      <c r="H56" s="55">
        <f t="shared" si="1"/>
        <v>254.84613545771515</v>
      </c>
      <c r="J56" s="1"/>
    </row>
    <row r="57" spans="1:10" x14ac:dyDescent="0.45">
      <c r="A57" s="53">
        <v>3955</v>
      </c>
      <c r="B57" s="53">
        <v>-175.28999999999996</v>
      </c>
      <c r="C57" s="16">
        <f t="shared" si="0"/>
        <v>-93.940338968733968</v>
      </c>
      <c r="F57" s="54">
        <v>3955</v>
      </c>
      <c r="G57" s="54">
        <v>-175.28999999999996</v>
      </c>
      <c r="H57" s="55">
        <f t="shared" si="1"/>
        <v>-122.38073874998781</v>
      </c>
      <c r="J57" s="1"/>
    </row>
    <row r="58" spans="1:10" x14ac:dyDescent="0.45">
      <c r="A58" s="53">
        <v>3585.62</v>
      </c>
      <c r="B58" s="53">
        <v>-369.38000000000011</v>
      </c>
      <c r="C58" s="16">
        <f t="shared" si="0"/>
        <v>-317.40685118685582</v>
      </c>
      <c r="F58" s="54">
        <v>3585.62</v>
      </c>
      <c r="G58" s="54">
        <v>-369.38000000000011</v>
      </c>
      <c r="H58" s="55">
        <f t="shared" si="1"/>
        <v>-345.84725096810962</v>
      </c>
      <c r="J58" s="1"/>
    </row>
    <row r="59" spans="1:10" x14ac:dyDescent="0.45">
      <c r="A59" s="53">
        <v>3871.98</v>
      </c>
      <c r="B59" s="53">
        <v>286.36000000000013</v>
      </c>
      <c r="C59" s="16">
        <f t="shared" si="0"/>
        <v>251.12220667276222</v>
      </c>
      <c r="F59" s="54">
        <v>3871.98</v>
      </c>
      <c r="G59" s="54">
        <v>286.36000000000013</v>
      </c>
      <c r="H59" s="55">
        <f t="shared" si="1"/>
        <v>222.6944097989844</v>
      </c>
      <c r="J59" s="1"/>
    </row>
    <row r="60" spans="1:10" x14ac:dyDescent="0.45">
      <c r="A60" s="53">
        <v>4080.11</v>
      </c>
      <c r="B60" s="53">
        <v>208.13000000000011</v>
      </c>
      <c r="C60" s="16">
        <f t="shared" si="0"/>
        <v>311.54007228007941</v>
      </c>
      <c r="F60" s="54">
        <v>4080.11</v>
      </c>
      <c r="G60" s="54">
        <v>208.13000000000011</v>
      </c>
      <c r="H60" s="55">
        <f t="shared" si="1"/>
        <v>283.11227540630159</v>
      </c>
      <c r="J60" s="1"/>
    </row>
    <row r="61" spans="1:10" x14ac:dyDescent="0.45">
      <c r="A61" s="53">
        <v>3839.5</v>
      </c>
      <c r="B61" s="53">
        <v>-240.61000000000013</v>
      </c>
      <c r="C61" s="16">
        <f t="shared" si="0"/>
        <v>-213.04946062747499</v>
      </c>
      <c r="F61" s="54">
        <v>3839.5</v>
      </c>
      <c r="G61" s="54">
        <v>-240.61000000000013</v>
      </c>
      <c r="H61" s="55">
        <f t="shared" si="1"/>
        <v>-241.47725750125284</v>
      </c>
      <c r="J61" s="1"/>
    </row>
    <row r="62" spans="1:10" x14ac:dyDescent="0.45">
      <c r="A62" s="53">
        <v>4076.6</v>
      </c>
      <c r="B62" s="53">
        <v>237.09999999999991</v>
      </c>
      <c r="C62" s="16">
        <f t="shared" si="0"/>
        <v>336.65049243704698</v>
      </c>
      <c r="F62" s="54">
        <v>4076.6</v>
      </c>
      <c r="G62" s="54">
        <v>237.09999999999991</v>
      </c>
      <c r="H62" s="55">
        <f t="shared" si="1"/>
        <v>308.2226955632691</v>
      </c>
      <c r="J62" s="1"/>
    </row>
    <row r="63" spans="1:10" x14ac:dyDescent="0.45">
      <c r="A63" s="53">
        <v>3970.15</v>
      </c>
      <c r="B63" s="53">
        <v>-106.44999999999982</v>
      </c>
      <c r="C63" s="16">
        <f t="shared" si="0"/>
        <v>-196.81557187587856</v>
      </c>
      <c r="F63" s="54">
        <v>3970.15</v>
      </c>
      <c r="G63" s="54">
        <v>-106.44999999999982</v>
      </c>
      <c r="H63" s="55">
        <f t="shared" si="1"/>
        <v>-225.24336874965638</v>
      </c>
      <c r="J63" s="1"/>
    </row>
    <row r="64" spans="1:10" x14ac:dyDescent="0.45">
      <c r="A64" s="53">
        <v>4109.3100000000004</v>
      </c>
      <c r="B64" s="53">
        <v>139.16000000000031</v>
      </c>
      <c r="C64" s="16">
        <f t="shared" si="0"/>
        <v>169.12602872763676</v>
      </c>
      <c r="F64" s="54">
        <v>4109.3100000000004</v>
      </c>
      <c r="G64" s="54">
        <v>139.16000000000031</v>
      </c>
      <c r="H64" s="55">
        <f t="shared" si="1"/>
        <v>140.69823185385891</v>
      </c>
      <c r="J64" s="1"/>
    </row>
    <row r="65" spans="1:10" x14ac:dyDescent="0.45">
      <c r="A65" s="53">
        <v>4169.4799999999996</v>
      </c>
      <c r="B65" s="53">
        <v>60.169999999999163</v>
      </c>
      <c r="C65" s="16">
        <f t="shared" si="0"/>
        <v>161.4196114600943</v>
      </c>
      <c r="F65" s="54">
        <v>4169.4799999999996</v>
      </c>
      <c r="G65" s="54">
        <v>60.169999999999163</v>
      </c>
      <c r="H65" s="55">
        <f t="shared" si="1"/>
        <v>132.99181458631645</v>
      </c>
      <c r="J65" s="1"/>
    </row>
    <row r="66" spans="1:10" x14ac:dyDescent="0.45">
      <c r="A66" s="53">
        <v>4179.83</v>
      </c>
      <c r="B66" s="53">
        <v>10.350000000000364</v>
      </c>
      <c r="C66" s="16">
        <f t="shared" si="0"/>
        <v>-69.755472706544055</v>
      </c>
      <c r="F66" s="54">
        <v>4179.83</v>
      </c>
      <c r="G66" s="54">
        <v>10.350000000000364</v>
      </c>
      <c r="H66" s="55">
        <f t="shared" si="1"/>
        <v>-98.187289781777665</v>
      </c>
      <c r="J66" s="1"/>
    </row>
    <row r="67" spans="1:10" x14ac:dyDescent="0.45">
      <c r="A67" s="53">
        <v>4450.38</v>
      </c>
      <c r="B67" s="53">
        <v>270.55000000000018</v>
      </c>
      <c r="C67" s="16">
        <f t="shared" si="0"/>
        <v>171.17183234337764</v>
      </c>
      <c r="F67" s="54">
        <v>4450.38</v>
      </c>
      <c r="G67" s="54">
        <v>270.55000000000018</v>
      </c>
      <c r="H67" s="55">
        <f t="shared" si="1"/>
        <v>142.74001526814402</v>
      </c>
      <c r="J67" s="1"/>
    </row>
    <row r="68" spans="1:10" x14ac:dyDescent="0.45">
      <c r="A68" s="53">
        <v>4588.96</v>
      </c>
      <c r="B68" s="53">
        <v>138.57999999999993</v>
      </c>
      <c r="C68" s="16">
        <f t="shared" si="0"/>
        <v>206.54064744555819</v>
      </c>
      <c r="F68" s="54">
        <v>4588.96</v>
      </c>
      <c r="G68" s="54">
        <v>138.57999999999993</v>
      </c>
      <c r="H68" s="55">
        <f t="shared" si="1"/>
        <v>178.10883037032457</v>
      </c>
      <c r="J68" s="1"/>
    </row>
    <row r="69" spans="1:10" x14ac:dyDescent="0.45">
      <c r="A69" s="53">
        <v>4507.66</v>
      </c>
      <c r="B69" s="53">
        <v>-81.300000000000182</v>
      </c>
      <c r="C69" s="16">
        <f t="shared" si="0"/>
        <v>-188.68814058249382</v>
      </c>
      <c r="F69" s="54">
        <v>4507.66</v>
      </c>
      <c r="G69" s="54">
        <v>-81.300000000000182</v>
      </c>
      <c r="H69" s="55">
        <f t="shared" si="1"/>
        <v>-217.11995765772741</v>
      </c>
      <c r="J69" s="1"/>
    </row>
    <row r="70" spans="1:10" x14ac:dyDescent="0.45">
      <c r="A70" s="53">
        <v>4288.05</v>
      </c>
      <c r="B70" s="53">
        <v>-219.60999999999967</v>
      </c>
      <c r="C70" s="16">
        <f t="shared" si="0"/>
        <v>-156.82780072731316</v>
      </c>
      <c r="F70" s="54">
        <v>4288.05</v>
      </c>
      <c r="G70" s="54">
        <v>-219.60999999999967</v>
      </c>
      <c r="H70" s="55">
        <f t="shared" si="1"/>
        <v>-185.25961780254679</v>
      </c>
      <c r="J70" s="1"/>
    </row>
    <row r="71" spans="1:10" x14ac:dyDescent="0.45">
      <c r="A71" s="53">
        <v>4193.8</v>
      </c>
      <c r="B71" s="53">
        <v>-94.25</v>
      </c>
      <c r="C71" s="16">
        <f t="shared" si="0"/>
        <v>-148.19951190382886</v>
      </c>
      <c r="F71" s="54">
        <v>4193.8</v>
      </c>
      <c r="G71" s="54">
        <v>-94.25</v>
      </c>
      <c r="H71" s="55">
        <f t="shared" si="1"/>
        <v>-176.63132897906246</v>
      </c>
      <c r="J71" s="1"/>
    </row>
    <row r="72" spans="1:10" x14ac:dyDescent="0.45">
      <c r="A72" s="53">
        <v>4567.8</v>
      </c>
      <c r="B72" s="53">
        <v>374</v>
      </c>
      <c r="C72" s="16">
        <f t="shared" si="0"/>
        <v>322.50875814034453</v>
      </c>
      <c r="F72" s="54">
        <v>4567.8</v>
      </c>
      <c r="G72" s="54">
        <v>374</v>
      </c>
      <c r="H72" s="55">
        <f t="shared" si="1"/>
        <v>294.07694106511093</v>
      </c>
      <c r="J72" s="1"/>
    </row>
    <row r="73" spans="1:10" x14ac:dyDescent="0.45">
      <c r="A73" s="53">
        <v>4769.83</v>
      </c>
      <c r="B73" s="53">
        <v>202.02999999999975</v>
      </c>
      <c r="C73" s="16">
        <f t="shared" si="0"/>
        <v>224.28129823866024</v>
      </c>
      <c r="F73" s="54">
        <v>4769.83</v>
      </c>
      <c r="G73" s="54">
        <v>202.02999999999975</v>
      </c>
      <c r="H73" s="55">
        <f t="shared" si="1"/>
        <v>195.850763567489</v>
      </c>
      <c r="J73" s="1"/>
    </row>
    <row r="74" spans="1:10" x14ac:dyDescent="0.45">
      <c r="A74" s="53">
        <v>4845.6499999999996</v>
      </c>
      <c r="B74" s="53">
        <v>75.819999999999709</v>
      </c>
      <c r="C74" s="16">
        <f t="shared" si="0"/>
        <v>21.217897200785671</v>
      </c>
      <c r="F74" s="54">
        <v>4845.6499999999996</v>
      </c>
      <c r="G74" s="54">
        <v>75.819999999999709</v>
      </c>
      <c r="H74" s="55">
        <f t="shared" si="1"/>
        <v>-7.2126374703855518</v>
      </c>
      <c r="J74" s="1"/>
    </row>
    <row r="75" spans="1:10" x14ac:dyDescent="0.45">
      <c r="A75" s="53">
        <v>5096.2700000000004</v>
      </c>
      <c r="B75" s="53">
        <v>250.6200000000008</v>
      </c>
      <c r="C75" s="16">
        <f t="shared" ref="C75:C81" si="2">B75-0.31899*C68</f>
        <v>184.73559887134218</v>
      </c>
      <c r="F75" s="54">
        <v>5096.2700000000004</v>
      </c>
      <c r="G75" s="54">
        <v>250.6200000000008</v>
      </c>
      <c r="H75" s="55">
        <f t="shared" ref="H75:H81" si="3">G75-0.31899*H68-37.5</f>
        <v>156.30506420017096</v>
      </c>
      <c r="J75" s="1"/>
    </row>
    <row r="76" spans="1:10" x14ac:dyDescent="0.45">
      <c r="A76" s="53">
        <v>5254.35</v>
      </c>
      <c r="B76" s="53">
        <v>158.07999999999993</v>
      </c>
      <c r="C76" s="16">
        <f t="shared" si="2"/>
        <v>218.26962996440963</v>
      </c>
      <c r="F76" s="54">
        <v>5254.35</v>
      </c>
      <c r="G76" s="54">
        <v>158.07999999999993</v>
      </c>
      <c r="H76" s="55">
        <f t="shared" si="3"/>
        <v>189.83909529323839</v>
      </c>
      <c r="J76" s="1"/>
    </row>
    <row r="77" spans="1:10" x14ac:dyDescent="0.45">
      <c r="A77" s="53">
        <v>5035.6899999999996</v>
      </c>
      <c r="B77" s="53">
        <v>-218.66000000000076</v>
      </c>
      <c r="C77" s="16">
        <f t="shared" si="2"/>
        <v>-168.63349984599515</v>
      </c>
      <c r="F77" s="54">
        <v>5035.6899999999996</v>
      </c>
      <c r="G77" s="54">
        <v>-218.66000000000076</v>
      </c>
      <c r="H77" s="55">
        <f t="shared" si="3"/>
        <v>-197.06403451716636</v>
      </c>
      <c r="J77" s="1"/>
    </row>
    <row r="78" spans="1:10" x14ac:dyDescent="0.45">
      <c r="A78" s="53">
        <v>5277.51</v>
      </c>
      <c r="B78" s="53">
        <v>241.82000000000062</v>
      </c>
      <c r="C78" s="16">
        <f t="shared" si="2"/>
        <v>289.09416230220302</v>
      </c>
      <c r="F78" s="54">
        <v>5277.51</v>
      </c>
      <c r="G78" s="54">
        <v>241.82000000000062</v>
      </c>
      <c r="H78" s="55">
        <f t="shared" si="3"/>
        <v>260.66362763103177</v>
      </c>
      <c r="J78" s="1"/>
    </row>
    <row r="79" spans="1:10" x14ac:dyDescent="0.45">
      <c r="A79" s="53">
        <v>5460.48</v>
      </c>
      <c r="B79" s="53">
        <v>182.96999999999935</v>
      </c>
      <c r="C79" s="16">
        <f t="shared" si="2"/>
        <v>80.092931240810842</v>
      </c>
      <c r="F79" s="54">
        <v>5460.48</v>
      </c>
      <c r="G79" s="54">
        <v>182.96999999999935</v>
      </c>
      <c r="H79" s="55">
        <f t="shared" si="3"/>
        <v>51.662396569639611</v>
      </c>
      <c r="J79" s="1"/>
    </row>
    <row r="80" spans="1:10" x14ac:dyDescent="0.45">
      <c r="A80" s="53">
        <v>5522.3</v>
      </c>
      <c r="B80" s="53">
        <v>61.820000000000618</v>
      </c>
      <c r="C80" s="16">
        <f t="shared" si="2"/>
        <v>-9.7234913251496096</v>
      </c>
      <c r="F80" s="54">
        <v>5522.3</v>
      </c>
      <c r="G80" s="54">
        <v>61.820000000000618</v>
      </c>
      <c r="H80" s="55">
        <f t="shared" si="3"/>
        <v>-38.154435070392694</v>
      </c>
      <c r="J80" s="1"/>
    </row>
    <row r="81" spans="1:10" x14ac:dyDescent="0.45">
      <c r="A81" s="53">
        <v>5648.4</v>
      </c>
      <c r="B81" s="53">
        <v>126.09999999999945</v>
      </c>
      <c r="C81" s="16">
        <f t="shared" si="2"/>
        <v>119.33170297192083</v>
      </c>
      <c r="F81" s="54">
        <v>5648.4</v>
      </c>
      <c r="G81" s="54">
        <v>126.09999999999945</v>
      </c>
      <c r="H81" s="55">
        <f t="shared" si="3"/>
        <v>90.900759226677735</v>
      </c>
      <c r="J81" s="1"/>
    </row>
    <row r="82" spans="1:10" x14ac:dyDescent="0.45">
      <c r="A82" s="1"/>
      <c r="B82">
        <f>AVERAGE(B3:B81)</f>
        <v>35.754303797468353</v>
      </c>
      <c r="C82">
        <f>AVERAGE(C2:C81)</f>
        <v>28.544790382216426</v>
      </c>
      <c r="F82" s="1"/>
      <c r="G82">
        <f>AVERAGE(G3:G81)</f>
        <v>35.754303797468353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E4D6-0558-4ED5-AE93-66A315C5E8F8}">
  <dimension ref="B1:I82"/>
  <sheetViews>
    <sheetView topLeftCell="C70" workbookViewId="0">
      <selection activeCell="I1" sqref="I1:I1048576"/>
    </sheetView>
  </sheetViews>
  <sheetFormatPr defaultRowHeight="14.25" x14ac:dyDescent="0.45"/>
  <sheetData>
    <row r="1" spans="2:9" x14ac:dyDescent="0.45">
      <c r="B1" s="46" t="s">
        <v>37</v>
      </c>
      <c r="C1" s="46" t="s">
        <v>2</v>
      </c>
      <c r="D1" s="45" t="s">
        <v>17</v>
      </c>
      <c r="G1" s="72" t="s">
        <v>37</v>
      </c>
      <c r="H1" s="72" t="s">
        <v>2</v>
      </c>
      <c r="I1" s="73" t="s">
        <v>17</v>
      </c>
    </row>
    <row r="2" spans="2:9" x14ac:dyDescent="0.45">
      <c r="B2" s="19">
        <v>2823.81</v>
      </c>
      <c r="C2" s="19"/>
      <c r="D2" s="20"/>
      <c r="G2" s="70">
        <v>2823.81</v>
      </c>
      <c r="H2" s="70"/>
      <c r="I2" s="71"/>
    </row>
    <row r="3" spans="2:9" x14ac:dyDescent="0.45">
      <c r="B3" s="19">
        <v>2713.83</v>
      </c>
      <c r="C3" s="19">
        <v>-27.039999999999964</v>
      </c>
      <c r="D3" s="20">
        <v>0</v>
      </c>
      <c r="G3" s="70">
        <v>2713.83</v>
      </c>
      <c r="H3" s="70">
        <v>-27.039999999999964</v>
      </c>
      <c r="I3" s="71">
        <v>0</v>
      </c>
    </row>
    <row r="4" spans="2:9" x14ac:dyDescent="0.45">
      <c r="B4" s="19">
        <v>2640.87</v>
      </c>
      <c r="C4" s="19">
        <v>6.3399999999999181</v>
      </c>
      <c r="D4" s="20">
        <v>0</v>
      </c>
      <c r="G4" s="70">
        <v>2640.87</v>
      </c>
      <c r="H4" s="70">
        <v>6.3399999999999181</v>
      </c>
      <c r="I4" s="71">
        <v>0</v>
      </c>
    </row>
    <row r="5" spans="2:9" x14ac:dyDescent="0.45">
      <c r="B5" s="19">
        <v>2648.05</v>
      </c>
      <c r="C5" s="19">
        <v>-9.0499999999999545</v>
      </c>
      <c r="D5" s="20">
        <v>0</v>
      </c>
      <c r="G5" s="70">
        <v>2648.05</v>
      </c>
      <c r="H5" s="70">
        <v>-9.0499999999999545</v>
      </c>
      <c r="I5" s="71">
        <v>0</v>
      </c>
    </row>
    <row r="6" spans="2:9" x14ac:dyDescent="0.45">
      <c r="B6" s="19">
        <v>2705.27</v>
      </c>
      <c r="C6" s="19">
        <v>-17.029999999999973</v>
      </c>
      <c r="D6" s="20">
        <v>0</v>
      </c>
      <c r="G6" s="70">
        <v>2705.27</v>
      </c>
      <c r="H6" s="70">
        <v>-17.029999999999973</v>
      </c>
      <c r="I6" s="71">
        <v>0</v>
      </c>
    </row>
    <row r="7" spans="2:9" x14ac:dyDescent="0.45">
      <c r="B7" s="19">
        <v>2718.37</v>
      </c>
      <c r="C7" s="19">
        <v>-45.670000000000073</v>
      </c>
      <c r="D7" s="20">
        <v>0</v>
      </c>
      <c r="G7" s="70">
        <v>2718.37</v>
      </c>
      <c r="H7" s="70">
        <v>-45.670000000000073</v>
      </c>
      <c r="I7" s="71">
        <v>0</v>
      </c>
    </row>
    <row r="8" spans="2:9" x14ac:dyDescent="0.45">
      <c r="B8" s="19">
        <v>2816.29</v>
      </c>
      <c r="C8" s="19">
        <v>-28.839999999999918</v>
      </c>
      <c r="D8" s="20">
        <v>0</v>
      </c>
      <c r="G8" s="70">
        <v>2816.29</v>
      </c>
      <c r="H8" s="70">
        <v>-28.839999999999918</v>
      </c>
      <c r="I8" s="71">
        <v>0</v>
      </c>
    </row>
    <row r="9" spans="2:9" x14ac:dyDescent="0.45">
      <c r="B9" s="19">
        <v>2901.52</v>
      </c>
      <c r="C9" s="19">
        <v>-22.700000000000045</v>
      </c>
      <c r="D9" s="20">
        <v>0</v>
      </c>
      <c r="G9" s="70">
        <v>2901.52</v>
      </c>
      <c r="H9" s="70">
        <v>-22.700000000000045</v>
      </c>
      <c r="I9" s="71">
        <v>0</v>
      </c>
    </row>
    <row r="10" spans="2:9" x14ac:dyDescent="0.45">
      <c r="B10" s="19">
        <v>2913.98</v>
      </c>
      <c r="C10" s="19">
        <v>-9.0199999999999818</v>
      </c>
      <c r="D10" s="20">
        <f>C10-0.31899*D3</f>
        <v>-9.0199999999999818</v>
      </c>
      <c r="G10" s="70">
        <v>2913.98</v>
      </c>
      <c r="H10" s="70">
        <v>-9.0199999999999818</v>
      </c>
      <c r="I10" s="71">
        <f>H10-0.31899*I3-37.5</f>
        <v>-46.519999999999982</v>
      </c>
    </row>
    <row r="11" spans="2:9" x14ac:dyDescent="0.45">
      <c r="B11" s="19">
        <v>2711.74</v>
      </c>
      <c r="C11" s="19">
        <v>22.450000000000045</v>
      </c>
      <c r="D11" s="20">
        <f t="shared" ref="D11:D74" si="0">C11-0.31899*D4</f>
        <v>22.450000000000045</v>
      </c>
      <c r="G11" s="70">
        <v>2711.74</v>
      </c>
      <c r="H11" s="70">
        <v>22.450000000000045</v>
      </c>
      <c r="I11" s="71">
        <f t="shared" ref="I11:I74" si="1">H11-0.31899*I4-37.5</f>
        <v>-15.049999999999955</v>
      </c>
    </row>
    <row r="12" spans="2:9" x14ac:dyDescent="0.45">
      <c r="B12" s="19">
        <v>2760.17</v>
      </c>
      <c r="C12" s="19">
        <v>7.7400000000000091</v>
      </c>
      <c r="D12" s="20">
        <f t="shared" si="0"/>
        <v>7.7400000000000091</v>
      </c>
      <c r="G12" s="70">
        <v>2760.17</v>
      </c>
      <c r="H12" s="70">
        <v>7.7400000000000091</v>
      </c>
      <c r="I12" s="71">
        <f t="shared" si="1"/>
        <v>-29.759999999999991</v>
      </c>
    </row>
    <row r="13" spans="2:9" x14ac:dyDescent="0.45">
      <c r="B13" s="19">
        <v>2506.85</v>
      </c>
      <c r="C13" s="19">
        <v>60.849999999999909</v>
      </c>
      <c r="D13" s="20">
        <f t="shared" si="0"/>
        <v>60.849999999999909</v>
      </c>
      <c r="G13" s="70">
        <v>2506.85</v>
      </c>
      <c r="H13" s="70">
        <v>60.849999999999909</v>
      </c>
      <c r="I13" s="71">
        <f t="shared" si="1"/>
        <v>23.349999999999909</v>
      </c>
    </row>
    <row r="14" spans="2:9" x14ac:dyDescent="0.45">
      <c r="B14" s="19">
        <v>2704.1</v>
      </c>
      <c r="C14" s="19">
        <v>37.829999999999927</v>
      </c>
      <c r="D14" s="20">
        <f t="shared" si="0"/>
        <v>37.829999999999927</v>
      </c>
      <c r="G14" s="70">
        <v>2704.1</v>
      </c>
      <c r="H14" s="70">
        <v>37.829999999999927</v>
      </c>
      <c r="I14" s="71">
        <f t="shared" si="1"/>
        <v>0.32999999999992724</v>
      </c>
    </row>
    <row r="15" spans="2:9" x14ac:dyDescent="0.45">
      <c r="B15" s="19">
        <v>2784.49</v>
      </c>
      <c r="C15" s="19">
        <v>-7.8999999999998636</v>
      </c>
      <c r="D15" s="20">
        <f t="shared" si="0"/>
        <v>-7.8999999999998636</v>
      </c>
      <c r="G15" s="70">
        <v>2784.49</v>
      </c>
      <c r="H15" s="70">
        <v>-7.8999999999998636</v>
      </c>
      <c r="I15" s="71">
        <f t="shared" si="1"/>
        <v>-45.399999999999864</v>
      </c>
    </row>
    <row r="16" spans="2:9" x14ac:dyDescent="0.45">
      <c r="B16" s="19">
        <v>2834.4</v>
      </c>
      <c r="C16" s="19">
        <v>-20.759999999999991</v>
      </c>
      <c r="D16" s="20">
        <f t="shared" si="0"/>
        <v>-20.759999999999991</v>
      </c>
      <c r="G16" s="70">
        <v>2834.4</v>
      </c>
      <c r="H16" s="70">
        <v>-20.759999999999991</v>
      </c>
      <c r="I16" s="71">
        <f t="shared" si="1"/>
        <v>-58.259999999999991</v>
      </c>
    </row>
    <row r="17" spans="2:9" x14ac:dyDescent="0.45">
      <c r="B17" s="19">
        <v>2945.83</v>
      </c>
      <c r="C17" s="19">
        <v>-8.5500000000001819</v>
      </c>
      <c r="D17" s="20">
        <f t="shared" si="0"/>
        <v>-5.6727102000001874</v>
      </c>
      <c r="G17" s="70">
        <v>2945.83</v>
      </c>
      <c r="H17" s="70">
        <v>-8.5500000000001819</v>
      </c>
      <c r="I17" s="71">
        <f t="shared" si="1"/>
        <v>-31.210585200000189</v>
      </c>
    </row>
    <row r="18" spans="2:9" x14ac:dyDescent="0.45">
      <c r="B18" s="19">
        <v>2752.06</v>
      </c>
      <c r="C18" s="19">
        <v>21.900000000000091</v>
      </c>
      <c r="D18" s="20">
        <f t="shared" si="0"/>
        <v>14.738674500000077</v>
      </c>
      <c r="G18" s="70">
        <v>2752.06</v>
      </c>
      <c r="H18" s="70">
        <v>21.900000000000091</v>
      </c>
      <c r="I18" s="71">
        <f t="shared" si="1"/>
        <v>-10.799200499999923</v>
      </c>
    </row>
    <row r="19" spans="2:9" x14ac:dyDescent="0.45">
      <c r="B19" s="19">
        <v>2941.76</v>
      </c>
      <c r="C19" s="19">
        <v>103.84999999999991</v>
      </c>
      <c r="D19" s="20">
        <f t="shared" si="0"/>
        <v>101.38101739999991</v>
      </c>
      <c r="G19" s="70">
        <v>2941.76</v>
      </c>
      <c r="H19" s="70">
        <v>103.84999999999991</v>
      </c>
      <c r="I19" s="71">
        <f t="shared" si="1"/>
        <v>75.843142399999905</v>
      </c>
    </row>
    <row r="20" spans="2:9" x14ac:dyDescent="0.45">
      <c r="B20" s="19">
        <v>2980.38</v>
      </c>
      <c r="C20" s="19">
        <v>4.4500000000000455</v>
      </c>
      <c r="D20" s="20">
        <f t="shared" si="0"/>
        <v>-14.960541499999927</v>
      </c>
      <c r="G20" s="70">
        <v>2980.38</v>
      </c>
      <c r="H20" s="70">
        <v>4.4500000000000455</v>
      </c>
      <c r="I20" s="71">
        <f t="shared" si="1"/>
        <v>-40.498416499999927</v>
      </c>
    </row>
    <row r="21" spans="2:9" x14ac:dyDescent="0.45">
      <c r="B21" s="19">
        <v>2926.46</v>
      </c>
      <c r="C21" s="19">
        <v>106.29999999999995</v>
      </c>
      <c r="D21" s="20">
        <f t="shared" si="0"/>
        <v>94.232608299999981</v>
      </c>
      <c r="G21" s="70">
        <v>2926.46</v>
      </c>
      <c r="H21" s="70">
        <v>106.29999999999995</v>
      </c>
      <c r="I21" s="71">
        <f t="shared" si="1"/>
        <v>68.694733299999982</v>
      </c>
    </row>
    <row r="22" spans="2:9" x14ac:dyDescent="0.45">
      <c r="B22" s="19">
        <v>2976.74</v>
      </c>
      <c r="C22" s="19">
        <v>-47.849999999999909</v>
      </c>
      <c r="D22" s="20">
        <f t="shared" si="0"/>
        <v>-45.329978999999952</v>
      </c>
      <c r="G22" s="70">
        <v>2976.74</v>
      </c>
      <c r="H22" s="70">
        <v>-47.849999999999909</v>
      </c>
      <c r="I22" s="71">
        <f t="shared" si="1"/>
        <v>-70.867853999999951</v>
      </c>
    </row>
    <row r="23" spans="2:9" x14ac:dyDescent="0.45">
      <c r="B23" s="19">
        <v>3037.56</v>
      </c>
      <c r="C23" s="19">
        <v>41.160000000000082</v>
      </c>
      <c r="D23" s="20">
        <f t="shared" si="0"/>
        <v>47.782232400000076</v>
      </c>
      <c r="G23" s="70">
        <v>3037.56</v>
      </c>
      <c r="H23" s="70">
        <v>41.160000000000082</v>
      </c>
      <c r="I23" s="71">
        <f t="shared" si="1"/>
        <v>22.244357400000084</v>
      </c>
    </row>
    <row r="24" spans="2:9" x14ac:dyDescent="0.45">
      <c r="B24" s="19">
        <v>3140.98</v>
      </c>
      <c r="C24" s="19">
        <v>-49.259999999999991</v>
      </c>
      <c r="D24" s="20">
        <f t="shared" si="0"/>
        <v>-47.450462173301929</v>
      </c>
      <c r="G24" s="70">
        <v>3140.98</v>
      </c>
      <c r="H24" s="70">
        <v>-49.259999999999991</v>
      </c>
      <c r="I24" s="71">
        <f t="shared" si="1"/>
        <v>-76.804135427051932</v>
      </c>
    </row>
    <row r="25" spans="2:9" x14ac:dyDescent="0.45">
      <c r="B25" s="19">
        <v>3230.78</v>
      </c>
      <c r="C25" s="19">
        <v>53.1099999999999</v>
      </c>
      <c r="D25" s="20">
        <f t="shared" si="0"/>
        <v>48.408510221244875</v>
      </c>
      <c r="G25" s="70">
        <v>3230.78</v>
      </c>
      <c r="H25" s="70">
        <v>53.1099999999999</v>
      </c>
      <c r="I25" s="71">
        <f t="shared" si="1"/>
        <v>19.054836967494879</v>
      </c>
    </row>
    <row r="26" spans="2:9" x14ac:dyDescent="0.45">
      <c r="B26" s="19">
        <v>3225.52</v>
      </c>
      <c r="C26" s="19">
        <v>72.799999999999955</v>
      </c>
      <c r="D26" s="20">
        <f t="shared" si="0"/>
        <v>40.460469259573983</v>
      </c>
      <c r="G26" s="70">
        <v>3225.52</v>
      </c>
      <c r="H26" s="70">
        <v>72.799999999999955</v>
      </c>
      <c r="I26" s="71">
        <f t="shared" si="1"/>
        <v>11.106796005823981</v>
      </c>
    </row>
    <row r="27" spans="2:9" x14ac:dyDescent="0.45">
      <c r="B27" s="19">
        <v>2954.22</v>
      </c>
      <c r="C27" s="19">
        <v>-5.0699999999999363</v>
      </c>
      <c r="D27" s="20">
        <f t="shared" si="0"/>
        <v>-0.29773686691495982</v>
      </c>
      <c r="G27" s="70">
        <v>2954.22</v>
      </c>
      <c r="H27" s="70">
        <v>-5.0699999999999363</v>
      </c>
      <c r="I27" s="71">
        <f t="shared" si="1"/>
        <v>-29.651410120664959</v>
      </c>
    </row>
    <row r="28" spans="2:9" x14ac:dyDescent="0.45">
      <c r="B28" s="19">
        <v>2584.59</v>
      </c>
      <c r="C28" s="19">
        <v>-13.690000000000055</v>
      </c>
      <c r="D28" s="20">
        <f t="shared" si="0"/>
        <v>-43.749259721617051</v>
      </c>
      <c r="G28" s="70">
        <v>2584.59</v>
      </c>
      <c r="H28" s="70">
        <v>-13.690000000000055</v>
      </c>
      <c r="I28" s="71">
        <f t="shared" si="1"/>
        <v>-73.102932975367054</v>
      </c>
    </row>
    <row r="29" spans="2:9" x14ac:dyDescent="0.45">
      <c r="B29" s="19">
        <v>2912.43</v>
      </c>
      <c r="C29" s="19">
        <v>109.03999999999996</v>
      </c>
      <c r="D29" s="20">
        <f t="shared" si="0"/>
        <v>123.49981000120995</v>
      </c>
      <c r="G29" s="70">
        <v>2912.43</v>
      </c>
      <c r="H29" s="70">
        <v>109.03999999999996</v>
      </c>
      <c r="I29" s="71">
        <f t="shared" si="1"/>
        <v>94.146136747459934</v>
      </c>
    </row>
    <row r="30" spans="2:9" x14ac:dyDescent="0.45">
      <c r="B30" s="19">
        <v>3044.31</v>
      </c>
      <c r="C30" s="19">
        <v>46.210000000000036</v>
      </c>
      <c r="D30" s="20">
        <f t="shared" si="0"/>
        <v>30.967945686724015</v>
      </c>
      <c r="G30" s="70">
        <v>3044.31</v>
      </c>
      <c r="H30" s="70">
        <v>46.210000000000036</v>
      </c>
      <c r="I30" s="71">
        <f t="shared" si="1"/>
        <v>1.6142724329740119</v>
      </c>
    </row>
    <row r="31" spans="2:9" x14ac:dyDescent="0.45">
      <c r="B31" s="19">
        <v>3100.29</v>
      </c>
      <c r="C31" s="19">
        <v>54.370000000000118</v>
      </c>
      <c r="D31" s="20">
        <f t="shared" si="0"/>
        <v>69.5062229286617</v>
      </c>
      <c r="G31" s="70">
        <v>3100.29</v>
      </c>
      <c r="H31" s="70">
        <v>54.370000000000118</v>
      </c>
      <c r="I31" s="71">
        <f t="shared" si="1"/>
        <v>41.36975115987542</v>
      </c>
    </row>
    <row r="32" spans="2:9" x14ac:dyDescent="0.45">
      <c r="B32" s="19">
        <v>3271.12</v>
      </c>
      <c r="C32" s="19">
        <v>194.01999999999998</v>
      </c>
      <c r="D32" s="20">
        <f t="shared" si="0"/>
        <v>178.57816932452508</v>
      </c>
      <c r="G32" s="70">
        <v>3271.12</v>
      </c>
      <c r="H32" s="70">
        <v>194.01999999999998</v>
      </c>
      <c r="I32" s="71">
        <f t="shared" si="1"/>
        <v>150.44169755573878</v>
      </c>
    </row>
    <row r="33" spans="2:9" x14ac:dyDescent="0.45">
      <c r="B33" s="19">
        <v>3500.31</v>
      </c>
      <c r="C33" s="19">
        <v>-4.9400000000000546</v>
      </c>
      <c r="D33" s="20">
        <f t="shared" si="0"/>
        <v>-17.84648508911156</v>
      </c>
      <c r="G33" s="70">
        <v>3500.31</v>
      </c>
      <c r="H33" s="70">
        <v>-4.9400000000000546</v>
      </c>
      <c r="I33" s="71">
        <f t="shared" si="1"/>
        <v>-45.982956857897847</v>
      </c>
    </row>
    <row r="34" spans="2:9" x14ac:dyDescent="0.45">
      <c r="B34" s="19">
        <v>3363</v>
      </c>
      <c r="C34" s="19">
        <v>-84.309999999999945</v>
      </c>
      <c r="D34" s="20">
        <f t="shared" si="0"/>
        <v>-84.215024916822742</v>
      </c>
      <c r="G34" s="70">
        <v>3363</v>
      </c>
      <c r="H34" s="70">
        <v>-84.309999999999945</v>
      </c>
      <c r="I34" s="71">
        <f t="shared" si="1"/>
        <v>-112.35149668560904</v>
      </c>
    </row>
    <row r="35" spans="2:9" x14ac:dyDescent="0.45">
      <c r="B35" s="19">
        <v>3269.96</v>
      </c>
      <c r="C35" s="19">
        <v>-7.4900000000000091</v>
      </c>
      <c r="D35" s="20">
        <f t="shared" si="0"/>
        <v>6.4655763585986143</v>
      </c>
      <c r="G35" s="70">
        <v>3269.96</v>
      </c>
      <c r="H35" s="70">
        <v>-7.4900000000000091</v>
      </c>
      <c r="I35" s="71">
        <f t="shared" si="1"/>
        <v>-21.670895410187672</v>
      </c>
    </row>
    <row r="36" spans="2:9" x14ac:dyDescent="0.45">
      <c r="B36" s="19">
        <v>3621.63</v>
      </c>
      <c r="C36" s="19">
        <v>-100.93000000000006</v>
      </c>
      <c r="D36" s="20">
        <f t="shared" si="0"/>
        <v>-140.32520439228603</v>
      </c>
      <c r="G36" s="70">
        <v>3621.63</v>
      </c>
      <c r="H36" s="70">
        <v>-100.93000000000006</v>
      </c>
      <c r="I36" s="71">
        <f t="shared" si="1"/>
        <v>-168.46167616107232</v>
      </c>
    </row>
    <row r="37" spans="2:9" x14ac:dyDescent="0.45">
      <c r="B37" s="19">
        <v>3756.07</v>
      </c>
      <c r="C37" s="19">
        <v>119.47000000000003</v>
      </c>
      <c r="D37" s="20">
        <f t="shared" si="0"/>
        <v>109.59153500539193</v>
      </c>
      <c r="G37" s="70">
        <v>3756.07</v>
      </c>
      <c r="H37" s="70">
        <v>119.47000000000003</v>
      </c>
      <c r="I37" s="71">
        <f t="shared" si="1"/>
        <v>81.455063236605653</v>
      </c>
    </row>
    <row r="38" spans="2:9" x14ac:dyDescent="0.45">
      <c r="B38" s="19">
        <v>3714.24</v>
      </c>
      <c r="C38" s="19">
        <v>-50.400000000000091</v>
      </c>
      <c r="D38" s="20">
        <f t="shared" si="0"/>
        <v>-72.571790052013881</v>
      </c>
      <c r="G38" s="70">
        <v>3714.24</v>
      </c>
      <c r="H38" s="70">
        <v>-50.400000000000091</v>
      </c>
      <c r="I38" s="71">
        <f t="shared" si="1"/>
        <v>-101.09653692248875</v>
      </c>
    </row>
    <row r="39" spans="2:9" x14ac:dyDescent="0.45">
      <c r="B39" s="19">
        <v>3811.15</v>
      </c>
      <c r="C39" s="19">
        <v>-112.59999999999991</v>
      </c>
      <c r="D39" s="20">
        <f t="shared" si="0"/>
        <v>-169.56465023283016</v>
      </c>
      <c r="G39" s="70">
        <v>3811.15</v>
      </c>
      <c r="H39" s="70">
        <v>-112.59999999999991</v>
      </c>
      <c r="I39" s="71">
        <f t="shared" si="1"/>
        <v>-198.08939710330503</v>
      </c>
    </row>
    <row r="40" spans="2:9" x14ac:dyDescent="0.45">
      <c r="B40" s="19">
        <v>3972.89</v>
      </c>
      <c r="C40" s="19">
        <v>-26.480000000000018</v>
      </c>
      <c r="D40" s="20">
        <f t="shared" si="0"/>
        <v>-20.787149721424321</v>
      </c>
      <c r="G40" s="70">
        <v>3972.89</v>
      </c>
      <c r="H40" s="70">
        <v>-26.480000000000018</v>
      </c>
      <c r="I40" s="71">
        <f t="shared" si="1"/>
        <v>-49.311896591899185</v>
      </c>
    </row>
    <row r="41" spans="2:9" x14ac:dyDescent="0.45">
      <c r="B41" s="19">
        <v>4181.17</v>
      </c>
      <c r="C41" s="19">
        <v>61.579999999999927</v>
      </c>
      <c r="D41" s="20">
        <f t="shared" si="0"/>
        <v>88.443750798217209</v>
      </c>
      <c r="G41" s="70">
        <v>4181.17</v>
      </c>
      <c r="H41" s="70">
        <v>61.579999999999927</v>
      </c>
      <c r="I41" s="71">
        <f t="shared" si="1"/>
        <v>59.919003927742352</v>
      </c>
    </row>
    <row r="42" spans="2:9" x14ac:dyDescent="0.45">
      <c r="B42" s="19">
        <v>4204.1099999999997</v>
      </c>
      <c r="C42" s="19">
        <v>137.76999999999998</v>
      </c>
      <c r="D42" s="20">
        <f t="shared" si="0"/>
        <v>135.70754579737061</v>
      </c>
      <c r="G42" s="70">
        <v>4204.1099999999997</v>
      </c>
      <c r="H42" s="70">
        <v>137.76999999999998</v>
      </c>
      <c r="I42" s="71">
        <f t="shared" si="1"/>
        <v>107.18279892689574</v>
      </c>
    </row>
    <row r="43" spans="2:9" x14ac:dyDescent="0.45">
      <c r="B43" s="19">
        <v>4297.5</v>
      </c>
      <c r="C43" s="19">
        <v>-136.55999999999995</v>
      </c>
      <c r="D43" s="20">
        <f t="shared" si="0"/>
        <v>-91.797663050904617</v>
      </c>
      <c r="G43" s="70">
        <v>4297.5</v>
      </c>
      <c r="H43" s="70">
        <v>-136.55999999999995</v>
      </c>
      <c r="I43" s="71">
        <f t="shared" si="1"/>
        <v>-120.32240992137949</v>
      </c>
    </row>
    <row r="44" spans="2:9" x14ac:dyDescent="0.45">
      <c r="B44" s="19">
        <v>4395.26</v>
      </c>
      <c r="C44" s="19">
        <v>43.779999999999973</v>
      </c>
      <c r="D44" s="20">
        <f t="shared" si="0"/>
        <v>8.8213962486300019</v>
      </c>
      <c r="G44" s="70">
        <v>4395.26</v>
      </c>
      <c r="H44" s="70">
        <v>43.779999999999973</v>
      </c>
      <c r="I44" s="71">
        <f t="shared" si="1"/>
        <v>-19.703350621844866</v>
      </c>
    </row>
    <row r="45" spans="2:9" x14ac:dyDescent="0.45">
      <c r="B45" s="19">
        <v>4522.68</v>
      </c>
      <c r="C45" s="19">
        <v>-0.14999999999986358</v>
      </c>
      <c r="D45" s="20">
        <f t="shared" si="0"/>
        <v>22.999675308692044</v>
      </c>
      <c r="G45" s="70">
        <v>4522.68</v>
      </c>
      <c r="H45" s="70">
        <v>-0.14999999999986358</v>
      </c>
      <c r="I45" s="71">
        <f t="shared" si="1"/>
        <v>-5.4012156870951742</v>
      </c>
    </row>
    <row r="46" spans="2:9" x14ac:dyDescent="0.45">
      <c r="B46" s="19">
        <v>4307.54</v>
      </c>
      <c r="C46" s="19">
        <v>-56.769999999999982</v>
      </c>
      <c r="D46" s="20">
        <f t="shared" si="0"/>
        <v>-2.6805722222294861</v>
      </c>
      <c r="G46" s="70">
        <v>4307.54</v>
      </c>
      <c r="H46" s="70">
        <v>-56.769999999999982</v>
      </c>
      <c r="I46" s="71">
        <f t="shared" si="1"/>
        <v>-31.081463218016708</v>
      </c>
    </row>
    <row r="47" spans="2:9" x14ac:dyDescent="0.45">
      <c r="B47" s="19">
        <v>4605.38</v>
      </c>
      <c r="C47" s="19">
        <v>26.149999999999864</v>
      </c>
      <c r="D47" s="20">
        <f t="shared" si="0"/>
        <v>32.780892889637009</v>
      </c>
      <c r="G47" s="70">
        <v>4605.38</v>
      </c>
      <c r="H47" s="70">
        <v>26.149999999999864</v>
      </c>
      <c r="I47" s="71">
        <f t="shared" si="1"/>
        <v>4.38000189384978</v>
      </c>
    </row>
    <row r="48" spans="2:9" x14ac:dyDescent="0.45">
      <c r="B48" s="19">
        <v>4567</v>
      </c>
      <c r="C48" s="19">
        <v>-9.0299999999999727</v>
      </c>
      <c r="D48" s="20">
        <f t="shared" si="0"/>
        <v>-37.24267206712328</v>
      </c>
      <c r="G48" s="70">
        <v>4567</v>
      </c>
      <c r="H48" s="70">
        <v>-9.0299999999999727</v>
      </c>
      <c r="I48" s="71">
        <f t="shared" si="1"/>
        <v>-65.643563062910502</v>
      </c>
    </row>
    <row r="49" spans="2:9" x14ac:dyDescent="0.45">
      <c r="B49" s="19">
        <v>4766.18</v>
      </c>
      <c r="C49" s="19">
        <v>54.610000000000127</v>
      </c>
      <c r="D49" s="20">
        <f t="shared" si="0"/>
        <v>11.320649966096873</v>
      </c>
      <c r="G49" s="70">
        <v>4766.18</v>
      </c>
      <c r="H49" s="70">
        <v>54.610000000000127</v>
      </c>
      <c r="I49" s="71">
        <f t="shared" si="1"/>
        <v>-17.080241029690342</v>
      </c>
    </row>
    <row r="50" spans="2:9" x14ac:dyDescent="0.45">
      <c r="B50" s="19">
        <v>4515.55</v>
      </c>
      <c r="C50" s="19">
        <v>-31.920000000000073</v>
      </c>
      <c r="D50" s="20">
        <f t="shared" si="0"/>
        <v>-2.6374634633920095</v>
      </c>
      <c r="G50" s="70">
        <v>4515.55</v>
      </c>
      <c r="H50" s="70">
        <v>-31.920000000000073</v>
      </c>
      <c r="I50" s="71">
        <f t="shared" si="1"/>
        <v>-31.038354459179232</v>
      </c>
    </row>
    <row r="51" spans="2:9" x14ac:dyDescent="0.45">
      <c r="B51" s="19">
        <v>4373.9399999999996</v>
      </c>
      <c r="C51" s="19">
        <v>111.43000000000006</v>
      </c>
      <c r="D51" s="20">
        <f t="shared" si="0"/>
        <v>108.61606281064958</v>
      </c>
      <c r="G51" s="70">
        <v>4373.9399999999996</v>
      </c>
      <c r="H51" s="70">
        <v>111.43000000000006</v>
      </c>
      <c r="I51" s="71">
        <f t="shared" si="1"/>
        <v>80.215171814862359</v>
      </c>
    </row>
    <row r="52" spans="2:9" x14ac:dyDescent="0.45">
      <c r="B52" s="19">
        <v>4530.41</v>
      </c>
      <c r="C52" s="19">
        <v>29.329999999999927</v>
      </c>
      <c r="D52" s="20">
        <f t="shared" si="0"/>
        <v>21.993333573280253</v>
      </c>
      <c r="G52" s="70">
        <v>4530.41</v>
      </c>
      <c r="H52" s="70">
        <v>29.329999999999927</v>
      </c>
      <c r="I52" s="71">
        <f t="shared" si="1"/>
        <v>-6.4470662079735845</v>
      </c>
    </row>
    <row r="53" spans="2:9" x14ac:dyDescent="0.45">
      <c r="B53" s="19">
        <v>4131.93</v>
      </c>
      <c r="C53" s="19">
        <v>-40.829999999999927</v>
      </c>
      <c r="D53" s="20">
        <f t="shared" si="0"/>
        <v>-39.974924266830946</v>
      </c>
      <c r="G53" s="70">
        <v>4131.93</v>
      </c>
      <c r="H53" s="70">
        <v>-40.829999999999927</v>
      </c>
      <c r="I53" s="71">
        <f t="shared" si="1"/>
        <v>-68.415324048084784</v>
      </c>
    </row>
    <row r="54" spans="2:9" x14ac:dyDescent="0.45">
      <c r="B54" s="19">
        <v>4132.1499999999996</v>
      </c>
      <c r="C54" s="19">
        <v>-59.310000000000173</v>
      </c>
      <c r="D54" s="20">
        <f t="shared" si="0"/>
        <v>-69.766777022865483</v>
      </c>
      <c r="G54" s="70">
        <v>4132.1499999999996</v>
      </c>
      <c r="H54" s="70">
        <v>-59.310000000000173</v>
      </c>
      <c r="I54" s="71">
        <f t="shared" si="1"/>
        <v>-98.207176804119314</v>
      </c>
    </row>
    <row r="55" spans="2:9" x14ac:dyDescent="0.45">
      <c r="B55" s="19">
        <v>3785.38</v>
      </c>
      <c r="C55" s="19">
        <v>-30.199999999999818</v>
      </c>
      <c r="D55" s="20">
        <f t="shared" si="0"/>
        <v>-18.319960037308164</v>
      </c>
      <c r="G55" s="70">
        <v>3785.38</v>
      </c>
      <c r="H55" s="70">
        <v>-30.199999999999818</v>
      </c>
      <c r="I55" s="71">
        <f t="shared" si="1"/>
        <v>-46.760359818561994</v>
      </c>
    </row>
    <row r="56" spans="2:9" x14ac:dyDescent="0.45">
      <c r="B56" s="19">
        <v>4130.29</v>
      </c>
      <c r="C56" s="19">
        <v>-41.670000000000073</v>
      </c>
      <c r="D56" s="20">
        <f t="shared" si="0"/>
        <v>-45.281174132685315</v>
      </c>
      <c r="G56" s="70">
        <v>4130.29</v>
      </c>
      <c r="H56" s="70">
        <v>-41.670000000000073</v>
      </c>
      <c r="I56" s="71">
        <f t="shared" si="1"/>
        <v>-73.721573913939153</v>
      </c>
    </row>
    <row r="57" spans="2:9" x14ac:dyDescent="0.45">
      <c r="B57" s="19">
        <v>3955</v>
      </c>
      <c r="C57" s="19">
        <v>-54.519999999999982</v>
      </c>
      <c r="D57" s="20">
        <f t="shared" si="0"/>
        <v>-53.678675529812566</v>
      </c>
      <c r="G57" s="70">
        <v>3955</v>
      </c>
      <c r="H57" s="70">
        <v>-54.519999999999982</v>
      </c>
      <c r="I57" s="71">
        <f t="shared" si="1"/>
        <v>-82.119075311066396</v>
      </c>
    </row>
    <row r="58" spans="2:9" x14ac:dyDescent="0.45">
      <c r="B58" s="19">
        <v>3585.62</v>
      </c>
      <c r="C58" s="19">
        <v>-51.029999999999973</v>
      </c>
      <c r="D58" s="20">
        <f t="shared" si="0"/>
        <v>-85.677437875969076</v>
      </c>
      <c r="G58" s="70">
        <v>3585.62</v>
      </c>
      <c r="H58" s="70">
        <v>-51.029999999999973</v>
      </c>
      <c r="I58" s="71">
        <f t="shared" si="1"/>
        <v>-114.11783765722292</v>
      </c>
    </row>
    <row r="59" spans="2:9" x14ac:dyDescent="0.45">
      <c r="B59" s="19">
        <v>3871.98</v>
      </c>
      <c r="C59" s="19">
        <v>-26.550000000000182</v>
      </c>
      <c r="D59" s="20">
        <f t="shared" si="0"/>
        <v>-33.565653476540852</v>
      </c>
      <c r="G59" s="70">
        <v>3871.98</v>
      </c>
      <c r="H59" s="70">
        <v>-26.550000000000182</v>
      </c>
      <c r="I59" s="71">
        <f t="shared" si="1"/>
        <v>-61.993450350318689</v>
      </c>
    </row>
    <row r="60" spans="2:9" x14ac:dyDescent="0.45">
      <c r="B60" s="19">
        <v>4080.11</v>
      </c>
      <c r="C60" s="19">
        <v>135.33000000000015</v>
      </c>
      <c r="D60" s="20">
        <f t="shared" si="0"/>
        <v>148.08160109187656</v>
      </c>
      <c r="G60" s="70">
        <v>4080.11</v>
      </c>
      <c r="H60" s="70">
        <v>135.33000000000015</v>
      </c>
      <c r="I60" s="71">
        <f t="shared" si="1"/>
        <v>119.65380421809871</v>
      </c>
    </row>
    <row r="61" spans="2:9" x14ac:dyDescent="0.45">
      <c r="B61" s="19">
        <v>3839.5</v>
      </c>
      <c r="C61" s="19">
        <v>55.950000000000045</v>
      </c>
      <c r="D61" s="20">
        <f t="shared" si="0"/>
        <v>78.204904202523906</v>
      </c>
      <c r="G61" s="70">
        <v>3839.5</v>
      </c>
      <c r="H61" s="70">
        <v>55.950000000000045</v>
      </c>
      <c r="I61" s="71">
        <f t="shared" si="1"/>
        <v>49.777107328746069</v>
      </c>
    </row>
    <row r="62" spans="2:9" x14ac:dyDescent="0.45">
      <c r="B62" s="19">
        <v>4076.6</v>
      </c>
      <c r="C62" s="19">
        <v>103.48000000000002</v>
      </c>
      <c r="D62" s="20">
        <f t="shared" si="0"/>
        <v>109.32388405230095</v>
      </c>
      <c r="G62" s="70">
        <v>4076.6</v>
      </c>
      <c r="H62" s="70">
        <v>103.48000000000002</v>
      </c>
      <c r="I62" s="71">
        <f t="shared" si="1"/>
        <v>80.896087178523103</v>
      </c>
    </row>
    <row r="63" spans="2:9" x14ac:dyDescent="0.45">
      <c r="B63" s="19">
        <v>3970.15</v>
      </c>
      <c r="C63" s="19">
        <v>-100.73000000000002</v>
      </c>
      <c r="D63" s="20">
        <f t="shared" si="0"/>
        <v>-86.285758263414735</v>
      </c>
      <c r="G63" s="70">
        <v>3970.15</v>
      </c>
      <c r="H63" s="70">
        <v>-100.73000000000002</v>
      </c>
      <c r="I63" s="71">
        <f t="shared" si="1"/>
        <v>-114.71355513719257</v>
      </c>
    </row>
    <row r="64" spans="2:9" x14ac:dyDescent="0.45">
      <c r="B64" s="19">
        <v>4109.3100000000004</v>
      </c>
      <c r="C64" s="19">
        <v>140.75</v>
      </c>
      <c r="D64" s="20">
        <f t="shared" si="0"/>
        <v>157.87296070725492</v>
      </c>
      <c r="G64" s="70">
        <v>4109.3100000000004</v>
      </c>
      <c r="H64" s="70">
        <v>140.75</v>
      </c>
      <c r="I64" s="71">
        <f t="shared" si="1"/>
        <v>129.44516383347707</v>
      </c>
    </row>
    <row r="65" spans="2:9" x14ac:dyDescent="0.45">
      <c r="B65" s="19">
        <v>4169.4799999999996</v>
      </c>
      <c r="C65" s="19">
        <v>21.75</v>
      </c>
      <c r="D65" s="20">
        <f t="shared" si="0"/>
        <v>49.080245908055375</v>
      </c>
      <c r="G65" s="70">
        <v>4169.4799999999996</v>
      </c>
      <c r="H65" s="70">
        <v>21.75</v>
      </c>
      <c r="I65" s="71">
        <f t="shared" si="1"/>
        <v>20.652449034277538</v>
      </c>
    </row>
    <row r="66" spans="2:9" x14ac:dyDescent="0.45">
      <c r="B66" s="19">
        <v>4179.83</v>
      </c>
      <c r="C66" s="19">
        <v>-27.350000000000136</v>
      </c>
      <c r="D66" s="20">
        <f t="shared" si="0"/>
        <v>-16.642892197518371</v>
      </c>
      <c r="G66" s="70">
        <v>4179.83</v>
      </c>
      <c r="H66" s="70">
        <v>-27.350000000000136</v>
      </c>
      <c r="I66" s="71">
        <f t="shared" si="1"/>
        <v>-45.074709272751974</v>
      </c>
    </row>
    <row r="67" spans="2:9" x14ac:dyDescent="0.45">
      <c r="B67" s="19">
        <v>4450.38</v>
      </c>
      <c r="C67" s="19">
        <v>-42.730000000000018</v>
      </c>
      <c r="D67" s="20">
        <f t="shared" si="0"/>
        <v>-89.966549932297724</v>
      </c>
      <c r="G67" s="70">
        <v>4450.38</v>
      </c>
      <c r="H67" s="70">
        <v>-42.730000000000018</v>
      </c>
      <c r="I67" s="71">
        <f t="shared" si="1"/>
        <v>-118.39836700753133</v>
      </c>
    </row>
    <row r="68" spans="2:9" x14ac:dyDescent="0.45">
      <c r="B68" s="19">
        <v>4588.96</v>
      </c>
      <c r="C68" s="19">
        <v>44.620000000000118</v>
      </c>
      <c r="D68" s="20">
        <f t="shared" si="0"/>
        <v>19.673417608437017</v>
      </c>
      <c r="G68" s="70">
        <v>4588.96</v>
      </c>
      <c r="H68" s="70">
        <v>44.620000000000118</v>
      </c>
      <c r="I68" s="71">
        <f t="shared" si="1"/>
        <v>-8.7583994667965896</v>
      </c>
    </row>
    <row r="69" spans="2:9" x14ac:dyDescent="0.45">
      <c r="B69" s="19">
        <v>4507.66</v>
      </c>
      <c r="C69" s="19">
        <v>-24.450000000000045</v>
      </c>
      <c r="D69" s="20">
        <f t="shared" si="0"/>
        <v>-59.323225773843525</v>
      </c>
      <c r="G69" s="70">
        <v>4507.66</v>
      </c>
      <c r="H69" s="70">
        <v>-24.450000000000045</v>
      </c>
      <c r="I69" s="71">
        <f t="shared" si="1"/>
        <v>-87.755042849077128</v>
      </c>
    </row>
    <row r="70" spans="2:9" x14ac:dyDescent="0.45">
      <c r="B70" s="19">
        <v>4288.05</v>
      </c>
      <c r="C70" s="19">
        <v>-91.430000000000064</v>
      </c>
      <c r="D70" s="20">
        <f t="shared" si="0"/>
        <v>-63.905705971553402</v>
      </c>
      <c r="G70" s="70">
        <v>4288.05</v>
      </c>
      <c r="H70" s="70">
        <v>-91.430000000000064</v>
      </c>
      <c r="I70" s="71">
        <f t="shared" si="1"/>
        <v>-92.337523046786998</v>
      </c>
    </row>
    <row r="71" spans="2:9" x14ac:dyDescent="0.45">
      <c r="B71" s="19">
        <v>4193.8</v>
      </c>
      <c r="C71" s="19">
        <v>134.3900000000001</v>
      </c>
      <c r="D71" s="20">
        <f t="shared" si="0"/>
        <v>84.030104263992854</v>
      </c>
      <c r="G71" s="70">
        <v>4193.8</v>
      </c>
      <c r="H71" s="70">
        <v>134.3900000000001</v>
      </c>
      <c r="I71" s="71">
        <f t="shared" si="1"/>
        <v>55.598287188759258</v>
      </c>
    </row>
    <row r="72" spans="2:9" x14ac:dyDescent="0.45">
      <c r="B72" s="19">
        <v>4567.8</v>
      </c>
      <c r="C72" s="19">
        <v>53.049999999999955</v>
      </c>
      <c r="D72" s="20">
        <f t="shared" si="0"/>
        <v>37.393892357789369</v>
      </c>
      <c r="G72" s="70">
        <v>4567.8</v>
      </c>
      <c r="H72" s="70">
        <v>53.049999999999955</v>
      </c>
      <c r="I72" s="71">
        <f t="shared" si="1"/>
        <v>8.9620752825557588</v>
      </c>
    </row>
    <row r="73" spans="2:9" x14ac:dyDescent="0.45">
      <c r="B73" s="19">
        <v>4769.83</v>
      </c>
      <c r="C73" s="19">
        <v>26.840000000000146</v>
      </c>
      <c r="D73" s="20">
        <f t="shared" si="0"/>
        <v>32.148916182086531</v>
      </c>
      <c r="G73" s="70">
        <v>4769.83</v>
      </c>
      <c r="H73" s="70">
        <v>26.840000000000146</v>
      </c>
      <c r="I73" s="71">
        <f t="shared" si="1"/>
        <v>3.7183815109153002</v>
      </c>
    </row>
    <row r="74" spans="2:9" x14ac:dyDescent="0.45">
      <c r="B74" s="19">
        <v>4845.6499999999996</v>
      </c>
      <c r="C74" s="19">
        <v>-25.400000000000091</v>
      </c>
      <c r="D74" s="20">
        <f t="shared" si="0"/>
        <v>3.2984297629035595</v>
      </c>
      <c r="G74" s="70">
        <v>4845.6499999999996</v>
      </c>
      <c r="H74" s="70">
        <v>-25.400000000000091</v>
      </c>
      <c r="I74" s="71">
        <f t="shared" si="1"/>
        <v>-25.132104908267671</v>
      </c>
    </row>
    <row r="75" spans="2:9" x14ac:dyDescent="0.45">
      <c r="B75" s="19">
        <v>5096.2700000000004</v>
      </c>
      <c r="C75" s="19">
        <v>6.0499999999999545</v>
      </c>
      <c r="D75" s="20">
        <f t="shared" ref="D75:D81" si="2">C75-0.31899*D68</f>
        <v>-0.2256234829153696</v>
      </c>
      <c r="G75" s="70">
        <v>5096.2700000000004</v>
      </c>
      <c r="H75" s="70">
        <v>6.0499999999999545</v>
      </c>
      <c r="I75" s="71">
        <f t="shared" ref="I75:I81" si="3">H75-0.31899*I68-37.5</f>
        <v>-28.656158154086601</v>
      </c>
    </row>
    <row r="76" spans="2:9" x14ac:dyDescent="0.45">
      <c r="B76" s="19">
        <v>5254.35</v>
      </c>
      <c r="C76" s="19">
        <v>189.1400000000001</v>
      </c>
      <c r="D76" s="20">
        <f t="shared" si="2"/>
        <v>208.06351578959845</v>
      </c>
      <c r="G76" s="70">
        <v>5254.35</v>
      </c>
      <c r="H76" s="70">
        <v>189.1400000000001</v>
      </c>
      <c r="I76" s="71">
        <f t="shared" si="3"/>
        <v>179.63298111842721</v>
      </c>
    </row>
    <row r="77" spans="2:9" x14ac:dyDescent="0.45">
      <c r="B77" s="19">
        <v>5035.6899999999996</v>
      </c>
      <c r="C77" s="19">
        <v>53.190000000000055</v>
      </c>
      <c r="D77" s="20">
        <f t="shared" si="2"/>
        <v>73.575281147865866</v>
      </c>
      <c r="G77" s="70">
        <v>5035.6899999999996</v>
      </c>
      <c r="H77" s="70">
        <v>53.190000000000055</v>
      </c>
      <c r="I77" s="71">
        <f t="shared" si="3"/>
        <v>45.144746476694635</v>
      </c>
    </row>
    <row r="78" spans="2:9" x14ac:dyDescent="0.45">
      <c r="B78" s="19">
        <v>5277.51</v>
      </c>
      <c r="C78" s="19">
        <v>41.399999999999636</v>
      </c>
      <c r="D78" s="20">
        <f t="shared" si="2"/>
        <v>14.595237040828557</v>
      </c>
      <c r="G78" s="70">
        <v>5277.51</v>
      </c>
      <c r="H78" s="70">
        <v>41.399999999999636</v>
      </c>
      <c r="I78" s="71">
        <f t="shared" si="3"/>
        <v>-13.83529763034268</v>
      </c>
    </row>
    <row r="79" spans="2:9" x14ac:dyDescent="0.45">
      <c r="B79" s="19">
        <v>5460.48</v>
      </c>
      <c r="C79" s="19">
        <v>-1.2599999999997635</v>
      </c>
      <c r="D79" s="20">
        <f t="shared" si="2"/>
        <v>-13.188277723210994</v>
      </c>
      <c r="G79" s="70">
        <v>5460.48</v>
      </c>
      <c r="H79" s="70">
        <v>-1.2599999999997635</v>
      </c>
      <c r="I79" s="71">
        <f t="shared" si="3"/>
        <v>-41.618812394382225</v>
      </c>
    </row>
    <row r="80" spans="2:9" x14ac:dyDescent="0.45">
      <c r="B80" s="19">
        <v>5522.3</v>
      </c>
      <c r="C80" s="19">
        <v>122.38999999999987</v>
      </c>
      <c r="D80" s="20">
        <f t="shared" si="2"/>
        <v>112.1348172270761</v>
      </c>
      <c r="G80" s="70">
        <v>5522.3</v>
      </c>
      <c r="H80" s="70">
        <v>122.38999999999987</v>
      </c>
      <c r="I80" s="71">
        <f t="shared" si="3"/>
        <v>83.703873481833</v>
      </c>
    </row>
    <row r="81" spans="2:9" x14ac:dyDescent="0.45">
      <c r="B81" s="19">
        <v>5648.4</v>
      </c>
      <c r="C81" s="19">
        <v>54.930000000000291</v>
      </c>
      <c r="D81" s="20">
        <f t="shared" si="2"/>
        <v>53.877833889931686</v>
      </c>
      <c r="G81" s="70">
        <v>5648.4</v>
      </c>
      <c r="H81" s="70">
        <v>54.930000000000291</v>
      </c>
      <c r="I81" s="71">
        <f t="shared" si="3"/>
        <v>25.446890144688595</v>
      </c>
    </row>
    <row r="82" spans="2:9" x14ac:dyDescent="0.45">
      <c r="B82" s="1"/>
      <c r="D82">
        <f>AVERAGE(D2:D81)</f>
        <v>13.872267337396037</v>
      </c>
      <c r="G82" s="1"/>
      <c r="I82">
        <f>AVERAGE(I2:I81)</f>
        <v>-12.648635593263842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829-51AB-4686-8EFA-42F2C341C41D}">
  <dimension ref="A1:X99"/>
  <sheetViews>
    <sheetView topLeftCell="F1" zoomScale="61" zoomScaleNormal="61" workbookViewId="0">
      <selection activeCell="K17" sqref="K17"/>
    </sheetView>
  </sheetViews>
  <sheetFormatPr defaultRowHeight="14.25" x14ac:dyDescent="0.45"/>
  <cols>
    <col min="1" max="1" width="10" bestFit="1" customWidth="1"/>
    <col min="2" max="5" width="9.1328125" bestFit="1" customWidth="1"/>
    <col min="6" max="6" width="15.59765625" customWidth="1"/>
    <col min="7" max="7" width="9.1328125" bestFit="1" customWidth="1"/>
    <col min="8" max="9" width="12.3984375" customWidth="1"/>
    <col min="10" max="10" width="12.3984375" bestFit="1" customWidth="1"/>
    <col min="11" max="11" width="20.3984375" bestFit="1" customWidth="1"/>
    <col min="12" max="12" width="11.796875" bestFit="1" customWidth="1"/>
    <col min="13" max="13" width="9.796875" bestFit="1" customWidth="1"/>
    <col min="15" max="16" width="12.3984375" customWidth="1"/>
    <col min="18" max="18" width="11.6640625" bestFit="1" customWidth="1"/>
    <col min="21" max="21" width="12.3984375" customWidth="1"/>
  </cols>
  <sheetData>
    <row r="1" spans="1:24" x14ac:dyDescent="0.45">
      <c r="B1" s="1" t="s">
        <v>12</v>
      </c>
      <c r="C1" s="1" t="s">
        <v>13</v>
      </c>
      <c r="D1" t="s">
        <v>38</v>
      </c>
      <c r="E1" s="1" t="s">
        <v>16</v>
      </c>
      <c r="F1" s="1" t="s">
        <v>2</v>
      </c>
      <c r="G1" t="s">
        <v>39</v>
      </c>
      <c r="H1" t="s">
        <v>18</v>
      </c>
      <c r="I1" t="s">
        <v>40</v>
      </c>
      <c r="J1" t="s">
        <v>19</v>
      </c>
      <c r="K1" t="s">
        <v>20</v>
      </c>
      <c r="L1" t="s">
        <v>21</v>
      </c>
      <c r="M1" t="s">
        <v>22</v>
      </c>
      <c r="P1" t="s">
        <v>39</v>
      </c>
      <c r="Q1" t="s">
        <v>40</v>
      </c>
      <c r="R1" t="s">
        <v>38</v>
      </c>
      <c r="S1" t="s">
        <v>18</v>
      </c>
      <c r="U1" t="s">
        <v>39</v>
      </c>
      <c r="V1" t="s">
        <v>41</v>
      </c>
      <c r="W1" t="s">
        <v>38</v>
      </c>
      <c r="X1" t="s">
        <v>18</v>
      </c>
    </row>
    <row r="2" spans="1:24" x14ac:dyDescent="0.45">
      <c r="A2" s="4">
        <v>43101</v>
      </c>
      <c r="B2" s="1">
        <v>2823.81</v>
      </c>
      <c r="C2" s="1"/>
      <c r="E2" s="1">
        <v>1344.7</v>
      </c>
      <c r="F2" s="1"/>
      <c r="K2">
        <f>SUMPRODUCT(H3:H81,J3:J81)</f>
        <v>245526.15763260424</v>
      </c>
      <c r="L2">
        <f>SUMPRODUCT(H3:H81,H3:H81)</f>
        <v>2389988.8288306626</v>
      </c>
      <c r="M2">
        <f>SUMPRODUCT(J3:J81,J3:J81)</f>
        <v>385286.47214525775</v>
      </c>
    </row>
    <row r="3" spans="1:24" x14ac:dyDescent="0.45">
      <c r="A3" s="4">
        <v>43132</v>
      </c>
      <c r="B3" s="1">
        <v>2713.83</v>
      </c>
      <c r="C3" s="1">
        <v>-109.98000000000002</v>
      </c>
      <c r="D3" s="55">
        <v>0</v>
      </c>
      <c r="E3" s="1">
        <v>1317.66</v>
      </c>
      <c r="F3" s="1">
        <v>-27.039999999999964</v>
      </c>
      <c r="G3">
        <v>0</v>
      </c>
      <c r="H3">
        <f>D3-$D$82</f>
        <v>-2.0238874515565461</v>
      </c>
      <c r="I3">
        <f>G15-$G$82</f>
        <v>-21.772267337395903</v>
      </c>
      <c r="J3">
        <f>G3-$G$82</f>
        <v>-13.872267337396037</v>
      </c>
      <c r="L3">
        <f>SQRT(L2)</f>
        <v>1545.9588703554382</v>
      </c>
      <c r="M3">
        <f>SQRT(M2)</f>
        <v>620.71448520657043</v>
      </c>
      <c r="P3">
        <f>G3</f>
        <v>0</v>
      </c>
      <c r="Q3">
        <f>J15</f>
        <v>-21.772267337395903</v>
      </c>
      <c r="R3">
        <f>D3</f>
        <v>0</v>
      </c>
      <c r="S3">
        <f>R3-$R$70</f>
        <v>-2.0238874515565461</v>
      </c>
      <c r="U3">
        <f>P3</f>
        <v>0</v>
      </c>
      <c r="V3">
        <f>J17</f>
        <v>-19.544977537396225</v>
      </c>
      <c r="W3">
        <f>R3</f>
        <v>0</v>
      </c>
      <c r="X3">
        <f>W3-$W$68</f>
        <v>-2.0238874515565461</v>
      </c>
    </row>
    <row r="4" spans="1:24" x14ac:dyDescent="0.45">
      <c r="A4" s="4">
        <v>43160</v>
      </c>
      <c r="B4" s="1">
        <v>2640.87</v>
      </c>
      <c r="C4" s="1">
        <v>-72.960000000000036</v>
      </c>
      <c r="D4" s="55">
        <v>0</v>
      </c>
      <c r="E4" s="1">
        <v>1324</v>
      </c>
      <c r="F4" s="1">
        <v>6.3399999999999181</v>
      </c>
      <c r="G4">
        <v>0</v>
      </c>
      <c r="H4">
        <f t="shared" ref="H4:H67" si="0">D4-$D$82</f>
        <v>-2.0238874515565461</v>
      </c>
      <c r="I4">
        <f t="shared" ref="I4:I65" si="1">G16-$G$82</f>
        <v>-34.63226733739603</v>
      </c>
      <c r="J4">
        <f t="shared" ref="J4:J67" si="2">G4-$G$82</f>
        <v>-13.872267337396037</v>
      </c>
      <c r="K4" t="s">
        <v>23</v>
      </c>
      <c r="P4">
        <f t="shared" ref="P4:P68" si="3">G4</f>
        <v>0</v>
      </c>
      <c r="Q4">
        <f t="shared" ref="Q4:Q67" si="4">J16</f>
        <v>-34.63226733739603</v>
      </c>
      <c r="R4">
        <f t="shared" ref="R4:R67" si="5">D4</f>
        <v>0</v>
      </c>
      <c r="S4">
        <f t="shared" ref="S4:S67" si="6">R4-$R$70</f>
        <v>-2.0238874515565461</v>
      </c>
      <c r="U4">
        <f t="shared" ref="U4:U67" si="7">P4</f>
        <v>0</v>
      </c>
      <c r="V4">
        <f t="shared" ref="V4:V67" si="8">J18</f>
        <v>0.86640716260403927</v>
      </c>
      <c r="W4">
        <f t="shared" ref="W4:W67" si="9">R4</f>
        <v>0</v>
      </c>
      <c r="X4">
        <f t="shared" ref="X4:X67" si="10">W4-$W$68</f>
        <v>-2.0238874515565461</v>
      </c>
    </row>
    <row r="5" spans="1:24" x14ac:dyDescent="0.45">
      <c r="A5" s="4">
        <v>43191</v>
      </c>
      <c r="B5" s="1">
        <v>2648.05</v>
      </c>
      <c r="C5" s="1">
        <v>7.180000000000291</v>
      </c>
      <c r="D5" s="55">
        <v>0</v>
      </c>
      <c r="E5" s="1">
        <v>1314.95</v>
      </c>
      <c r="F5" s="1">
        <v>-9.0499999999999545</v>
      </c>
      <c r="G5">
        <v>0</v>
      </c>
      <c r="H5">
        <f t="shared" si="0"/>
        <v>-2.0238874515565461</v>
      </c>
      <c r="I5">
        <f t="shared" si="1"/>
        <v>-19.544977537396225</v>
      </c>
      <c r="J5">
        <f t="shared" si="2"/>
        <v>-13.872267337396037</v>
      </c>
      <c r="K5">
        <f>K2/(L3*M3)</f>
        <v>0.2558632732677123</v>
      </c>
      <c r="P5">
        <f t="shared" si="3"/>
        <v>0</v>
      </c>
      <c r="Q5">
        <f t="shared" si="4"/>
        <v>-19.544977537396225</v>
      </c>
      <c r="R5">
        <f t="shared" si="5"/>
        <v>0</v>
      </c>
      <c r="S5">
        <f t="shared" si="6"/>
        <v>-2.0238874515565461</v>
      </c>
      <c r="U5">
        <f t="shared" si="7"/>
        <v>0</v>
      </c>
      <c r="V5">
        <f t="shared" si="8"/>
        <v>87.508750062603866</v>
      </c>
      <c r="W5">
        <f t="shared" si="9"/>
        <v>0</v>
      </c>
      <c r="X5">
        <f t="shared" si="10"/>
        <v>-2.0238874515565461</v>
      </c>
    </row>
    <row r="6" spans="1:24" x14ac:dyDescent="0.45">
      <c r="A6" s="4">
        <v>43221</v>
      </c>
      <c r="B6" s="1">
        <v>2705.27</v>
      </c>
      <c r="C6" s="1">
        <v>57.2199999999998</v>
      </c>
      <c r="D6" s="55">
        <v>0</v>
      </c>
      <c r="E6" s="1">
        <v>1297.92</v>
      </c>
      <c r="F6" s="1">
        <v>-17.029999999999973</v>
      </c>
      <c r="G6">
        <v>0</v>
      </c>
      <c r="H6">
        <f t="shared" si="0"/>
        <v>-2.0238874515565461</v>
      </c>
      <c r="I6">
        <f t="shared" si="1"/>
        <v>0.86640716260403927</v>
      </c>
      <c r="J6">
        <f t="shared" si="2"/>
        <v>-13.872267337396037</v>
      </c>
      <c r="K6" t="s">
        <v>42</v>
      </c>
      <c r="P6">
        <f t="shared" si="3"/>
        <v>0</v>
      </c>
      <c r="Q6">
        <f t="shared" si="4"/>
        <v>0.86640716260403927</v>
      </c>
      <c r="R6">
        <f t="shared" si="5"/>
        <v>0</v>
      </c>
      <c r="S6">
        <f t="shared" si="6"/>
        <v>-2.0238874515565461</v>
      </c>
      <c r="U6">
        <f t="shared" si="7"/>
        <v>0</v>
      </c>
      <c r="V6">
        <f t="shared" si="8"/>
        <v>-28.832808837395966</v>
      </c>
      <c r="W6">
        <f t="shared" si="9"/>
        <v>0</v>
      </c>
      <c r="X6">
        <f t="shared" si="10"/>
        <v>-2.0238874515565461</v>
      </c>
    </row>
    <row r="7" spans="1:24" x14ac:dyDescent="0.45">
      <c r="A7" s="4">
        <v>43252</v>
      </c>
      <c r="B7" s="1">
        <v>2718.37</v>
      </c>
      <c r="C7" s="1">
        <v>13.099999999999909</v>
      </c>
      <c r="D7" s="55">
        <v>0</v>
      </c>
      <c r="E7" s="1">
        <v>1252.25</v>
      </c>
      <c r="F7" s="1">
        <v>-45.670000000000073</v>
      </c>
      <c r="G7">
        <v>0</v>
      </c>
      <c r="H7">
        <f t="shared" si="0"/>
        <v>-2.0238874515565461</v>
      </c>
      <c r="I7">
        <f t="shared" si="1"/>
        <v>87.508750062603866</v>
      </c>
      <c r="J7">
        <f t="shared" si="2"/>
        <v>-13.872267337396037</v>
      </c>
      <c r="K7" t="s">
        <v>20</v>
      </c>
      <c r="L7" t="s">
        <v>21</v>
      </c>
      <c r="M7" t="s">
        <v>22</v>
      </c>
      <c r="P7">
        <f t="shared" si="3"/>
        <v>0</v>
      </c>
      <c r="Q7">
        <f t="shared" si="4"/>
        <v>87.508750062603866</v>
      </c>
      <c r="R7">
        <f t="shared" si="5"/>
        <v>0</v>
      </c>
      <c r="S7">
        <f t="shared" si="6"/>
        <v>-2.0238874515565461</v>
      </c>
      <c r="U7">
        <f t="shared" si="7"/>
        <v>0</v>
      </c>
      <c r="V7">
        <f t="shared" si="8"/>
        <v>80.360340962603942</v>
      </c>
      <c r="W7">
        <f t="shared" si="9"/>
        <v>0</v>
      </c>
      <c r="X7">
        <f t="shared" si="10"/>
        <v>-2.0238874515565461</v>
      </c>
    </row>
    <row r="8" spans="1:24" x14ac:dyDescent="0.45">
      <c r="A8" s="4">
        <v>43282</v>
      </c>
      <c r="B8" s="1">
        <v>2816.29</v>
      </c>
      <c r="C8" s="1">
        <v>97.920000000000073</v>
      </c>
      <c r="D8" s="55">
        <v>0</v>
      </c>
      <c r="E8" s="1">
        <v>1223.4100000000001</v>
      </c>
      <c r="F8" s="1">
        <v>-28.839999999999918</v>
      </c>
      <c r="G8">
        <v>0</v>
      </c>
      <c r="H8">
        <f t="shared" si="0"/>
        <v>-2.0238874515565461</v>
      </c>
      <c r="I8">
        <f t="shared" si="1"/>
        <v>-28.832808837395966</v>
      </c>
      <c r="J8">
        <f t="shared" si="2"/>
        <v>-13.872267337396037</v>
      </c>
      <c r="K8">
        <f>SUMPRODUCT(S3:S69,Q3:Q69)</f>
        <v>246229.08500028055</v>
      </c>
      <c r="L8">
        <f>SUMPRODUCT(H3:H81,H3:H81)</f>
        <v>2389988.8288306626</v>
      </c>
      <c r="M8">
        <f>SUMPRODUCT(J3:J81,J3:J81)</f>
        <v>385286.47214525775</v>
      </c>
      <c r="P8">
        <f t="shared" si="3"/>
        <v>0</v>
      </c>
      <c r="Q8">
        <f t="shared" si="4"/>
        <v>-28.832808837395966</v>
      </c>
      <c r="R8">
        <f t="shared" si="5"/>
        <v>0</v>
      </c>
      <c r="S8">
        <f t="shared" si="6"/>
        <v>-2.0238874515565461</v>
      </c>
      <c r="U8">
        <f t="shared" si="7"/>
        <v>0</v>
      </c>
      <c r="V8">
        <f t="shared" si="8"/>
        <v>-59.202246337395991</v>
      </c>
      <c r="W8">
        <f t="shared" si="9"/>
        <v>0</v>
      </c>
      <c r="X8">
        <f t="shared" si="10"/>
        <v>-2.0238874515565461</v>
      </c>
    </row>
    <row r="9" spans="1:24" x14ac:dyDescent="0.45">
      <c r="A9" s="4">
        <v>43313</v>
      </c>
      <c r="B9" s="1">
        <v>2901.52</v>
      </c>
      <c r="C9" s="1">
        <v>85.230000000000018</v>
      </c>
      <c r="D9" s="55">
        <v>0</v>
      </c>
      <c r="E9" s="1">
        <v>1200.71</v>
      </c>
      <c r="F9" s="1">
        <v>-22.700000000000045</v>
      </c>
      <c r="G9">
        <v>0</v>
      </c>
      <c r="H9">
        <f t="shared" si="0"/>
        <v>-2.0238874515565461</v>
      </c>
      <c r="I9">
        <f t="shared" si="1"/>
        <v>80.360340962603942</v>
      </c>
      <c r="J9">
        <f t="shared" si="2"/>
        <v>-13.872267337396037</v>
      </c>
      <c r="L9">
        <f>SQRT(L8)</f>
        <v>1545.9588703554382</v>
      </c>
      <c r="M9">
        <f>SQRT(M8)</f>
        <v>620.71448520657043</v>
      </c>
      <c r="P9">
        <f t="shared" si="3"/>
        <v>0</v>
      </c>
      <c r="Q9">
        <f t="shared" si="4"/>
        <v>80.360340962603942</v>
      </c>
      <c r="R9">
        <f t="shared" si="5"/>
        <v>0</v>
      </c>
      <c r="S9">
        <f t="shared" si="6"/>
        <v>-2.0238874515565461</v>
      </c>
      <c r="U9">
        <f t="shared" si="7"/>
        <v>0</v>
      </c>
      <c r="V9">
        <f t="shared" si="8"/>
        <v>33.909965062604037</v>
      </c>
      <c r="W9">
        <f t="shared" si="9"/>
        <v>0</v>
      </c>
      <c r="X9">
        <f t="shared" si="10"/>
        <v>-2.0238874515565461</v>
      </c>
    </row>
    <row r="10" spans="1:24" x14ac:dyDescent="0.45">
      <c r="A10" s="4">
        <v>43344</v>
      </c>
      <c r="B10" s="1">
        <v>2913.98</v>
      </c>
      <c r="C10" s="1">
        <v>12.460000000000036</v>
      </c>
      <c r="D10" s="55">
        <f>C10-0.31899*D3-37.5</f>
        <v>-25.039999999999964</v>
      </c>
      <c r="E10" s="1">
        <v>1191.69</v>
      </c>
      <c r="F10" s="1">
        <v>-9.0199999999999818</v>
      </c>
      <c r="G10">
        <f>F10-0.31899*G3</f>
        <v>-9.0199999999999818</v>
      </c>
      <c r="H10">
        <f t="shared" si="0"/>
        <v>-27.063887451556511</v>
      </c>
      <c r="I10">
        <f t="shared" si="1"/>
        <v>-59.202246337395991</v>
      </c>
      <c r="J10">
        <f t="shared" si="2"/>
        <v>-22.892267337396021</v>
      </c>
      <c r="K10">
        <f>K8/(L9*M9)</f>
        <v>0.25659579520711495</v>
      </c>
      <c r="P10">
        <f t="shared" si="3"/>
        <v>-9.0199999999999818</v>
      </c>
      <c r="Q10">
        <f t="shared" si="4"/>
        <v>-59.202246337395991</v>
      </c>
      <c r="R10">
        <f t="shared" si="5"/>
        <v>-25.039999999999964</v>
      </c>
      <c r="S10">
        <f t="shared" si="6"/>
        <v>-27.063887451556511</v>
      </c>
      <c r="U10">
        <f t="shared" si="7"/>
        <v>-9.0199999999999818</v>
      </c>
      <c r="V10">
        <f t="shared" si="8"/>
        <v>-61.322729510697968</v>
      </c>
      <c r="W10">
        <f t="shared" si="9"/>
        <v>-25.039999999999964</v>
      </c>
      <c r="X10">
        <f t="shared" si="10"/>
        <v>-27.063887451556511</v>
      </c>
    </row>
    <row r="11" spans="1:24" x14ac:dyDescent="0.45">
      <c r="A11" s="4">
        <v>43374</v>
      </c>
      <c r="B11" s="1">
        <v>2711.74</v>
      </c>
      <c r="C11" s="1">
        <v>-202.24000000000024</v>
      </c>
      <c r="D11" s="55">
        <f t="shared" ref="D11:D74" si="11">C11-0.31899*D4-37.5</f>
        <v>-239.74000000000024</v>
      </c>
      <c r="E11" s="1">
        <v>1214.1400000000001</v>
      </c>
      <c r="F11" s="1">
        <v>22.450000000000045</v>
      </c>
      <c r="G11">
        <f t="shared" ref="G11:G74" si="12">F11-0.31899*G4</f>
        <v>22.450000000000045</v>
      </c>
      <c r="H11">
        <f t="shared" si="0"/>
        <v>-241.76388745155677</v>
      </c>
      <c r="I11">
        <f t="shared" si="1"/>
        <v>33.909965062604037</v>
      </c>
      <c r="J11">
        <f t="shared" si="2"/>
        <v>8.5777326626040082</v>
      </c>
      <c r="K11" t="s">
        <v>43</v>
      </c>
      <c r="P11">
        <f t="shared" si="3"/>
        <v>22.450000000000045</v>
      </c>
      <c r="Q11">
        <f t="shared" si="4"/>
        <v>33.909965062604037</v>
      </c>
      <c r="R11">
        <f t="shared" si="5"/>
        <v>-239.74000000000024</v>
      </c>
      <c r="S11">
        <f t="shared" si="6"/>
        <v>-241.76388745155677</v>
      </c>
      <c r="U11">
        <f t="shared" si="7"/>
        <v>22.450000000000045</v>
      </c>
      <c r="V11">
        <f t="shared" si="8"/>
        <v>34.536242883848836</v>
      </c>
      <c r="W11">
        <f t="shared" si="9"/>
        <v>-239.74000000000024</v>
      </c>
      <c r="X11">
        <f t="shared" si="10"/>
        <v>-241.76388745155677</v>
      </c>
    </row>
    <row r="12" spans="1:24" x14ac:dyDescent="0.45">
      <c r="A12" s="4">
        <v>43405</v>
      </c>
      <c r="B12" s="1">
        <v>2760.17</v>
      </c>
      <c r="C12" s="1">
        <v>48.430000000000291</v>
      </c>
      <c r="D12" s="55">
        <f t="shared" si="11"/>
        <v>10.930000000000291</v>
      </c>
      <c r="E12" s="1">
        <v>1221.8800000000001</v>
      </c>
      <c r="F12" s="1">
        <v>7.7400000000000091</v>
      </c>
      <c r="G12">
        <f t="shared" si="12"/>
        <v>7.7400000000000091</v>
      </c>
      <c r="H12">
        <f t="shared" si="0"/>
        <v>8.906112548443744</v>
      </c>
      <c r="I12">
        <f t="shared" si="1"/>
        <v>-61.322729510697968</v>
      </c>
      <c r="J12">
        <f t="shared" si="2"/>
        <v>-6.1322673373960281</v>
      </c>
      <c r="K12">
        <f>SUMPRODUCT(X3:X67,V3:V67)</f>
        <v>-201084.75064954336</v>
      </c>
      <c r="P12">
        <f t="shared" si="3"/>
        <v>7.7400000000000091</v>
      </c>
      <c r="Q12">
        <f t="shared" si="4"/>
        <v>-61.322729510697968</v>
      </c>
      <c r="R12">
        <f t="shared" si="5"/>
        <v>10.930000000000291</v>
      </c>
      <c r="S12">
        <f t="shared" si="6"/>
        <v>8.906112548443744</v>
      </c>
      <c r="U12">
        <f t="shared" si="7"/>
        <v>7.7400000000000091</v>
      </c>
      <c r="V12">
        <f t="shared" si="8"/>
        <v>26.588201922177944</v>
      </c>
      <c r="W12">
        <f t="shared" si="9"/>
        <v>10.930000000000291</v>
      </c>
      <c r="X12">
        <f t="shared" si="10"/>
        <v>8.906112548443744</v>
      </c>
    </row>
    <row r="13" spans="1:24" x14ac:dyDescent="0.45">
      <c r="A13" s="4">
        <v>43435</v>
      </c>
      <c r="B13" s="1">
        <v>2506.85</v>
      </c>
      <c r="C13" s="1">
        <v>-253.32000000000016</v>
      </c>
      <c r="D13" s="55">
        <f t="shared" si="11"/>
        <v>-290.82000000000016</v>
      </c>
      <c r="E13" s="1">
        <v>1282.73</v>
      </c>
      <c r="F13" s="1">
        <v>60.849999999999909</v>
      </c>
      <c r="G13">
        <f t="shared" si="12"/>
        <v>60.849999999999909</v>
      </c>
      <c r="H13">
        <f t="shared" si="0"/>
        <v>-292.84388745155672</v>
      </c>
      <c r="I13">
        <f t="shared" si="1"/>
        <v>34.536242883848836</v>
      </c>
      <c r="J13">
        <f t="shared" si="2"/>
        <v>46.97773266260387</v>
      </c>
      <c r="K13">
        <f>K12/(L9*M9)</f>
        <v>-0.20955079899226856</v>
      </c>
      <c r="P13">
        <f t="shared" si="3"/>
        <v>60.849999999999909</v>
      </c>
      <c r="Q13">
        <f t="shared" si="4"/>
        <v>34.536242883848836</v>
      </c>
      <c r="R13">
        <f t="shared" si="5"/>
        <v>-290.82000000000016</v>
      </c>
      <c r="S13">
        <f t="shared" si="6"/>
        <v>-292.84388745155672</v>
      </c>
      <c r="U13">
        <f t="shared" si="7"/>
        <v>60.849999999999909</v>
      </c>
      <c r="V13">
        <f t="shared" si="8"/>
        <v>-14.170004204310997</v>
      </c>
      <c r="W13">
        <f t="shared" si="9"/>
        <v>-290.82000000000016</v>
      </c>
      <c r="X13">
        <f t="shared" si="10"/>
        <v>-292.84388745155672</v>
      </c>
    </row>
    <row r="14" spans="1:24" x14ac:dyDescent="0.45">
      <c r="A14" s="4">
        <v>43466</v>
      </c>
      <c r="B14" s="1">
        <v>2704.1</v>
      </c>
      <c r="C14" s="1">
        <v>197.25</v>
      </c>
      <c r="D14" s="55">
        <f t="shared" si="11"/>
        <v>159.75</v>
      </c>
      <c r="E14" s="1">
        <v>1320.56</v>
      </c>
      <c r="F14" s="1">
        <v>37.829999999999927</v>
      </c>
      <c r="G14">
        <f t="shared" si="12"/>
        <v>37.829999999999927</v>
      </c>
      <c r="H14">
        <f t="shared" si="0"/>
        <v>157.72611254844347</v>
      </c>
      <c r="I14">
        <f t="shared" si="1"/>
        <v>26.588201922177944</v>
      </c>
      <c r="J14">
        <f t="shared" si="2"/>
        <v>23.957732662603888</v>
      </c>
      <c r="P14">
        <f t="shared" si="3"/>
        <v>37.829999999999927</v>
      </c>
      <c r="Q14">
        <f t="shared" si="4"/>
        <v>26.588201922177944</v>
      </c>
      <c r="R14">
        <f t="shared" si="5"/>
        <v>159.75</v>
      </c>
      <c r="S14">
        <f t="shared" si="6"/>
        <v>157.72611254844347</v>
      </c>
      <c r="U14">
        <f t="shared" si="7"/>
        <v>37.829999999999927</v>
      </c>
      <c r="V14">
        <f t="shared" si="8"/>
        <v>-57.62152705901309</v>
      </c>
      <c r="W14">
        <f t="shared" si="9"/>
        <v>159.75</v>
      </c>
      <c r="X14">
        <f t="shared" si="10"/>
        <v>157.72611254844347</v>
      </c>
    </row>
    <row r="15" spans="1:24" x14ac:dyDescent="0.45">
      <c r="A15" s="4">
        <v>43497</v>
      </c>
      <c r="B15" s="1">
        <v>2784.49</v>
      </c>
      <c r="C15" s="1">
        <v>80.389999999999873</v>
      </c>
      <c r="D15" s="55">
        <f t="shared" si="11"/>
        <v>42.889999999999873</v>
      </c>
      <c r="E15" s="1">
        <v>1312.66</v>
      </c>
      <c r="F15" s="1">
        <v>-7.8999999999998636</v>
      </c>
      <c r="G15">
        <f t="shared" si="12"/>
        <v>-7.8999999999998636</v>
      </c>
      <c r="H15">
        <f t="shared" si="0"/>
        <v>40.866112548443326</v>
      </c>
      <c r="I15">
        <f t="shared" si="1"/>
        <v>-14.170004204310997</v>
      </c>
      <c r="J15">
        <f t="shared" si="2"/>
        <v>-21.772267337395903</v>
      </c>
      <c r="P15">
        <f t="shared" si="3"/>
        <v>-7.8999999999998636</v>
      </c>
      <c r="Q15">
        <f t="shared" si="4"/>
        <v>-14.170004204310997</v>
      </c>
      <c r="R15">
        <f t="shared" si="5"/>
        <v>42.889999999999873</v>
      </c>
      <c r="S15">
        <f t="shared" si="6"/>
        <v>40.866112548443326</v>
      </c>
      <c r="U15">
        <f t="shared" si="7"/>
        <v>-7.8999999999998636</v>
      </c>
      <c r="V15">
        <f t="shared" si="8"/>
        <v>109.62754266381391</v>
      </c>
      <c r="W15">
        <f t="shared" si="9"/>
        <v>42.889999999999873</v>
      </c>
      <c r="X15">
        <f t="shared" si="10"/>
        <v>40.866112548443326</v>
      </c>
    </row>
    <row r="16" spans="1:24" x14ac:dyDescent="0.45">
      <c r="A16" s="4">
        <v>43525</v>
      </c>
      <c r="B16" s="1">
        <v>2834.4</v>
      </c>
      <c r="C16" s="1">
        <v>49.910000000000309</v>
      </c>
      <c r="D16" s="55">
        <f t="shared" si="11"/>
        <v>12.410000000000309</v>
      </c>
      <c r="E16" s="1">
        <v>1291.9000000000001</v>
      </c>
      <c r="F16" s="1">
        <v>-20.759999999999991</v>
      </c>
      <c r="G16">
        <f t="shared" si="12"/>
        <v>-20.759999999999991</v>
      </c>
      <c r="H16">
        <f t="shared" si="0"/>
        <v>10.386112548443762</v>
      </c>
      <c r="I16">
        <f t="shared" si="1"/>
        <v>-57.62152705901309</v>
      </c>
      <c r="J16">
        <f t="shared" si="2"/>
        <v>-34.63226733739603</v>
      </c>
      <c r="P16">
        <f t="shared" si="3"/>
        <v>-20.759999999999991</v>
      </c>
      <c r="Q16">
        <f t="shared" si="4"/>
        <v>-57.62152705901309</v>
      </c>
      <c r="R16">
        <f t="shared" si="5"/>
        <v>12.410000000000309</v>
      </c>
      <c r="S16">
        <f t="shared" si="6"/>
        <v>10.386112548443762</v>
      </c>
      <c r="U16">
        <f t="shared" si="7"/>
        <v>-20.759999999999991</v>
      </c>
      <c r="V16">
        <f t="shared" si="8"/>
        <v>17.095678349327976</v>
      </c>
      <c r="W16">
        <f t="shared" si="9"/>
        <v>12.410000000000309</v>
      </c>
      <c r="X16">
        <f t="shared" si="10"/>
        <v>10.386112548443762</v>
      </c>
    </row>
    <row r="17" spans="1:24" x14ac:dyDescent="0.45">
      <c r="A17" s="4">
        <v>43556</v>
      </c>
      <c r="B17" s="1">
        <v>2945.83</v>
      </c>
      <c r="C17" s="1">
        <v>111.42999999999984</v>
      </c>
      <c r="D17" s="55">
        <f t="shared" si="11"/>
        <v>81.917509599999818</v>
      </c>
      <c r="E17" s="1">
        <v>1283.3499999999999</v>
      </c>
      <c r="F17" s="1">
        <v>-8.5500000000001819</v>
      </c>
      <c r="G17">
        <f t="shared" si="12"/>
        <v>-5.6727102000001874</v>
      </c>
      <c r="H17">
        <f t="shared" si="0"/>
        <v>79.893622148443271</v>
      </c>
      <c r="I17">
        <f t="shared" si="1"/>
        <v>109.62754266381391</v>
      </c>
      <c r="J17">
        <f t="shared" si="2"/>
        <v>-19.544977537396225</v>
      </c>
      <c r="P17">
        <f t="shared" si="3"/>
        <v>-5.6727102000001874</v>
      </c>
      <c r="Q17">
        <f t="shared" si="4"/>
        <v>109.62754266381391</v>
      </c>
      <c r="R17">
        <f t="shared" si="5"/>
        <v>81.917509599999818</v>
      </c>
      <c r="S17">
        <f t="shared" si="6"/>
        <v>79.893622148443271</v>
      </c>
      <c r="U17">
        <f t="shared" si="7"/>
        <v>-5.6727102000001874</v>
      </c>
      <c r="V17">
        <f t="shared" si="8"/>
        <v>55.633955591265661</v>
      </c>
      <c r="W17">
        <f t="shared" si="9"/>
        <v>81.917509599999818</v>
      </c>
      <c r="X17">
        <f t="shared" si="10"/>
        <v>79.893622148443271</v>
      </c>
    </row>
    <row r="18" spans="1:24" x14ac:dyDescent="0.45">
      <c r="A18" s="4">
        <v>43586</v>
      </c>
      <c r="B18" s="1">
        <v>2752.06</v>
      </c>
      <c r="C18" s="1">
        <v>-193.76999999999998</v>
      </c>
      <c r="D18" s="55">
        <f t="shared" si="11"/>
        <v>-154.79533739999991</v>
      </c>
      <c r="E18" s="1">
        <v>1305.25</v>
      </c>
      <c r="F18" s="1">
        <v>21.900000000000091</v>
      </c>
      <c r="G18">
        <f t="shared" si="12"/>
        <v>14.738674500000077</v>
      </c>
      <c r="H18">
        <f t="shared" si="0"/>
        <v>-156.81922485155644</v>
      </c>
      <c r="I18">
        <f t="shared" si="1"/>
        <v>17.095678349327976</v>
      </c>
      <c r="J18">
        <f t="shared" si="2"/>
        <v>0.86640716260403927</v>
      </c>
      <c r="P18">
        <f t="shared" si="3"/>
        <v>14.738674500000077</v>
      </c>
      <c r="Q18">
        <f t="shared" si="4"/>
        <v>17.095678349327976</v>
      </c>
      <c r="R18">
        <f t="shared" si="5"/>
        <v>-154.79533739999991</v>
      </c>
      <c r="S18">
        <f t="shared" si="6"/>
        <v>-156.81922485155644</v>
      </c>
      <c r="U18">
        <f t="shared" si="7"/>
        <v>14.738674500000077</v>
      </c>
      <c r="V18">
        <f t="shared" si="8"/>
        <v>164.70590198712904</v>
      </c>
      <c r="W18">
        <f t="shared" si="9"/>
        <v>-154.79533739999991</v>
      </c>
      <c r="X18">
        <f t="shared" si="10"/>
        <v>-156.81922485155644</v>
      </c>
    </row>
    <row r="19" spans="1:24" x14ac:dyDescent="0.45">
      <c r="A19" s="4">
        <v>43617</v>
      </c>
      <c r="B19" s="1">
        <v>2941.76</v>
      </c>
      <c r="C19" s="1">
        <v>189.70000000000027</v>
      </c>
      <c r="D19" s="55">
        <f t="shared" si="11"/>
        <v>148.71343930000018</v>
      </c>
      <c r="E19" s="1">
        <v>1409.1</v>
      </c>
      <c r="F19" s="1">
        <v>103.84999999999991</v>
      </c>
      <c r="G19">
        <f t="shared" si="12"/>
        <v>101.38101739999991</v>
      </c>
      <c r="H19">
        <f t="shared" si="0"/>
        <v>146.68955184844364</v>
      </c>
      <c r="I19">
        <f t="shared" si="1"/>
        <v>55.633955591265661</v>
      </c>
      <c r="J19">
        <f t="shared" si="2"/>
        <v>87.508750062603866</v>
      </c>
      <c r="P19">
        <f t="shared" si="3"/>
        <v>101.38101739999991</v>
      </c>
      <c r="Q19">
        <f t="shared" si="4"/>
        <v>55.633955591265661</v>
      </c>
      <c r="R19">
        <f t="shared" si="5"/>
        <v>148.71343930000018</v>
      </c>
      <c r="S19">
        <f t="shared" si="6"/>
        <v>146.68955184844364</v>
      </c>
      <c r="U19">
        <f t="shared" si="7"/>
        <v>101.38101739999991</v>
      </c>
      <c r="V19">
        <f t="shared" si="8"/>
        <v>-31.718752426507599</v>
      </c>
      <c r="W19">
        <f t="shared" si="9"/>
        <v>148.71343930000018</v>
      </c>
      <c r="X19">
        <f t="shared" si="10"/>
        <v>146.68955184844364</v>
      </c>
    </row>
    <row r="20" spans="1:24" x14ac:dyDescent="0.45">
      <c r="A20" s="4">
        <v>43647</v>
      </c>
      <c r="B20" s="1">
        <v>2980.38</v>
      </c>
      <c r="C20" s="1">
        <v>38.619999999999891</v>
      </c>
      <c r="D20" s="55">
        <f t="shared" si="11"/>
        <v>93.888671799999941</v>
      </c>
      <c r="E20" s="1">
        <v>1413.55</v>
      </c>
      <c r="F20" s="1">
        <v>4.4500000000000455</v>
      </c>
      <c r="G20">
        <f t="shared" si="12"/>
        <v>-14.960541499999927</v>
      </c>
      <c r="H20">
        <f t="shared" si="0"/>
        <v>91.864784348443393</v>
      </c>
      <c r="I20">
        <f t="shared" si="1"/>
        <v>164.70590198712904</v>
      </c>
      <c r="J20">
        <f t="shared" si="2"/>
        <v>-28.832808837395966</v>
      </c>
      <c r="P20">
        <f t="shared" si="3"/>
        <v>-14.960541499999927</v>
      </c>
      <c r="Q20">
        <f t="shared" si="4"/>
        <v>164.70590198712904</v>
      </c>
      <c r="R20">
        <f t="shared" si="5"/>
        <v>93.888671799999941</v>
      </c>
      <c r="S20">
        <f t="shared" si="6"/>
        <v>91.864784348443393</v>
      </c>
      <c r="U20">
        <f t="shared" si="7"/>
        <v>-14.960541499999927</v>
      </c>
      <c r="V20">
        <f t="shared" si="8"/>
        <v>-98.087292254218781</v>
      </c>
      <c r="W20">
        <f t="shared" si="9"/>
        <v>93.888671799999941</v>
      </c>
      <c r="X20">
        <f t="shared" si="10"/>
        <v>91.864784348443393</v>
      </c>
    </row>
    <row r="21" spans="1:24" x14ac:dyDescent="0.45">
      <c r="A21" s="4">
        <v>43678</v>
      </c>
      <c r="B21" s="1">
        <v>2926.46</v>
      </c>
      <c r="C21" s="1">
        <v>-53.920000000000073</v>
      </c>
      <c r="D21" s="55">
        <f t="shared" si="11"/>
        <v>-142.37865250000007</v>
      </c>
      <c r="E21" s="1">
        <v>1519.85</v>
      </c>
      <c r="F21" s="1">
        <v>106.29999999999995</v>
      </c>
      <c r="G21">
        <f t="shared" si="12"/>
        <v>94.232608299999981</v>
      </c>
      <c r="H21">
        <f t="shared" si="0"/>
        <v>-144.40253995155661</v>
      </c>
      <c r="I21">
        <f t="shared" si="1"/>
        <v>-31.718752426507599</v>
      </c>
      <c r="J21">
        <f t="shared" si="2"/>
        <v>80.360340962603942</v>
      </c>
      <c r="P21">
        <f t="shared" si="3"/>
        <v>94.232608299999981</v>
      </c>
      <c r="Q21">
        <f t="shared" si="4"/>
        <v>-31.718752426507599</v>
      </c>
      <c r="R21">
        <f t="shared" si="5"/>
        <v>-142.37865250000007</v>
      </c>
      <c r="S21">
        <f t="shared" si="6"/>
        <v>-144.40253995155661</v>
      </c>
      <c r="U21">
        <f t="shared" si="7"/>
        <v>94.232608299999981</v>
      </c>
      <c r="V21">
        <f t="shared" si="8"/>
        <v>-7.4066909787974229</v>
      </c>
      <c r="W21">
        <f t="shared" si="9"/>
        <v>-142.37865250000007</v>
      </c>
      <c r="X21">
        <f t="shared" si="10"/>
        <v>-144.40253995155661</v>
      </c>
    </row>
    <row r="22" spans="1:24" x14ac:dyDescent="0.45">
      <c r="A22" s="4">
        <v>43709</v>
      </c>
      <c r="B22" s="1">
        <v>2976.74</v>
      </c>
      <c r="C22" s="1">
        <v>50.279999999999745</v>
      </c>
      <c r="D22" s="55">
        <f t="shared" si="11"/>
        <v>-0.9014811000002112</v>
      </c>
      <c r="E22" s="1">
        <v>1472</v>
      </c>
      <c r="F22" s="1">
        <v>-47.849999999999909</v>
      </c>
      <c r="G22">
        <f t="shared" si="12"/>
        <v>-45.329978999999952</v>
      </c>
      <c r="H22">
        <f t="shared" si="0"/>
        <v>-2.9253685515567573</v>
      </c>
      <c r="I22">
        <f t="shared" si="1"/>
        <v>-98.087292254218781</v>
      </c>
      <c r="J22">
        <f t="shared" si="2"/>
        <v>-59.202246337395991</v>
      </c>
      <c r="P22">
        <f t="shared" si="3"/>
        <v>-45.329978999999952</v>
      </c>
      <c r="Q22">
        <f t="shared" si="4"/>
        <v>-98.087292254218781</v>
      </c>
      <c r="R22">
        <f t="shared" si="5"/>
        <v>-0.9014811000002112</v>
      </c>
      <c r="S22">
        <f t="shared" si="6"/>
        <v>-2.9253685515567573</v>
      </c>
      <c r="U22">
        <f t="shared" si="7"/>
        <v>-45.329978999999952</v>
      </c>
      <c r="V22">
        <f t="shared" si="8"/>
        <v>-154.19747172968206</v>
      </c>
      <c r="W22">
        <f t="shared" si="9"/>
        <v>-0.9014811000002112</v>
      </c>
      <c r="X22">
        <f t="shared" si="10"/>
        <v>-2.9253685515567573</v>
      </c>
    </row>
    <row r="23" spans="1:24" x14ac:dyDescent="0.45">
      <c r="A23" s="4">
        <v>43739</v>
      </c>
      <c r="B23" s="1">
        <v>3037.56</v>
      </c>
      <c r="C23" s="1">
        <v>60.820000000000164</v>
      </c>
      <c r="D23" s="55">
        <f t="shared" si="11"/>
        <v>19.361334100000064</v>
      </c>
      <c r="E23" s="1">
        <v>1513.16</v>
      </c>
      <c r="F23" s="1">
        <v>41.160000000000082</v>
      </c>
      <c r="G23">
        <f t="shared" si="12"/>
        <v>47.782232400000076</v>
      </c>
      <c r="H23">
        <f t="shared" si="0"/>
        <v>17.337446648443517</v>
      </c>
      <c r="I23">
        <f t="shared" si="1"/>
        <v>-7.4066909787974229</v>
      </c>
      <c r="J23">
        <f t="shared" si="2"/>
        <v>33.909965062604037</v>
      </c>
      <c r="P23">
        <f t="shared" si="3"/>
        <v>47.782232400000076</v>
      </c>
      <c r="Q23">
        <f t="shared" si="4"/>
        <v>-7.4066909787974229</v>
      </c>
      <c r="R23">
        <f t="shared" si="5"/>
        <v>19.361334100000064</v>
      </c>
      <c r="S23">
        <f t="shared" si="6"/>
        <v>17.337446648443517</v>
      </c>
      <c r="U23">
        <f t="shared" si="7"/>
        <v>47.782232400000076</v>
      </c>
      <c r="V23">
        <f t="shared" si="8"/>
        <v>95.719267667995894</v>
      </c>
      <c r="W23">
        <f t="shared" si="9"/>
        <v>19.361334100000064</v>
      </c>
      <c r="X23">
        <f t="shared" si="10"/>
        <v>17.337446648443517</v>
      </c>
    </row>
    <row r="24" spans="1:24" x14ac:dyDescent="0.45">
      <c r="A24" s="4">
        <v>43770</v>
      </c>
      <c r="B24" s="1">
        <v>3140.98</v>
      </c>
      <c r="C24" s="1">
        <v>103.42000000000007</v>
      </c>
      <c r="D24" s="55">
        <f t="shared" si="11"/>
        <v>39.789133612696133</v>
      </c>
      <c r="E24" s="1">
        <v>1463.9</v>
      </c>
      <c r="F24" s="1">
        <v>-49.259999999999991</v>
      </c>
      <c r="G24">
        <f t="shared" si="12"/>
        <v>-47.450462173301929</v>
      </c>
      <c r="H24">
        <f t="shared" si="0"/>
        <v>37.765246161139586</v>
      </c>
      <c r="I24">
        <f t="shared" si="1"/>
        <v>-154.19747172968206</v>
      </c>
      <c r="J24">
        <f t="shared" si="2"/>
        <v>-61.322729510697968</v>
      </c>
      <c r="P24">
        <f t="shared" si="3"/>
        <v>-47.450462173301929</v>
      </c>
      <c r="Q24">
        <f t="shared" si="4"/>
        <v>-154.19747172968206</v>
      </c>
      <c r="R24">
        <f t="shared" si="5"/>
        <v>39.789133612696133</v>
      </c>
      <c r="S24">
        <f t="shared" si="6"/>
        <v>37.765246161139586</v>
      </c>
      <c r="U24">
        <f t="shared" si="7"/>
        <v>-47.450462173301929</v>
      </c>
      <c r="V24">
        <f t="shared" si="8"/>
        <v>-86.44405738940992</v>
      </c>
      <c r="W24">
        <f t="shared" si="9"/>
        <v>39.789133612696133</v>
      </c>
      <c r="X24">
        <f t="shared" si="10"/>
        <v>37.765246161139586</v>
      </c>
    </row>
    <row r="25" spans="1:24" x14ac:dyDescent="0.45">
      <c r="A25" s="4">
        <v>43800</v>
      </c>
      <c r="B25" s="1">
        <v>3230.78</v>
      </c>
      <c r="C25" s="1">
        <v>89.800000000000182</v>
      </c>
      <c r="D25" s="55">
        <f t="shared" si="11"/>
        <v>101.67816467722616</v>
      </c>
      <c r="E25" s="1">
        <v>1517.01</v>
      </c>
      <c r="F25" s="1">
        <v>53.1099999999999</v>
      </c>
      <c r="G25">
        <f t="shared" si="12"/>
        <v>48.408510221244875</v>
      </c>
      <c r="H25">
        <f t="shared" si="0"/>
        <v>99.654277225669617</v>
      </c>
      <c r="I25">
        <f t="shared" si="1"/>
        <v>95.719267667995894</v>
      </c>
      <c r="J25">
        <f t="shared" si="2"/>
        <v>34.536242883848836</v>
      </c>
      <c r="P25">
        <f t="shared" si="3"/>
        <v>48.408510221244875</v>
      </c>
      <c r="Q25">
        <f t="shared" si="4"/>
        <v>95.719267667995894</v>
      </c>
      <c r="R25">
        <f t="shared" si="5"/>
        <v>101.67816467722616</v>
      </c>
      <c r="S25">
        <f t="shared" si="6"/>
        <v>99.654277225669617</v>
      </c>
      <c r="U25">
        <f t="shared" si="7"/>
        <v>48.408510221244875</v>
      </c>
      <c r="V25">
        <f t="shared" si="8"/>
        <v>-183.4369175702262</v>
      </c>
      <c r="W25">
        <f t="shared" si="9"/>
        <v>101.67816467722616</v>
      </c>
      <c r="X25">
        <f t="shared" si="10"/>
        <v>99.654277225669617</v>
      </c>
    </row>
    <row r="26" spans="1:24" x14ac:dyDescent="0.45">
      <c r="A26" s="4">
        <v>43831</v>
      </c>
      <c r="B26" s="1">
        <v>3225.52</v>
      </c>
      <c r="C26" s="1">
        <v>-5.2600000000002183</v>
      </c>
      <c r="D26" s="55">
        <f t="shared" si="11"/>
        <v>-90.198100002307271</v>
      </c>
      <c r="E26" s="1">
        <v>1589.81</v>
      </c>
      <c r="F26" s="1">
        <v>72.799999999999955</v>
      </c>
      <c r="G26">
        <f t="shared" si="12"/>
        <v>40.460469259573983</v>
      </c>
      <c r="H26">
        <f t="shared" si="0"/>
        <v>-92.221987453863818</v>
      </c>
      <c r="I26">
        <f t="shared" si="1"/>
        <v>-86.44405738940992</v>
      </c>
      <c r="J26">
        <f t="shared" si="2"/>
        <v>26.588201922177944</v>
      </c>
      <c r="P26">
        <f t="shared" si="3"/>
        <v>40.460469259573983</v>
      </c>
      <c r="Q26">
        <f t="shared" si="4"/>
        <v>-86.44405738940992</v>
      </c>
      <c r="R26">
        <f t="shared" si="5"/>
        <v>-90.198100002307271</v>
      </c>
      <c r="S26">
        <f t="shared" si="6"/>
        <v>-92.221987453863818</v>
      </c>
      <c r="U26">
        <f t="shared" si="7"/>
        <v>40.460469259573983</v>
      </c>
      <c r="V26">
        <f t="shared" si="8"/>
        <v>-34.65941705882036</v>
      </c>
      <c r="W26">
        <f t="shared" si="9"/>
        <v>-90.198100002307271</v>
      </c>
      <c r="X26">
        <f t="shared" si="10"/>
        <v>-92.221987453863818</v>
      </c>
    </row>
    <row r="27" spans="1:24" x14ac:dyDescent="0.45">
      <c r="A27" s="4">
        <v>43862</v>
      </c>
      <c r="B27" s="1">
        <v>2954.22</v>
      </c>
      <c r="C27" s="1">
        <v>-271.30000000000018</v>
      </c>
      <c r="D27" s="55">
        <f t="shared" si="11"/>
        <v>-338.74954741748218</v>
      </c>
      <c r="E27" s="1">
        <v>1584.74</v>
      </c>
      <c r="F27" s="1">
        <v>-5.0699999999999363</v>
      </c>
      <c r="G27">
        <f t="shared" si="12"/>
        <v>-0.29773686691495982</v>
      </c>
      <c r="H27">
        <f t="shared" si="0"/>
        <v>-340.77343486903874</v>
      </c>
      <c r="I27">
        <f t="shared" si="1"/>
        <v>-183.4369175702262</v>
      </c>
      <c r="J27">
        <f t="shared" si="2"/>
        <v>-14.170004204310997</v>
      </c>
      <c r="P27">
        <f t="shared" si="3"/>
        <v>-0.29773686691495982</v>
      </c>
      <c r="Q27">
        <f t="shared" si="4"/>
        <v>-183.4369175702262</v>
      </c>
      <c r="R27">
        <f t="shared" si="5"/>
        <v>-338.74954741748218</v>
      </c>
      <c r="S27">
        <f t="shared" si="6"/>
        <v>-340.77343486903874</v>
      </c>
      <c r="U27">
        <f t="shared" si="7"/>
        <v>-0.29773686691495982</v>
      </c>
      <c r="V27">
        <f t="shared" si="8"/>
        <v>74.57148346082117</v>
      </c>
      <c r="W27">
        <f t="shared" si="9"/>
        <v>-338.74954741748218</v>
      </c>
      <c r="X27">
        <f t="shared" si="10"/>
        <v>-340.77343486903874</v>
      </c>
    </row>
    <row r="28" spans="1:24" x14ac:dyDescent="0.45">
      <c r="A28" s="4">
        <v>43891</v>
      </c>
      <c r="B28" s="1">
        <v>2584.59</v>
      </c>
      <c r="C28" s="1">
        <v>-369.62999999999965</v>
      </c>
      <c r="D28" s="55">
        <f t="shared" si="11"/>
        <v>-361.7126336390246</v>
      </c>
      <c r="E28" s="1">
        <v>1571.05</v>
      </c>
      <c r="F28" s="1">
        <v>-13.690000000000055</v>
      </c>
      <c r="G28">
        <f t="shared" si="12"/>
        <v>-43.749259721617051</v>
      </c>
      <c r="H28">
        <f t="shared" si="0"/>
        <v>-363.73652109058116</v>
      </c>
      <c r="I28">
        <f t="shared" si="1"/>
        <v>-34.65941705882036</v>
      </c>
      <c r="J28">
        <f t="shared" si="2"/>
        <v>-57.62152705901309</v>
      </c>
      <c r="P28">
        <f t="shared" si="3"/>
        <v>-43.749259721617051</v>
      </c>
      <c r="Q28">
        <f t="shared" si="4"/>
        <v>-34.65941705882036</v>
      </c>
      <c r="R28">
        <f t="shared" si="5"/>
        <v>-361.7126336390246</v>
      </c>
      <c r="S28">
        <f t="shared" si="6"/>
        <v>-363.73652109058116</v>
      </c>
      <c r="U28">
        <f t="shared" si="7"/>
        <v>-43.749259721617051</v>
      </c>
      <c r="V28">
        <f t="shared" si="8"/>
        <v>121.83527845997457</v>
      </c>
      <c r="W28">
        <f t="shared" si="9"/>
        <v>-361.7126336390246</v>
      </c>
      <c r="X28">
        <f t="shared" si="10"/>
        <v>-363.73652109058116</v>
      </c>
    </row>
    <row r="29" spans="1:24" x14ac:dyDescent="0.45">
      <c r="A29" s="4">
        <v>43922</v>
      </c>
      <c r="B29" s="1">
        <v>2912.43</v>
      </c>
      <c r="C29" s="1">
        <v>327.83999999999969</v>
      </c>
      <c r="D29" s="55">
        <f t="shared" si="11"/>
        <v>290.62756345608875</v>
      </c>
      <c r="E29" s="1">
        <v>1680.09</v>
      </c>
      <c r="F29" s="1">
        <v>109.03999999999996</v>
      </c>
      <c r="G29">
        <f t="shared" si="12"/>
        <v>123.49981000120995</v>
      </c>
      <c r="H29">
        <f t="shared" si="0"/>
        <v>288.60367600453219</v>
      </c>
      <c r="I29">
        <f t="shared" si="1"/>
        <v>74.57148346082117</v>
      </c>
      <c r="J29">
        <f t="shared" si="2"/>
        <v>109.62754266381391</v>
      </c>
      <c r="P29">
        <f t="shared" si="3"/>
        <v>123.49981000120995</v>
      </c>
      <c r="Q29">
        <f t="shared" si="4"/>
        <v>74.57148346082117</v>
      </c>
      <c r="R29">
        <f t="shared" si="5"/>
        <v>290.62756345608875</v>
      </c>
      <c r="S29">
        <f t="shared" si="6"/>
        <v>288.60367600453219</v>
      </c>
      <c r="U29">
        <f t="shared" si="7"/>
        <v>123.49981000120995</v>
      </c>
      <c r="V29">
        <f t="shared" si="8"/>
        <v>-105.66993038830066</v>
      </c>
      <c r="W29">
        <f t="shared" si="9"/>
        <v>290.62756345608875</v>
      </c>
      <c r="X29">
        <f t="shared" si="10"/>
        <v>288.60367600453219</v>
      </c>
    </row>
    <row r="30" spans="1:24" x14ac:dyDescent="0.45">
      <c r="A30" s="4">
        <v>43952</v>
      </c>
      <c r="B30" s="1">
        <v>3044.31</v>
      </c>
      <c r="C30" s="1">
        <v>131.88000000000011</v>
      </c>
      <c r="D30" s="55">
        <f t="shared" si="11"/>
        <v>88.203928035441095</v>
      </c>
      <c r="E30" s="1">
        <v>1726.3</v>
      </c>
      <c r="F30" s="1">
        <v>46.210000000000036</v>
      </c>
      <c r="G30">
        <f t="shared" si="12"/>
        <v>30.967945686724015</v>
      </c>
      <c r="H30">
        <f t="shared" si="0"/>
        <v>86.180040583884548</v>
      </c>
      <c r="I30">
        <f t="shared" si="1"/>
        <v>121.83527845997457</v>
      </c>
      <c r="J30">
        <f t="shared" si="2"/>
        <v>17.095678349327976</v>
      </c>
      <c r="P30">
        <f t="shared" si="3"/>
        <v>30.967945686724015</v>
      </c>
      <c r="Q30">
        <f t="shared" si="4"/>
        <v>121.83527845997457</v>
      </c>
      <c r="R30">
        <f t="shared" si="5"/>
        <v>88.203928035441095</v>
      </c>
      <c r="S30">
        <f t="shared" si="6"/>
        <v>86.180040583884548</v>
      </c>
      <c r="U30">
        <f t="shared" si="7"/>
        <v>30.967945686724015</v>
      </c>
      <c r="V30">
        <f t="shared" si="8"/>
        <v>-5.0508710887660353</v>
      </c>
      <c r="W30">
        <f t="shared" si="9"/>
        <v>88.203928035441095</v>
      </c>
      <c r="X30">
        <f t="shared" si="10"/>
        <v>86.180040583884548</v>
      </c>
    </row>
    <row r="31" spans="1:24" x14ac:dyDescent="0.45">
      <c r="A31" s="4">
        <v>43983</v>
      </c>
      <c r="B31" s="1">
        <v>3100.29</v>
      </c>
      <c r="C31" s="1">
        <v>55.980000000000018</v>
      </c>
      <c r="D31" s="55">
        <f t="shared" si="11"/>
        <v>5.7876642688860755</v>
      </c>
      <c r="E31" s="1">
        <v>1780.67</v>
      </c>
      <c r="F31" s="1">
        <v>54.370000000000118</v>
      </c>
      <c r="G31">
        <f t="shared" si="12"/>
        <v>69.5062229286617</v>
      </c>
      <c r="H31">
        <f t="shared" si="0"/>
        <v>3.7637768173295294</v>
      </c>
      <c r="I31">
        <f t="shared" si="1"/>
        <v>-105.66993038830066</v>
      </c>
      <c r="J31">
        <f t="shared" si="2"/>
        <v>55.633955591265661</v>
      </c>
      <c r="P31">
        <f t="shared" si="3"/>
        <v>69.5062229286617</v>
      </c>
      <c r="Q31">
        <f t="shared" si="4"/>
        <v>-105.66993038830066</v>
      </c>
      <c r="R31">
        <f t="shared" si="5"/>
        <v>5.7876642688860755</v>
      </c>
      <c r="S31">
        <f t="shared" si="6"/>
        <v>3.7637768173295294</v>
      </c>
      <c r="U31">
        <f t="shared" si="7"/>
        <v>69.5062229286617</v>
      </c>
      <c r="V31">
        <f t="shared" si="8"/>
        <v>9.127407971296007</v>
      </c>
      <c r="W31">
        <f t="shared" si="9"/>
        <v>5.7876642688860755</v>
      </c>
      <c r="X31">
        <f t="shared" si="10"/>
        <v>3.7637768173295294</v>
      </c>
    </row>
    <row r="32" spans="1:24" x14ac:dyDescent="0.45">
      <c r="A32" s="4">
        <v>44013</v>
      </c>
      <c r="B32" s="1">
        <v>3271.12</v>
      </c>
      <c r="C32" s="1">
        <v>170.82999999999993</v>
      </c>
      <c r="D32" s="55">
        <f t="shared" si="11"/>
        <v>100.89568224961155</v>
      </c>
      <c r="E32" s="1">
        <v>1974.69</v>
      </c>
      <c r="F32" s="1">
        <v>194.01999999999998</v>
      </c>
      <c r="G32">
        <f t="shared" si="12"/>
        <v>178.57816932452508</v>
      </c>
      <c r="H32">
        <f t="shared" si="0"/>
        <v>98.871794798055006</v>
      </c>
      <c r="I32">
        <f t="shared" si="1"/>
        <v>-5.0508710887660353</v>
      </c>
      <c r="J32">
        <f t="shared" si="2"/>
        <v>164.70590198712904</v>
      </c>
      <c r="P32">
        <f t="shared" si="3"/>
        <v>178.57816932452508</v>
      </c>
      <c r="Q32">
        <f t="shared" si="4"/>
        <v>-5.0508710887660353</v>
      </c>
      <c r="R32">
        <f t="shared" si="5"/>
        <v>100.89568224961155</v>
      </c>
      <c r="S32">
        <f t="shared" si="6"/>
        <v>98.871794798055006</v>
      </c>
      <c r="U32">
        <f t="shared" si="7"/>
        <v>178.57816932452508</v>
      </c>
      <c r="V32">
        <f t="shared" si="8"/>
        <v>-16.552839559625525</v>
      </c>
      <c r="W32">
        <f t="shared" si="9"/>
        <v>100.89568224961155</v>
      </c>
      <c r="X32">
        <f t="shared" si="10"/>
        <v>98.871794798055006</v>
      </c>
    </row>
    <row r="33" spans="1:24" x14ac:dyDescent="0.45">
      <c r="A33" s="4">
        <v>44044</v>
      </c>
      <c r="B33" s="1">
        <v>3500.31</v>
      </c>
      <c r="C33" s="1">
        <v>229.19000000000005</v>
      </c>
      <c r="D33" s="55">
        <f t="shared" si="11"/>
        <v>220.46229191973606</v>
      </c>
      <c r="E33" s="1">
        <v>1969.75</v>
      </c>
      <c r="F33" s="1">
        <v>-4.9400000000000546</v>
      </c>
      <c r="G33">
        <f t="shared" si="12"/>
        <v>-17.84648508911156</v>
      </c>
      <c r="H33">
        <f t="shared" si="0"/>
        <v>218.43840446817953</v>
      </c>
      <c r="I33">
        <f t="shared" si="1"/>
        <v>9.127407971296007</v>
      </c>
      <c r="J33">
        <f t="shared" si="2"/>
        <v>-31.718752426507599</v>
      </c>
      <c r="P33">
        <f t="shared" si="3"/>
        <v>-17.84648508911156</v>
      </c>
      <c r="Q33">
        <f t="shared" si="4"/>
        <v>9.127407971296007</v>
      </c>
      <c r="R33">
        <f t="shared" si="5"/>
        <v>220.46229191973606</v>
      </c>
      <c r="S33">
        <f t="shared" si="6"/>
        <v>218.43840446817953</v>
      </c>
      <c r="U33">
        <f t="shared" si="7"/>
        <v>-17.84648508911156</v>
      </c>
      <c r="V33">
        <f t="shared" si="8"/>
        <v>18.90862555224097</v>
      </c>
      <c r="W33">
        <f t="shared" si="9"/>
        <v>220.46229191973606</v>
      </c>
      <c r="X33">
        <f t="shared" si="10"/>
        <v>218.43840446817953</v>
      </c>
    </row>
    <row r="34" spans="1:24" x14ac:dyDescent="0.45">
      <c r="A34" s="4">
        <v>44075</v>
      </c>
      <c r="B34" s="1">
        <v>3363</v>
      </c>
      <c r="C34" s="1">
        <v>-137.30999999999995</v>
      </c>
      <c r="D34" s="55">
        <f t="shared" si="11"/>
        <v>-66.752281869297306</v>
      </c>
      <c r="E34" s="1">
        <v>1885.44</v>
      </c>
      <c r="F34" s="1">
        <v>-84.309999999999945</v>
      </c>
      <c r="G34">
        <f t="shared" si="12"/>
        <v>-84.215024916822742</v>
      </c>
      <c r="H34">
        <f t="shared" si="0"/>
        <v>-68.776169320853853</v>
      </c>
      <c r="I34">
        <f t="shared" si="1"/>
        <v>-16.552839559625525</v>
      </c>
      <c r="J34">
        <f t="shared" si="2"/>
        <v>-98.087292254218781</v>
      </c>
      <c r="P34">
        <f t="shared" si="3"/>
        <v>-84.215024916822742</v>
      </c>
      <c r="Q34">
        <f t="shared" si="4"/>
        <v>-16.552839559625525</v>
      </c>
      <c r="R34">
        <f t="shared" si="5"/>
        <v>-66.752281869297306</v>
      </c>
      <c r="S34">
        <f t="shared" si="6"/>
        <v>-68.776169320853853</v>
      </c>
      <c r="U34">
        <f t="shared" si="7"/>
        <v>-84.215024916822742</v>
      </c>
      <c r="V34">
        <f t="shared" si="8"/>
        <v>-51.114939404519319</v>
      </c>
      <c r="W34">
        <f t="shared" si="9"/>
        <v>-66.752281869297306</v>
      </c>
      <c r="X34">
        <f t="shared" si="10"/>
        <v>-68.776169320853853</v>
      </c>
    </row>
    <row r="35" spans="1:24" x14ac:dyDescent="0.45">
      <c r="A35" s="4">
        <v>44105</v>
      </c>
      <c r="B35" s="1">
        <v>3269.96</v>
      </c>
      <c r="C35" s="1">
        <v>-93.039999999999964</v>
      </c>
      <c r="D35" s="55">
        <f t="shared" si="11"/>
        <v>-15.15728699548751</v>
      </c>
      <c r="E35" s="1">
        <v>1877.95</v>
      </c>
      <c r="F35" s="1">
        <v>-7.4900000000000091</v>
      </c>
      <c r="G35">
        <f t="shared" si="12"/>
        <v>6.4655763585986143</v>
      </c>
      <c r="H35">
        <f t="shared" si="0"/>
        <v>-17.181174447044057</v>
      </c>
      <c r="I35">
        <f t="shared" si="1"/>
        <v>18.90862555224097</v>
      </c>
      <c r="J35">
        <f t="shared" si="2"/>
        <v>-7.4066909787974229</v>
      </c>
      <c r="P35">
        <f t="shared" si="3"/>
        <v>6.4655763585986143</v>
      </c>
      <c r="Q35">
        <f t="shared" si="4"/>
        <v>18.90862555224097</v>
      </c>
      <c r="R35">
        <f t="shared" si="5"/>
        <v>-15.15728699548751</v>
      </c>
      <c r="S35">
        <f t="shared" si="6"/>
        <v>-17.181174447044057</v>
      </c>
      <c r="U35">
        <f t="shared" si="7"/>
        <v>6.4655763585986143</v>
      </c>
      <c r="V35">
        <f t="shared" si="8"/>
        <v>-2.5516173712991641</v>
      </c>
      <c r="W35">
        <f t="shared" si="9"/>
        <v>-15.15728699548751</v>
      </c>
      <c r="X35">
        <f t="shared" si="10"/>
        <v>-17.181174447044057</v>
      </c>
    </row>
    <row r="36" spans="1:24" x14ac:dyDescent="0.45">
      <c r="A36" s="4">
        <v>44136</v>
      </c>
      <c r="B36" s="1">
        <v>3621.63</v>
      </c>
      <c r="C36" s="1">
        <v>351.67000000000007</v>
      </c>
      <c r="D36" s="55">
        <f t="shared" si="11"/>
        <v>221.46271353314233</v>
      </c>
      <c r="E36" s="1">
        <v>1777.02</v>
      </c>
      <c r="F36" s="1">
        <v>-100.93000000000006</v>
      </c>
      <c r="G36">
        <f t="shared" si="12"/>
        <v>-140.32520439228603</v>
      </c>
      <c r="H36">
        <f t="shared" si="0"/>
        <v>219.4388260815858</v>
      </c>
      <c r="I36">
        <f t="shared" si="1"/>
        <v>-51.114939404519319</v>
      </c>
      <c r="J36">
        <f t="shared" si="2"/>
        <v>-154.19747172968206</v>
      </c>
      <c r="P36">
        <f t="shared" si="3"/>
        <v>-140.32520439228603</v>
      </c>
      <c r="Q36">
        <f t="shared" si="4"/>
        <v>-51.114939404519319</v>
      </c>
      <c r="R36">
        <f t="shared" si="5"/>
        <v>221.46271353314233</v>
      </c>
      <c r="S36">
        <f t="shared" si="6"/>
        <v>219.4388260815858</v>
      </c>
      <c r="U36">
        <f t="shared" si="7"/>
        <v>-140.32520439228603</v>
      </c>
      <c r="V36">
        <f t="shared" si="8"/>
        <v>-16.509730800788049</v>
      </c>
      <c r="W36">
        <f t="shared" si="9"/>
        <v>221.46271353314233</v>
      </c>
      <c r="X36">
        <f t="shared" si="10"/>
        <v>219.4388260815858</v>
      </c>
    </row>
    <row r="37" spans="1:24" x14ac:dyDescent="0.45">
      <c r="A37" s="4">
        <v>44166</v>
      </c>
      <c r="B37" s="1">
        <v>3756.07</v>
      </c>
      <c r="C37" s="1">
        <v>134.44000000000005</v>
      </c>
      <c r="D37" s="55">
        <f t="shared" si="11"/>
        <v>68.803828995974698</v>
      </c>
      <c r="E37" s="1">
        <v>1896.49</v>
      </c>
      <c r="F37" s="1">
        <v>119.47000000000003</v>
      </c>
      <c r="G37">
        <f t="shared" si="12"/>
        <v>109.59153500539193</v>
      </c>
      <c r="H37">
        <f t="shared" si="0"/>
        <v>66.779941544418151</v>
      </c>
      <c r="I37">
        <f t="shared" si="1"/>
        <v>-2.5516173712991641</v>
      </c>
      <c r="J37">
        <f t="shared" si="2"/>
        <v>95.719267667995894</v>
      </c>
      <c r="P37">
        <f t="shared" si="3"/>
        <v>109.59153500539193</v>
      </c>
      <c r="Q37">
        <f t="shared" si="4"/>
        <v>-2.5516173712991641</v>
      </c>
      <c r="R37">
        <f t="shared" si="5"/>
        <v>68.803828995974698</v>
      </c>
      <c r="S37">
        <f t="shared" si="6"/>
        <v>66.779941544418151</v>
      </c>
      <c r="U37">
        <f t="shared" si="7"/>
        <v>109.59153500539193</v>
      </c>
      <c r="V37">
        <f t="shared" si="8"/>
        <v>94.743795473253542</v>
      </c>
      <c r="W37">
        <f t="shared" si="9"/>
        <v>68.803828995974698</v>
      </c>
      <c r="X37">
        <f t="shared" si="10"/>
        <v>66.779941544418151</v>
      </c>
    </row>
    <row r="38" spans="1:24" x14ac:dyDescent="0.45">
      <c r="A38" s="4">
        <v>44197</v>
      </c>
      <c r="B38" s="1">
        <v>3714.24</v>
      </c>
      <c r="C38" s="1">
        <v>-41.830000000000382</v>
      </c>
      <c r="D38" s="55">
        <f t="shared" si="11"/>
        <v>-81.176207025132356</v>
      </c>
      <c r="E38" s="1">
        <v>1846.09</v>
      </c>
      <c r="F38" s="1">
        <v>-50.400000000000091</v>
      </c>
      <c r="G38">
        <f t="shared" si="12"/>
        <v>-72.571790052013881</v>
      </c>
      <c r="H38">
        <f t="shared" si="0"/>
        <v>-83.200094476688903</v>
      </c>
      <c r="I38">
        <f t="shared" si="1"/>
        <v>-16.509730800788049</v>
      </c>
      <c r="J38">
        <f t="shared" si="2"/>
        <v>-86.44405738940992</v>
      </c>
      <c r="P38">
        <f t="shared" si="3"/>
        <v>-72.571790052013881</v>
      </c>
      <c r="Q38">
        <f t="shared" si="4"/>
        <v>-16.509730800788049</v>
      </c>
      <c r="R38">
        <f t="shared" si="5"/>
        <v>-81.176207025132356</v>
      </c>
      <c r="S38">
        <f t="shared" si="6"/>
        <v>-83.200094476688903</v>
      </c>
      <c r="U38">
        <f t="shared" si="7"/>
        <v>-72.571790052013881</v>
      </c>
      <c r="V38">
        <f t="shared" si="8"/>
        <v>8.1210662358842161</v>
      </c>
      <c r="W38">
        <f t="shared" si="9"/>
        <v>-81.176207025132356</v>
      </c>
      <c r="X38">
        <f t="shared" si="10"/>
        <v>-83.200094476688903</v>
      </c>
    </row>
    <row r="39" spans="1:24" x14ac:dyDescent="0.45">
      <c r="A39" s="4">
        <v>44228</v>
      </c>
      <c r="B39" s="1">
        <v>3811.15</v>
      </c>
      <c r="C39" s="1">
        <v>96.910000000000309</v>
      </c>
      <c r="D39" s="55">
        <f t="shared" si="11"/>
        <v>27.225286319196726</v>
      </c>
      <c r="E39" s="1">
        <v>1733.49</v>
      </c>
      <c r="F39" s="1">
        <v>-112.59999999999991</v>
      </c>
      <c r="G39">
        <f t="shared" si="12"/>
        <v>-169.56465023283016</v>
      </c>
      <c r="H39">
        <f t="shared" si="0"/>
        <v>25.201398867640179</v>
      </c>
      <c r="I39">
        <f t="shared" si="1"/>
        <v>94.743795473253542</v>
      </c>
      <c r="J39">
        <f t="shared" si="2"/>
        <v>-183.4369175702262</v>
      </c>
      <c r="P39">
        <f t="shared" si="3"/>
        <v>-169.56465023283016</v>
      </c>
      <c r="Q39">
        <f t="shared" si="4"/>
        <v>94.743795473253542</v>
      </c>
      <c r="R39">
        <f t="shared" si="5"/>
        <v>27.225286319196726</v>
      </c>
      <c r="S39">
        <f t="shared" si="6"/>
        <v>25.201398867640179</v>
      </c>
      <c r="U39">
        <f t="shared" si="7"/>
        <v>-169.56465023283016</v>
      </c>
      <c r="V39">
        <f t="shared" si="8"/>
        <v>-53.847191604226985</v>
      </c>
      <c r="W39">
        <f t="shared" si="9"/>
        <v>27.225286319196726</v>
      </c>
      <c r="X39">
        <f t="shared" si="10"/>
        <v>25.201398867640179</v>
      </c>
    </row>
    <row r="40" spans="1:24" x14ac:dyDescent="0.45">
      <c r="A40" s="4">
        <v>44256</v>
      </c>
      <c r="B40" s="1">
        <v>3972.89</v>
      </c>
      <c r="C40" s="1">
        <v>161.73999999999978</v>
      </c>
      <c r="D40" s="55">
        <f t="shared" si="11"/>
        <v>53.914733500523184</v>
      </c>
      <c r="E40" s="1">
        <v>1707.01</v>
      </c>
      <c r="F40" s="1">
        <v>-26.480000000000018</v>
      </c>
      <c r="G40">
        <f t="shared" si="12"/>
        <v>-20.787149721424321</v>
      </c>
      <c r="H40">
        <f t="shared" si="0"/>
        <v>51.890846048966637</v>
      </c>
      <c r="I40">
        <f t="shared" si="1"/>
        <v>8.1210662358842161</v>
      </c>
      <c r="J40">
        <f t="shared" si="2"/>
        <v>-34.65941705882036</v>
      </c>
      <c r="P40">
        <f t="shared" si="3"/>
        <v>-20.787149721424321</v>
      </c>
      <c r="Q40">
        <f t="shared" si="4"/>
        <v>8.1210662358842161</v>
      </c>
      <c r="R40">
        <f t="shared" si="5"/>
        <v>53.914733500523184</v>
      </c>
      <c r="S40">
        <f t="shared" si="6"/>
        <v>51.890846048966637</v>
      </c>
      <c r="U40">
        <f t="shared" si="7"/>
        <v>-20.787149721424321</v>
      </c>
      <c r="V40">
        <f t="shared" si="8"/>
        <v>-83.639044360261522</v>
      </c>
      <c r="W40">
        <f t="shared" si="9"/>
        <v>53.914733500523184</v>
      </c>
      <c r="X40">
        <f t="shared" si="10"/>
        <v>51.890846048966637</v>
      </c>
    </row>
    <row r="41" spans="1:24" x14ac:dyDescent="0.45">
      <c r="A41" s="4">
        <v>44287</v>
      </c>
      <c r="B41" s="1">
        <v>4181.17</v>
      </c>
      <c r="C41" s="1">
        <v>208.2800000000002</v>
      </c>
      <c r="D41" s="55">
        <f t="shared" si="11"/>
        <v>192.07331039348736</v>
      </c>
      <c r="E41" s="1">
        <v>1768.59</v>
      </c>
      <c r="F41" s="1">
        <v>61.579999999999927</v>
      </c>
      <c r="G41">
        <f t="shared" si="12"/>
        <v>88.443750798217209</v>
      </c>
      <c r="H41">
        <f t="shared" si="0"/>
        <v>190.04942294193083</v>
      </c>
      <c r="I41">
        <f t="shared" si="1"/>
        <v>-53.847191604226985</v>
      </c>
      <c r="J41">
        <f t="shared" si="2"/>
        <v>74.57148346082117</v>
      </c>
      <c r="P41">
        <f t="shared" si="3"/>
        <v>88.443750798217209</v>
      </c>
      <c r="Q41">
        <f t="shared" si="4"/>
        <v>-53.847191604226985</v>
      </c>
      <c r="R41">
        <f t="shared" si="5"/>
        <v>192.07331039348736</v>
      </c>
      <c r="S41">
        <f t="shared" si="6"/>
        <v>190.04942294193083</v>
      </c>
      <c r="U41">
        <f t="shared" si="7"/>
        <v>88.443750798217209</v>
      </c>
      <c r="V41">
        <f t="shared" si="8"/>
        <v>-32.192227374704203</v>
      </c>
      <c r="W41">
        <f t="shared" si="9"/>
        <v>192.07331039348736</v>
      </c>
      <c r="X41">
        <f t="shared" si="10"/>
        <v>190.04942294193083</v>
      </c>
    </row>
    <row r="42" spans="1:24" x14ac:dyDescent="0.45">
      <c r="A42" s="4">
        <v>44317</v>
      </c>
      <c r="B42" s="1">
        <v>4204.1099999999997</v>
      </c>
      <c r="C42" s="1">
        <v>22.9399999999996</v>
      </c>
      <c r="D42" s="55">
        <f t="shared" si="11"/>
        <v>-9.7249770213098401</v>
      </c>
      <c r="E42" s="1">
        <v>1906.36</v>
      </c>
      <c r="F42" s="1">
        <v>137.76999999999998</v>
      </c>
      <c r="G42">
        <f t="shared" si="12"/>
        <v>135.70754579737061</v>
      </c>
      <c r="H42">
        <f t="shared" si="0"/>
        <v>-11.748864472866387</v>
      </c>
      <c r="I42">
        <f t="shared" si="1"/>
        <v>-83.639044360261522</v>
      </c>
      <c r="J42">
        <f t="shared" si="2"/>
        <v>121.83527845997457</v>
      </c>
      <c r="P42">
        <f t="shared" si="3"/>
        <v>135.70754579737061</v>
      </c>
      <c r="Q42">
        <f t="shared" si="4"/>
        <v>-83.639044360261522</v>
      </c>
      <c r="R42">
        <f t="shared" si="5"/>
        <v>-9.7249770213098401</v>
      </c>
      <c r="S42">
        <f t="shared" si="6"/>
        <v>-11.748864472866387</v>
      </c>
      <c r="U42">
        <f t="shared" si="7"/>
        <v>135.70754579737061</v>
      </c>
      <c r="V42">
        <f t="shared" si="8"/>
        <v>-59.153441470081354</v>
      </c>
      <c r="W42">
        <f t="shared" si="9"/>
        <v>-9.7249770213098401</v>
      </c>
      <c r="X42">
        <f t="shared" si="10"/>
        <v>-11.748864472866387</v>
      </c>
    </row>
    <row r="43" spans="1:24" x14ac:dyDescent="0.45">
      <c r="A43" s="4">
        <v>44348</v>
      </c>
      <c r="B43" s="1">
        <v>4297.5</v>
      </c>
      <c r="C43" s="1">
        <v>93.390000000000327</v>
      </c>
      <c r="D43" s="55">
        <f t="shared" si="11"/>
        <v>-14.754390989936752</v>
      </c>
      <c r="E43" s="1">
        <v>1769.8</v>
      </c>
      <c r="F43" s="1">
        <v>-136.55999999999995</v>
      </c>
      <c r="G43">
        <f t="shared" si="12"/>
        <v>-91.797663050904617</v>
      </c>
      <c r="H43">
        <f t="shared" si="0"/>
        <v>-16.778278441493299</v>
      </c>
      <c r="I43">
        <f t="shared" si="1"/>
        <v>-32.192227374704203</v>
      </c>
      <c r="J43">
        <f t="shared" si="2"/>
        <v>-105.66993038830066</v>
      </c>
      <c r="P43">
        <f t="shared" si="3"/>
        <v>-91.797663050904617</v>
      </c>
      <c r="Q43">
        <f t="shared" si="4"/>
        <v>-32.192227374704203</v>
      </c>
      <c r="R43">
        <f t="shared" si="5"/>
        <v>-14.754390989936752</v>
      </c>
      <c r="S43">
        <f t="shared" si="6"/>
        <v>-16.778278441493299</v>
      </c>
      <c r="U43">
        <f t="shared" si="7"/>
        <v>-91.797663050904617</v>
      </c>
      <c r="V43">
        <f t="shared" si="8"/>
        <v>-67.550942867208605</v>
      </c>
      <c r="W43">
        <f t="shared" si="9"/>
        <v>-14.754390989936752</v>
      </c>
      <c r="X43">
        <f t="shared" si="10"/>
        <v>-16.778278441493299</v>
      </c>
    </row>
    <row r="44" spans="1:24" x14ac:dyDescent="0.45">
      <c r="A44" s="4">
        <v>44378</v>
      </c>
      <c r="B44" s="1">
        <v>4395.26</v>
      </c>
      <c r="C44" s="1">
        <v>97.760000000000218</v>
      </c>
      <c r="D44" s="55">
        <f t="shared" si="11"/>
        <v>38.312266588574246</v>
      </c>
      <c r="E44" s="1">
        <v>1813.58</v>
      </c>
      <c r="F44" s="1">
        <v>43.779999999999973</v>
      </c>
      <c r="G44">
        <f t="shared" si="12"/>
        <v>8.8213962486300019</v>
      </c>
      <c r="H44">
        <f t="shared" si="0"/>
        <v>36.288379137017699</v>
      </c>
      <c r="I44">
        <f t="shared" si="1"/>
        <v>-59.153441470081354</v>
      </c>
      <c r="J44">
        <f t="shared" si="2"/>
        <v>-5.0508710887660353</v>
      </c>
      <c r="P44">
        <f t="shared" si="3"/>
        <v>8.8213962486300019</v>
      </c>
      <c r="Q44">
        <f t="shared" si="4"/>
        <v>-59.153441470081354</v>
      </c>
      <c r="R44">
        <f t="shared" si="5"/>
        <v>38.312266588574246</v>
      </c>
      <c r="S44">
        <f t="shared" si="6"/>
        <v>36.288379137017699</v>
      </c>
      <c r="U44">
        <f t="shared" si="7"/>
        <v>8.8213962486300019</v>
      </c>
      <c r="V44">
        <f t="shared" si="8"/>
        <v>-99.549705213365115</v>
      </c>
      <c r="W44">
        <f t="shared" si="9"/>
        <v>38.312266588574246</v>
      </c>
      <c r="X44">
        <f t="shared" si="10"/>
        <v>36.288379137017699</v>
      </c>
    </row>
    <row r="45" spans="1:24" x14ac:dyDescent="0.45">
      <c r="A45" s="4">
        <v>44409</v>
      </c>
      <c r="B45" s="1">
        <v>4522.68</v>
      </c>
      <c r="C45" s="1">
        <v>127.42000000000007</v>
      </c>
      <c r="D45" s="55">
        <f t="shared" si="11"/>
        <v>115.81439827894704</v>
      </c>
      <c r="E45" s="1">
        <v>1813.43</v>
      </c>
      <c r="F45" s="1">
        <v>-0.14999999999986358</v>
      </c>
      <c r="G45">
        <f t="shared" si="12"/>
        <v>22.999675308692044</v>
      </c>
      <c r="H45">
        <f t="shared" si="0"/>
        <v>113.79051082739049</v>
      </c>
      <c r="I45">
        <f t="shared" si="1"/>
        <v>-67.550942867208605</v>
      </c>
      <c r="J45">
        <f t="shared" si="2"/>
        <v>9.127407971296007</v>
      </c>
      <c r="P45">
        <f t="shared" si="3"/>
        <v>22.999675308692044</v>
      </c>
      <c r="Q45">
        <f t="shared" si="4"/>
        <v>-67.550942867208605</v>
      </c>
      <c r="R45">
        <f t="shared" si="5"/>
        <v>115.81439827894704</v>
      </c>
      <c r="S45">
        <f t="shared" si="6"/>
        <v>113.79051082739049</v>
      </c>
      <c r="U45">
        <f t="shared" si="7"/>
        <v>22.999675308692044</v>
      </c>
      <c r="V45">
        <f t="shared" si="8"/>
        <v>-47.437920813936891</v>
      </c>
      <c r="W45">
        <f t="shared" si="9"/>
        <v>115.81439827894704</v>
      </c>
      <c r="X45">
        <f t="shared" si="10"/>
        <v>113.79051082739049</v>
      </c>
    </row>
    <row r="46" spans="1:24" x14ac:dyDescent="0.45">
      <c r="A46" s="4">
        <v>44440</v>
      </c>
      <c r="B46" s="1">
        <v>4307.54</v>
      </c>
      <c r="C46" s="1">
        <v>-215.14000000000033</v>
      </c>
      <c r="D46" s="55">
        <f t="shared" si="11"/>
        <v>-261.32459408296086</v>
      </c>
      <c r="E46" s="1">
        <v>1756.66</v>
      </c>
      <c r="F46" s="1">
        <v>-56.769999999999982</v>
      </c>
      <c r="G46">
        <f t="shared" si="12"/>
        <v>-2.6805722222294861</v>
      </c>
      <c r="H46">
        <f t="shared" si="0"/>
        <v>-263.34848153451742</v>
      </c>
      <c r="I46">
        <f t="shared" si="1"/>
        <v>-99.549705213365115</v>
      </c>
      <c r="J46">
        <f t="shared" si="2"/>
        <v>-16.552839559625525</v>
      </c>
      <c r="P46">
        <f t="shared" si="3"/>
        <v>-2.6805722222294861</v>
      </c>
      <c r="Q46">
        <f t="shared" si="4"/>
        <v>-99.549705213365115</v>
      </c>
      <c r="R46">
        <f t="shared" si="5"/>
        <v>-261.32459408296086</v>
      </c>
      <c r="S46">
        <f t="shared" si="6"/>
        <v>-263.34848153451742</v>
      </c>
      <c r="U46">
        <f t="shared" si="7"/>
        <v>-2.6805722222294861</v>
      </c>
      <c r="V46">
        <f t="shared" si="8"/>
        <v>134.20933375448053</v>
      </c>
      <c r="W46">
        <f t="shared" si="9"/>
        <v>-261.32459408296086</v>
      </c>
      <c r="X46">
        <f t="shared" si="10"/>
        <v>-263.34848153451742</v>
      </c>
    </row>
    <row r="47" spans="1:24" x14ac:dyDescent="0.45">
      <c r="A47" s="4">
        <v>44470</v>
      </c>
      <c r="B47" s="1">
        <v>4605.38</v>
      </c>
      <c r="C47" s="1">
        <v>297.84000000000015</v>
      </c>
      <c r="D47" s="55">
        <f t="shared" si="11"/>
        <v>243.14173916066824</v>
      </c>
      <c r="E47" s="1">
        <v>1782.81</v>
      </c>
      <c r="F47" s="1">
        <v>26.149999999999864</v>
      </c>
      <c r="G47">
        <f t="shared" si="12"/>
        <v>32.780892889637009</v>
      </c>
      <c r="H47">
        <f t="shared" si="0"/>
        <v>241.1178517091117</v>
      </c>
      <c r="I47">
        <f t="shared" si="1"/>
        <v>-47.437920813936891</v>
      </c>
      <c r="J47">
        <f t="shared" si="2"/>
        <v>18.90862555224097</v>
      </c>
      <c r="P47">
        <f t="shared" si="3"/>
        <v>32.780892889637009</v>
      </c>
      <c r="Q47">
        <f t="shared" si="4"/>
        <v>-47.437920813936891</v>
      </c>
      <c r="R47">
        <f t="shared" si="5"/>
        <v>243.14173916066824</v>
      </c>
      <c r="S47">
        <f t="shared" si="6"/>
        <v>241.1178517091117</v>
      </c>
      <c r="U47">
        <f t="shared" si="7"/>
        <v>32.780892889637009</v>
      </c>
      <c r="V47">
        <f t="shared" si="8"/>
        <v>64.332636865127867</v>
      </c>
      <c r="W47">
        <f t="shared" si="9"/>
        <v>243.14173916066824</v>
      </c>
      <c r="X47">
        <f t="shared" si="10"/>
        <v>241.1178517091117</v>
      </c>
    </row>
    <row r="48" spans="1:24" x14ac:dyDescent="0.45">
      <c r="A48" s="4">
        <v>44501</v>
      </c>
      <c r="B48" s="1">
        <v>4567</v>
      </c>
      <c r="C48" s="1">
        <v>-38.380000000000109</v>
      </c>
      <c r="D48" s="55">
        <f t="shared" si="11"/>
        <v>-137.14946528241865</v>
      </c>
      <c r="E48" s="1">
        <v>1773.78</v>
      </c>
      <c r="F48" s="1">
        <v>-9.0299999999999727</v>
      </c>
      <c r="G48">
        <f t="shared" si="12"/>
        <v>-37.24267206712328</v>
      </c>
      <c r="H48">
        <f t="shared" si="0"/>
        <v>-139.17335273397518</v>
      </c>
      <c r="I48">
        <f t="shared" si="1"/>
        <v>134.20933375448053</v>
      </c>
      <c r="J48">
        <f t="shared" si="2"/>
        <v>-51.114939404519319</v>
      </c>
      <c r="P48">
        <f t="shared" si="3"/>
        <v>-37.24267206712328</v>
      </c>
      <c r="Q48">
        <f t="shared" si="4"/>
        <v>134.20933375448053</v>
      </c>
      <c r="R48">
        <f t="shared" si="5"/>
        <v>-137.14946528241865</v>
      </c>
      <c r="S48">
        <f t="shared" si="6"/>
        <v>-139.17335273397518</v>
      </c>
      <c r="U48">
        <f t="shared" si="7"/>
        <v>-37.24267206712328</v>
      </c>
      <c r="V48">
        <f t="shared" si="8"/>
        <v>95.451616714904915</v>
      </c>
      <c r="W48">
        <f t="shared" si="9"/>
        <v>-137.14946528241865</v>
      </c>
      <c r="X48">
        <f t="shared" si="10"/>
        <v>-139.17335273397518</v>
      </c>
    </row>
    <row r="49" spans="1:24" x14ac:dyDescent="0.45">
      <c r="A49" s="4">
        <v>44531</v>
      </c>
      <c r="B49" s="1">
        <v>4766.18</v>
      </c>
      <c r="C49" s="1">
        <v>199.18000000000029</v>
      </c>
      <c r="D49" s="55">
        <f t="shared" si="11"/>
        <v>164.78217042002791</v>
      </c>
      <c r="E49" s="1">
        <v>1828.39</v>
      </c>
      <c r="F49" s="1">
        <v>54.610000000000127</v>
      </c>
      <c r="G49">
        <f t="shared" si="12"/>
        <v>11.320649966096873</v>
      </c>
      <c r="H49">
        <f t="shared" si="0"/>
        <v>162.75828296847138</v>
      </c>
      <c r="I49">
        <f t="shared" si="1"/>
        <v>64.332636865127867</v>
      </c>
      <c r="J49">
        <f t="shared" si="2"/>
        <v>-2.5516173712991641</v>
      </c>
      <c r="P49">
        <f t="shared" si="3"/>
        <v>11.320649966096873</v>
      </c>
      <c r="Q49">
        <f t="shared" si="4"/>
        <v>64.332636865127867</v>
      </c>
      <c r="R49">
        <f t="shared" si="5"/>
        <v>164.78217042002791</v>
      </c>
      <c r="S49">
        <f t="shared" si="6"/>
        <v>162.75828296847138</v>
      </c>
      <c r="U49">
        <f t="shared" si="7"/>
        <v>11.320649966096873</v>
      </c>
      <c r="V49">
        <f t="shared" si="8"/>
        <v>-100.15802560081077</v>
      </c>
      <c r="W49">
        <f t="shared" si="9"/>
        <v>164.78217042002791</v>
      </c>
      <c r="X49">
        <f t="shared" si="10"/>
        <v>162.75828296847138</v>
      </c>
    </row>
    <row r="50" spans="1:24" x14ac:dyDescent="0.45">
      <c r="A50" s="4">
        <v>44562</v>
      </c>
      <c r="B50" s="1">
        <v>4515.55</v>
      </c>
      <c r="C50" s="1">
        <v>-250.63000000000011</v>
      </c>
      <c r="D50" s="55">
        <f t="shared" si="11"/>
        <v>-283.42349681812016</v>
      </c>
      <c r="E50" s="1">
        <v>1796.47</v>
      </c>
      <c r="F50" s="1">
        <v>-31.920000000000073</v>
      </c>
      <c r="G50">
        <f t="shared" si="12"/>
        <v>-2.6374634633920095</v>
      </c>
      <c r="H50">
        <f t="shared" si="0"/>
        <v>-285.44738426967672</v>
      </c>
      <c r="I50">
        <f t="shared" si="1"/>
        <v>95.451616714904915</v>
      </c>
      <c r="J50">
        <f t="shared" si="2"/>
        <v>-16.509730800788049</v>
      </c>
      <c r="P50">
        <f t="shared" si="3"/>
        <v>-2.6374634633920095</v>
      </c>
      <c r="Q50">
        <f t="shared" si="4"/>
        <v>95.451616714904915</v>
      </c>
      <c r="R50">
        <f t="shared" si="5"/>
        <v>-283.42349681812016</v>
      </c>
      <c r="S50">
        <f t="shared" si="6"/>
        <v>-285.44738426967672</v>
      </c>
      <c r="U50">
        <f t="shared" si="7"/>
        <v>-2.6374634633920095</v>
      </c>
      <c r="V50">
        <f t="shared" si="8"/>
        <v>144.00069336985888</v>
      </c>
      <c r="W50">
        <f t="shared" si="9"/>
        <v>-283.42349681812016</v>
      </c>
      <c r="X50">
        <f t="shared" si="10"/>
        <v>-285.44738426967672</v>
      </c>
    </row>
    <row r="51" spans="1:24" x14ac:dyDescent="0.45">
      <c r="A51" s="4">
        <v>44593</v>
      </c>
      <c r="B51" s="1">
        <v>4373.9399999999996</v>
      </c>
      <c r="C51" s="1">
        <v>-141.61000000000058</v>
      </c>
      <c r="D51" s="55">
        <f t="shared" si="11"/>
        <v>-191.33122991908988</v>
      </c>
      <c r="E51" s="1">
        <v>1907.9</v>
      </c>
      <c r="F51" s="1">
        <v>111.43000000000006</v>
      </c>
      <c r="G51">
        <f t="shared" si="12"/>
        <v>108.61606281064958</v>
      </c>
      <c r="H51">
        <f t="shared" si="0"/>
        <v>-193.35511737064641</v>
      </c>
      <c r="I51">
        <f t="shared" si="1"/>
        <v>-100.15802560081077</v>
      </c>
      <c r="J51">
        <f t="shared" si="2"/>
        <v>94.743795473253542</v>
      </c>
      <c r="P51">
        <f t="shared" si="3"/>
        <v>108.61606281064958</v>
      </c>
      <c r="Q51">
        <f t="shared" si="4"/>
        <v>-100.15802560081077</v>
      </c>
      <c r="R51">
        <f t="shared" si="5"/>
        <v>-191.33122991908988</v>
      </c>
      <c r="S51">
        <f t="shared" si="6"/>
        <v>-193.35511737064641</v>
      </c>
      <c r="U51">
        <f t="shared" si="7"/>
        <v>108.61606281064958</v>
      </c>
      <c r="V51">
        <f t="shared" si="8"/>
        <v>35.207978570659336</v>
      </c>
      <c r="W51">
        <f t="shared" si="9"/>
        <v>-191.33122991908988</v>
      </c>
      <c r="X51">
        <f t="shared" si="10"/>
        <v>-193.35511737064641</v>
      </c>
    </row>
    <row r="52" spans="1:24" x14ac:dyDescent="0.45">
      <c r="A52" s="4">
        <v>44621</v>
      </c>
      <c r="B52" s="1">
        <v>4530.41</v>
      </c>
      <c r="C52" s="1">
        <v>156.47000000000025</v>
      </c>
      <c r="D52" s="55">
        <f t="shared" si="11"/>
        <v>82.02636509299893</v>
      </c>
      <c r="E52" s="1">
        <v>1937.23</v>
      </c>
      <c r="F52" s="1">
        <v>29.329999999999927</v>
      </c>
      <c r="G52">
        <f t="shared" si="12"/>
        <v>21.993333573280253</v>
      </c>
      <c r="H52">
        <f t="shared" si="0"/>
        <v>80.002477641442383</v>
      </c>
      <c r="I52">
        <f t="shared" si="1"/>
        <v>144.00069336985888</v>
      </c>
      <c r="J52">
        <f t="shared" si="2"/>
        <v>8.1210662358842161</v>
      </c>
      <c r="P52">
        <f t="shared" si="3"/>
        <v>21.993333573280253</v>
      </c>
      <c r="Q52">
        <f t="shared" si="4"/>
        <v>144.00069336985888</v>
      </c>
      <c r="R52">
        <f t="shared" si="5"/>
        <v>82.02636509299893</v>
      </c>
      <c r="S52">
        <f t="shared" si="6"/>
        <v>80.002477641442383</v>
      </c>
      <c r="U52">
        <f t="shared" si="7"/>
        <v>21.993333573280253</v>
      </c>
      <c r="V52">
        <f t="shared" si="8"/>
        <v>-30.51515953491441</v>
      </c>
      <c r="W52">
        <f t="shared" si="9"/>
        <v>82.02636509299893</v>
      </c>
      <c r="X52">
        <f t="shared" si="10"/>
        <v>80.002477641442383</v>
      </c>
    </row>
    <row r="53" spans="1:24" x14ac:dyDescent="0.45">
      <c r="A53" s="4">
        <v>44652</v>
      </c>
      <c r="B53" s="1">
        <v>4131.93</v>
      </c>
      <c r="C53" s="1">
        <v>-398.47999999999956</v>
      </c>
      <c r="D53" s="55">
        <f t="shared" si="11"/>
        <v>-352.62006773347588</v>
      </c>
      <c r="E53" s="1">
        <v>1896.4</v>
      </c>
      <c r="F53" s="1">
        <v>-40.829999999999927</v>
      </c>
      <c r="G53">
        <f t="shared" si="12"/>
        <v>-39.974924266830946</v>
      </c>
      <c r="H53">
        <f t="shared" si="0"/>
        <v>-354.64395518503244</v>
      </c>
      <c r="I53">
        <f t="shared" si="1"/>
        <v>35.207978570659336</v>
      </c>
      <c r="J53">
        <f t="shared" si="2"/>
        <v>-53.847191604226985</v>
      </c>
      <c r="P53">
        <f t="shared" si="3"/>
        <v>-39.974924266830946</v>
      </c>
      <c r="Q53">
        <f t="shared" si="4"/>
        <v>35.207978570659336</v>
      </c>
      <c r="R53">
        <f t="shared" si="5"/>
        <v>-352.62006773347588</v>
      </c>
      <c r="S53">
        <f t="shared" si="6"/>
        <v>-354.64395518503244</v>
      </c>
      <c r="U53">
        <f t="shared" si="7"/>
        <v>-39.974924266830946</v>
      </c>
      <c r="V53">
        <f t="shared" si="8"/>
        <v>-103.83881726969376</v>
      </c>
      <c r="W53">
        <f t="shared" si="9"/>
        <v>-352.62006773347588</v>
      </c>
      <c r="X53">
        <f t="shared" si="10"/>
        <v>-354.64395518503244</v>
      </c>
    </row>
    <row r="54" spans="1:24" x14ac:dyDescent="0.45">
      <c r="A54" s="4">
        <v>44682</v>
      </c>
      <c r="B54" s="1">
        <v>4132.1499999999996</v>
      </c>
      <c r="C54" s="1">
        <v>0.21999999999934516</v>
      </c>
      <c r="D54" s="55">
        <f t="shared" si="11"/>
        <v>-114.83978337486222</v>
      </c>
      <c r="E54" s="1">
        <v>1837.09</v>
      </c>
      <c r="F54" s="1">
        <v>-59.310000000000173</v>
      </c>
      <c r="G54">
        <f t="shared" si="12"/>
        <v>-69.766777022865483</v>
      </c>
      <c r="H54">
        <f t="shared" si="0"/>
        <v>-116.86367082641877</v>
      </c>
      <c r="I54">
        <f t="shared" si="1"/>
        <v>-30.51515953491441</v>
      </c>
      <c r="J54">
        <f t="shared" si="2"/>
        <v>-83.639044360261522</v>
      </c>
      <c r="P54">
        <f t="shared" si="3"/>
        <v>-69.766777022865483</v>
      </c>
      <c r="Q54">
        <f t="shared" si="4"/>
        <v>-30.51515953491441</v>
      </c>
      <c r="R54">
        <f t="shared" si="5"/>
        <v>-114.83978337486222</v>
      </c>
      <c r="S54">
        <f t="shared" si="6"/>
        <v>-116.86367082641877</v>
      </c>
      <c r="U54">
        <f t="shared" si="7"/>
        <v>-69.766777022865483</v>
      </c>
      <c r="V54">
        <f t="shared" si="8"/>
        <v>5.8011502710409797</v>
      </c>
      <c r="W54">
        <f t="shared" si="9"/>
        <v>-114.83978337486222</v>
      </c>
      <c r="X54">
        <f t="shared" si="10"/>
        <v>-116.86367082641877</v>
      </c>
    </row>
    <row r="55" spans="1:24" x14ac:dyDescent="0.45">
      <c r="A55" s="4">
        <v>44713</v>
      </c>
      <c r="B55" s="1">
        <v>3785.38</v>
      </c>
      <c r="C55" s="1">
        <v>-346.76999999999953</v>
      </c>
      <c r="D55" s="55">
        <f t="shared" si="11"/>
        <v>-340.52069206956082</v>
      </c>
      <c r="E55" s="1">
        <v>1806.89</v>
      </c>
      <c r="F55" s="1">
        <v>-30.199999999999818</v>
      </c>
      <c r="G55">
        <f t="shared" si="12"/>
        <v>-18.319960037308164</v>
      </c>
      <c r="H55">
        <f t="shared" si="0"/>
        <v>-342.54457952111738</v>
      </c>
      <c r="I55">
        <f t="shared" si="1"/>
        <v>-103.83881726969376</v>
      </c>
      <c r="J55">
        <f t="shared" si="2"/>
        <v>-32.192227374704203</v>
      </c>
      <c r="P55">
        <f t="shared" si="3"/>
        <v>-18.319960037308164</v>
      </c>
      <c r="Q55">
        <f t="shared" si="4"/>
        <v>-103.83881726969376</v>
      </c>
      <c r="R55">
        <f t="shared" si="5"/>
        <v>-340.52069206956082</v>
      </c>
      <c r="S55">
        <f t="shared" si="6"/>
        <v>-342.54457952111738</v>
      </c>
      <c r="U55">
        <f t="shared" si="7"/>
        <v>-18.319960037308164</v>
      </c>
      <c r="V55">
        <f t="shared" si="8"/>
        <v>-73.195493111239557</v>
      </c>
      <c r="W55">
        <f t="shared" si="9"/>
        <v>-340.52069206956082</v>
      </c>
      <c r="X55">
        <f t="shared" si="10"/>
        <v>-342.54457952111738</v>
      </c>
    </row>
    <row r="56" spans="1:24" x14ac:dyDescent="0.45">
      <c r="A56" s="4">
        <v>44743</v>
      </c>
      <c r="B56" s="1">
        <v>4130.29</v>
      </c>
      <c r="C56" s="1">
        <v>344.90999999999985</v>
      </c>
      <c r="D56" s="55">
        <f t="shared" si="11"/>
        <v>254.84613545771515</v>
      </c>
      <c r="E56" s="1">
        <v>1765.22</v>
      </c>
      <c r="F56" s="1">
        <v>-41.670000000000073</v>
      </c>
      <c r="G56">
        <f t="shared" si="12"/>
        <v>-45.281174132685315</v>
      </c>
      <c r="H56">
        <f t="shared" si="0"/>
        <v>252.82224800615862</v>
      </c>
      <c r="I56">
        <f t="shared" si="1"/>
        <v>5.8011502710409797</v>
      </c>
      <c r="J56">
        <f t="shared" si="2"/>
        <v>-59.153441470081354</v>
      </c>
      <c r="P56">
        <f t="shared" si="3"/>
        <v>-45.281174132685315</v>
      </c>
      <c r="Q56">
        <f t="shared" si="4"/>
        <v>5.8011502710409797</v>
      </c>
      <c r="R56">
        <f t="shared" si="5"/>
        <v>254.84613545771515</v>
      </c>
      <c r="S56">
        <f t="shared" si="6"/>
        <v>252.82224800615862</v>
      </c>
      <c r="U56">
        <f t="shared" si="7"/>
        <v>-45.281174132685315</v>
      </c>
      <c r="V56">
        <f t="shared" si="8"/>
        <v>-77.777973308949441</v>
      </c>
      <c r="W56">
        <f t="shared" si="9"/>
        <v>254.84613545771515</v>
      </c>
      <c r="X56">
        <f t="shared" si="10"/>
        <v>252.82224800615862</v>
      </c>
    </row>
    <row r="57" spans="1:24" x14ac:dyDescent="0.45">
      <c r="A57" s="4">
        <v>44774</v>
      </c>
      <c r="B57" s="1">
        <v>3955</v>
      </c>
      <c r="C57" s="1">
        <v>-175.28999999999996</v>
      </c>
      <c r="D57" s="55">
        <f t="shared" si="11"/>
        <v>-122.38073874998781</v>
      </c>
      <c r="E57" s="1">
        <v>1710.7</v>
      </c>
      <c r="F57" s="1">
        <v>-54.519999999999982</v>
      </c>
      <c r="G57">
        <f t="shared" si="12"/>
        <v>-53.678675529812566</v>
      </c>
      <c r="H57">
        <f t="shared" si="0"/>
        <v>-124.40462620154436</v>
      </c>
      <c r="I57">
        <f t="shared" si="1"/>
        <v>-73.195493111239557</v>
      </c>
      <c r="J57">
        <f t="shared" si="2"/>
        <v>-67.550942867208605</v>
      </c>
      <c r="P57">
        <f t="shared" si="3"/>
        <v>-53.678675529812566</v>
      </c>
      <c r="Q57">
        <f t="shared" si="4"/>
        <v>-73.195493111239557</v>
      </c>
      <c r="R57">
        <f t="shared" si="5"/>
        <v>-122.38073874998781</v>
      </c>
      <c r="S57">
        <f t="shared" si="6"/>
        <v>-124.40462620154436</v>
      </c>
      <c r="U57">
        <f t="shared" si="7"/>
        <v>-53.678675529812566</v>
      </c>
      <c r="V57">
        <f t="shared" si="8"/>
        <v>70.157836926596815</v>
      </c>
      <c r="W57">
        <f t="shared" si="9"/>
        <v>-122.38073874998781</v>
      </c>
      <c r="X57">
        <f t="shared" si="10"/>
        <v>-124.40462620154436</v>
      </c>
    </row>
    <row r="58" spans="1:24" x14ac:dyDescent="0.45">
      <c r="A58" s="4">
        <v>44805</v>
      </c>
      <c r="B58" s="1">
        <v>3585.62</v>
      </c>
      <c r="C58" s="1">
        <v>-369.38000000000011</v>
      </c>
      <c r="D58" s="55">
        <f t="shared" si="11"/>
        <v>-345.84725096810962</v>
      </c>
      <c r="E58" s="1">
        <v>1659.67</v>
      </c>
      <c r="F58" s="1">
        <v>-51.029999999999973</v>
      </c>
      <c r="G58">
        <f t="shared" si="12"/>
        <v>-85.677437875969076</v>
      </c>
      <c r="H58">
        <f t="shared" si="0"/>
        <v>-347.87113841966618</v>
      </c>
      <c r="I58">
        <f t="shared" si="1"/>
        <v>-77.777973308949441</v>
      </c>
      <c r="J58">
        <f t="shared" si="2"/>
        <v>-99.549705213365115</v>
      </c>
      <c r="P58">
        <f t="shared" si="3"/>
        <v>-85.677437875969076</v>
      </c>
      <c r="Q58">
        <f t="shared" si="4"/>
        <v>-77.777973308949441</v>
      </c>
      <c r="R58">
        <f t="shared" si="5"/>
        <v>-345.84725096810962</v>
      </c>
      <c r="S58">
        <f t="shared" si="6"/>
        <v>-347.87113841966618</v>
      </c>
      <c r="U58">
        <f t="shared" si="7"/>
        <v>-85.677437875969076</v>
      </c>
      <c r="V58">
        <f t="shared" si="8"/>
        <v>23.52162502039333</v>
      </c>
      <c r="W58">
        <f t="shared" si="9"/>
        <v>-345.84725096810962</v>
      </c>
      <c r="X58">
        <f t="shared" si="10"/>
        <v>-347.87113841966618</v>
      </c>
    </row>
    <row r="59" spans="1:24" x14ac:dyDescent="0.45">
      <c r="A59" s="4">
        <v>44835</v>
      </c>
      <c r="B59" s="1">
        <v>3871.98</v>
      </c>
      <c r="C59" s="1">
        <v>286.36000000000013</v>
      </c>
      <c r="D59" s="55">
        <f t="shared" si="11"/>
        <v>222.6944097989844</v>
      </c>
      <c r="E59" s="1">
        <v>1633.12</v>
      </c>
      <c r="F59" s="1">
        <v>-26.550000000000182</v>
      </c>
      <c r="G59">
        <f t="shared" si="12"/>
        <v>-33.565653476540852</v>
      </c>
      <c r="H59">
        <f t="shared" si="0"/>
        <v>220.67052234742786</v>
      </c>
      <c r="I59">
        <f t="shared" si="1"/>
        <v>70.157836926596815</v>
      </c>
      <c r="J59">
        <f t="shared" si="2"/>
        <v>-47.437920813936891</v>
      </c>
      <c r="P59">
        <f t="shared" si="3"/>
        <v>-33.565653476540852</v>
      </c>
      <c r="Q59">
        <f t="shared" si="4"/>
        <v>70.157836926596815</v>
      </c>
      <c r="R59">
        <f t="shared" si="5"/>
        <v>222.6944097989844</v>
      </c>
      <c r="S59">
        <f t="shared" si="6"/>
        <v>220.67052234742786</v>
      </c>
      <c r="U59">
        <f t="shared" si="7"/>
        <v>-33.565653476540852</v>
      </c>
      <c r="V59">
        <f t="shared" si="8"/>
        <v>18.276648844690492</v>
      </c>
      <c r="W59">
        <f t="shared" si="9"/>
        <v>222.6944097989844</v>
      </c>
      <c r="X59">
        <f t="shared" si="10"/>
        <v>220.67052234742786</v>
      </c>
    </row>
    <row r="60" spans="1:24" x14ac:dyDescent="0.45">
      <c r="A60" s="4">
        <v>44866</v>
      </c>
      <c r="B60" s="1">
        <v>4080.11</v>
      </c>
      <c r="C60" s="1">
        <v>208.13000000000011</v>
      </c>
      <c r="D60" s="55">
        <f t="shared" si="11"/>
        <v>283.11227540630159</v>
      </c>
      <c r="E60" s="1">
        <v>1768.45</v>
      </c>
      <c r="F60" s="1">
        <v>135.33000000000015</v>
      </c>
      <c r="G60">
        <f t="shared" si="12"/>
        <v>148.08160109187656</v>
      </c>
      <c r="H60">
        <f t="shared" si="0"/>
        <v>281.08838795474503</v>
      </c>
      <c r="I60">
        <f t="shared" si="1"/>
        <v>23.52162502039333</v>
      </c>
      <c r="J60">
        <f t="shared" si="2"/>
        <v>134.20933375448053</v>
      </c>
      <c r="P60">
        <f t="shared" si="3"/>
        <v>148.08160109187656</v>
      </c>
      <c r="Q60">
        <f t="shared" si="4"/>
        <v>23.52162502039333</v>
      </c>
      <c r="R60">
        <f t="shared" si="5"/>
        <v>283.11227540630159</v>
      </c>
      <c r="S60">
        <f t="shared" si="6"/>
        <v>281.08838795474503</v>
      </c>
      <c r="U60">
        <f t="shared" si="7"/>
        <v>148.08160109187656</v>
      </c>
      <c r="V60">
        <f t="shared" si="8"/>
        <v>-10.573837574492478</v>
      </c>
      <c r="W60">
        <f t="shared" si="9"/>
        <v>283.11227540630159</v>
      </c>
      <c r="X60">
        <f t="shared" si="10"/>
        <v>281.08838795474503</v>
      </c>
    </row>
    <row r="61" spans="1:24" x14ac:dyDescent="0.45">
      <c r="A61" s="4">
        <v>44896</v>
      </c>
      <c r="B61" s="1">
        <v>3839.5</v>
      </c>
      <c r="C61" s="1">
        <v>-240.61000000000013</v>
      </c>
      <c r="D61" s="55">
        <f t="shared" si="11"/>
        <v>-241.47725750125284</v>
      </c>
      <c r="E61" s="1">
        <v>1824.4</v>
      </c>
      <c r="F61" s="1">
        <v>55.950000000000045</v>
      </c>
      <c r="G61">
        <f t="shared" si="12"/>
        <v>78.204904202523906</v>
      </c>
      <c r="H61">
        <f t="shared" si="0"/>
        <v>-243.50114495280937</v>
      </c>
      <c r="I61">
        <f t="shared" si="1"/>
        <v>18.276648844690492</v>
      </c>
      <c r="J61">
        <f t="shared" si="2"/>
        <v>64.332636865127867</v>
      </c>
      <c r="P61">
        <f t="shared" si="3"/>
        <v>78.204904202523906</v>
      </c>
      <c r="Q61">
        <f t="shared" si="4"/>
        <v>18.276648844690492</v>
      </c>
      <c r="R61">
        <f t="shared" si="5"/>
        <v>-241.47725750125284</v>
      </c>
      <c r="S61">
        <f t="shared" si="6"/>
        <v>-243.50114495280937</v>
      </c>
      <c r="U61">
        <f t="shared" si="7"/>
        <v>78.204904202523906</v>
      </c>
      <c r="V61">
        <f t="shared" si="8"/>
        <v>-14.097890820311406</v>
      </c>
      <c r="W61">
        <f t="shared" si="9"/>
        <v>-241.47725750125284</v>
      </c>
      <c r="X61">
        <f t="shared" si="10"/>
        <v>-243.50114495280937</v>
      </c>
    </row>
    <row r="62" spans="1:24" x14ac:dyDescent="0.45">
      <c r="A62" s="4">
        <v>44927</v>
      </c>
      <c r="B62" s="1">
        <v>4076.6</v>
      </c>
      <c r="C62" s="1">
        <v>237.09999999999991</v>
      </c>
      <c r="D62" s="55">
        <f t="shared" si="11"/>
        <v>308.2226955632691</v>
      </c>
      <c r="E62" s="1">
        <v>1927.88</v>
      </c>
      <c r="F62" s="1">
        <v>103.48000000000002</v>
      </c>
      <c r="G62">
        <f t="shared" si="12"/>
        <v>109.32388405230095</v>
      </c>
      <c r="H62">
        <f t="shared" si="0"/>
        <v>306.19880811171254</v>
      </c>
      <c r="I62">
        <f t="shared" si="1"/>
        <v>-10.573837574492478</v>
      </c>
      <c r="J62">
        <f t="shared" si="2"/>
        <v>95.451616714904915</v>
      </c>
      <c r="P62">
        <f t="shared" si="3"/>
        <v>109.32388405230095</v>
      </c>
      <c r="Q62">
        <f t="shared" si="4"/>
        <v>-10.573837574492478</v>
      </c>
      <c r="R62">
        <f t="shared" si="5"/>
        <v>308.2226955632691</v>
      </c>
      <c r="S62">
        <f t="shared" si="6"/>
        <v>306.19880811171254</v>
      </c>
      <c r="U62">
        <f t="shared" si="7"/>
        <v>109.32388405230095</v>
      </c>
      <c r="V62">
        <f t="shared" si="8"/>
        <v>194.19124845220242</v>
      </c>
      <c r="W62">
        <f t="shared" si="9"/>
        <v>308.2226955632691</v>
      </c>
      <c r="X62">
        <f t="shared" si="10"/>
        <v>306.19880811171254</v>
      </c>
    </row>
    <row r="63" spans="1:24" x14ac:dyDescent="0.45">
      <c r="A63" s="4">
        <v>44958</v>
      </c>
      <c r="B63" s="1">
        <v>3970.15</v>
      </c>
      <c r="C63" s="1">
        <v>-106.44999999999982</v>
      </c>
      <c r="D63" s="55">
        <f t="shared" si="11"/>
        <v>-225.24336874965638</v>
      </c>
      <c r="E63" s="1">
        <v>1827.15</v>
      </c>
      <c r="F63" s="1">
        <v>-100.73000000000002</v>
      </c>
      <c r="G63">
        <f t="shared" si="12"/>
        <v>-86.285758263414735</v>
      </c>
      <c r="H63">
        <f t="shared" si="0"/>
        <v>-227.26725620121292</v>
      </c>
      <c r="I63">
        <f t="shared" si="1"/>
        <v>-14.097890820311406</v>
      </c>
      <c r="J63">
        <f t="shared" si="2"/>
        <v>-100.15802560081077</v>
      </c>
      <c r="P63">
        <f t="shared" si="3"/>
        <v>-86.285758263414735</v>
      </c>
      <c r="Q63">
        <f t="shared" si="4"/>
        <v>-14.097890820311406</v>
      </c>
      <c r="R63">
        <f t="shared" si="5"/>
        <v>-225.24336874965638</v>
      </c>
      <c r="S63">
        <f t="shared" si="6"/>
        <v>-227.26725620121292</v>
      </c>
      <c r="U63">
        <f t="shared" si="7"/>
        <v>-86.285758263414735</v>
      </c>
      <c r="V63">
        <f t="shared" si="8"/>
        <v>59.703013810469827</v>
      </c>
      <c r="W63">
        <f>R63</f>
        <v>-225.24336874965638</v>
      </c>
      <c r="X63">
        <f t="shared" si="10"/>
        <v>-227.26725620121292</v>
      </c>
    </row>
    <row r="64" spans="1:24" x14ac:dyDescent="0.45">
      <c r="A64" s="4">
        <v>44986</v>
      </c>
      <c r="B64" s="1">
        <v>4109.3100000000004</v>
      </c>
      <c r="C64" s="1">
        <v>139.16000000000031</v>
      </c>
      <c r="D64" s="55">
        <f t="shared" si="11"/>
        <v>140.69823185385891</v>
      </c>
      <c r="E64" s="1">
        <v>1967.9</v>
      </c>
      <c r="F64" s="1">
        <v>140.75</v>
      </c>
      <c r="G64">
        <f t="shared" si="12"/>
        <v>157.87296070725492</v>
      </c>
      <c r="H64">
        <f t="shared" si="0"/>
        <v>138.67434440230238</v>
      </c>
      <c r="I64">
        <f t="shared" si="1"/>
        <v>194.19124845220242</v>
      </c>
      <c r="J64">
        <f t="shared" si="2"/>
        <v>144.00069336985888</v>
      </c>
      <c r="P64">
        <f t="shared" si="3"/>
        <v>157.87296070725492</v>
      </c>
      <c r="Q64">
        <f t="shared" si="4"/>
        <v>194.19124845220242</v>
      </c>
      <c r="R64">
        <f t="shared" si="5"/>
        <v>140.69823185385891</v>
      </c>
      <c r="S64">
        <f t="shared" si="6"/>
        <v>138.67434440230238</v>
      </c>
      <c r="U64">
        <f t="shared" si="7"/>
        <v>157.87296070725492</v>
      </c>
      <c r="V64">
        <f t="shared" si="8"/>
        <v>0.72296970343252021</v>
      </c>
      <c r="W64">
        <f t="shared" si="9"/>
        <v>140.69823185385891</v>
      </c>
      <c r="X64">
        <f t="shared" si="10"/>
        <v>138.67434440230238</v>
      </c>
    </row>
    <row r="65" spans="1:24" x14ac:dyDescent="0.45">
      <c r="A65" s="4">
        <v>45017</v>
      </c>
      <c r="B65" s="1">
        <v>4169.4799999999996</v>
      </c>
      <c r="C65" s="1">
        <v>60.169999999999163</v>
      </c>
      <c r="D65" s="55">
        <f t="shared" si="11"/>
        <v>132.99181458631645</v>
      </c>
      <c r="E65" s="1">
        <v>1989.65</v>
      </c>
      <c r="F65" s="1">
        <v>21.75</v>
      </c>
      <c r="G65">
        <f t="shared" si="12"/>
        <v>49.080245908055375</v>
      </c>
      <c r="H65">
        <f t="shared" si="0"/>
        <v>130.96792713475992</v>
      </c>
      <c r="I65">
        <f t="shared" si="1"/>
        <v>59.703013810469827</v>
      </c>
      <c r="J65">
        <f t="shared" si="2"/>
        <v>35.207978570659336</v>
      </c>
      <c r="P65">
        <f t="shared" si="3"/>
        <v>49.080245908055375</v>
      </c>
      <c r="Q65">
        <f t="shared" si="4"/>
        <v>59.703013810469827</v>
      </c>
      <c r="R65">
        <f t="shared" si="5"/>
        <v>132.99181458631645</v>
      </c>
      <c r="S65">
        <f t="shared" si="6"/>
        <v>130.96792713475992</v>
      </c>
      <c r="U65">
        <f t="shared" si="7"/>
        <v>49.080245908055375</v>
      </c>
      <c r="V65">
        <f t="shared" si="8"/>
        <v>-27.060545060607033</v>
      </c>
      <c r="W65">
        <f t="shared" si="9"/>
        <v>132.99181458631645</v>
      </c>
      <c r="X65">
        <f t="shared" si="10"/>
        <v>130.96792713475992</v>
      </c>
    </row>
    <row r="66" spans="1:24" x14ac:dyDescent="0.45">
      <c r="A66" s="4">
        <v>45047</v>
      </c>
      <c r="B66" s="1">
        <v>4179.83</v>
      </c>
      <c r="C66" s="1">
        <v>10.350000000000364</v>
      </c>
      <c r="D66" s="55">
        <f t="shared" si="11"/>
        <v>-98.187289781777665</v>
      </c>
      <c r="E66" s="1">
        <v>1962.3</v>
      </c>
      <c r="F66" s="1">
        <v>-27.350000000000136</v>
      </c>
      <c r="G66">
        <f t="shared" si="12"/>
        <v>-16.642892197518371</v>
      </c>
      <c r="H66">
        <f t="shared" si="0"/>
        <v>-100.21117723333421</v>
      </c>
      <c r="I66">
        <f>G78-$G$82</f>
        <v>0.72296970343252021</v>
      </c>
      <c r="J66">
        <f t="shared" si="2"/>
        <v>-30.51515953491441</v>
      </c>
      <c r="P66">
        <f t="shared" si="3"/>
        <v>-16.642892197518371</v>
      </c>
      <c r="Q66">
        <f t="shared" si="4"/>
        <v>0.72296970343252021</v>
      </c>
      <c r="R66">
        <f t="shared" si="5"/>
        <v>-98.187289781777665</v>
      </c>
      <c r="S66">
        <f t="shared" si="6"/>
        <v>-100.21117723333421</v>
      </c>
      <c r="U66">
        <f t="shared" si="7"/>
        <v>-16.642892197518371</v>
      </c>
      <c r="V66">
        <f t="shared" si="8"/>
        <v>98.262549889680059</v>
      </c>
      <c r="W66">
        <f t="shared" si="9"/>
        <v>-98.187289781777665</v>
      </c>
      <c r="X66">
        <f t="shared" si="10"/>
        <v>-100.21117723333421</v>
      </c>
    </row>
    <row r="67" spans="1:24" x14ac:dyDescent="0.45">
      <c r="A67" s="4">
        <v>45078</v>
      </c>
      <c r="B67" s="1">
        <v>4450.38</v>
      </c>
      <c r="C67" s="1">
        <v>270.55000000000018</v>
      </c>
      <c r="D67" s="55">
        <f t="shared" si="11"/>
        <v>142.74001526814402</v>
      </c>
      <c r="E67" s="1">
        <v>1919.57</v>
      </c>
      <c r="F67" s="1">
        <v>-42.730000000000018</v>
      </c>
      <c r="G67">
        <f t="shared" si="12"/>
        <v>-89.966549932297724</v>
      </c>
      <c r="H67">
        <f t="shared" si="0"/>
        <v>140.71612781658749</v>
      </c>
      <c r="I67">
        <f t="shared" ref="I67:I70" si="13">G79-$G$82</f>
        <v>-27.060545060607033</v>
      </c>
      <c r="J67">
        <f t="shared" si="2"/>
        <v>-103.83881726969376</v>
      </c>
      <c r="P67">
        <f t="shared" si="3"/>
        <v>-89.966549932297724</v>
      </c>
      <c r="Q67">
        <f t="shared" si="4"/>
        <v>-27.060545060607033</v>
      </c>
      <c r="R67">
        <f t="shared" si="5"/>
        <v>142.74001526814402</v>
      </c>
      <c r="S67">
        <f t="shared" si="6"/>
        <v>140.71612781658749</v>
      </c>
      <c r="U67">
        <f t="shared" si="7"/>
        <v>-89.966549932297724</v>
      </c>
      <c r="V67">
        <f t="shared" si="8"/>
        <v>40.005566552535647</v>
      </c>
      <c r="W67">
        <f t="shared" si="9"/>
        <v>142.74001526814402</v>
      </c>
      <c r="X67">
        <f t="shared" si="10"/>
        <v>140.71612781658749</v>
      </c>
    </row>
    <row r="68" spans="1:24" x14ac:dyDescent="0.45">
      <c r="A68" s="4">
        <v>45108</v>
      </c>
      <c r="B68" s="1">
        <v>4588.96</v>
      </c>
      <c r="C68" s="1">
        <v>138.57999999999993</v>
      </c>
      <c r="D68" s="55">
        <f t="shared" si="11"/>
        <v>178.10883037032457</v>
      </c>
      <c r="E68" s="1">
        <v>1964.19</v>
      </c>
      <c r="F68" s="1">
        <v>44.620000000000118</v>
      </c>
      <c r="G68">
        <f t="shared" si="12"/>
        <v>19.673417608437017</v>
      </c>
      <c r="H68">
        <f t="shared" ref="H68:H81" si="14">D68-$D$82</f>
        <v>176.08494291876804</v>
      </c>
      <c r="I68">
        <f t="shared" si="13"/>
        <v>98.262549889680059</v>
      </c>
      <c r="J68">
        <f t="shared" ref="J68:J81" si="15">G68-$G$82</f>
        <v>5.8011502710409797</v>
      </c>
      <c r="P68">
        <f t="shared" si="3"/>
        <v>19.673417608437017</v>
      </c>
      <c r="Q68">
        <f t="shared" ref="Q68:Q69" si="16">J80</f>
        <v>98.262549889680059</v>
      </c>
      <c r="R68">
        <f t="shared" ref="R68:R69" si="17">D68</f>
        <v>178.10883037032457</v>
      </c>
      <c r="S68">
        <f t="shared" ref="S68" si="18">R68-$R$70</f>
        <v>176.08494291876804</v>
      </c>
      <c r="T68" t="s">
        <v>44</v>
      </c>
      <c r="U68">
        <f>P70</f>
        <v>13.872267337396037</v>
      </c>
      <c r="W68">
        <f>D82</f>
        <v>2.0238874515565461</v>
      </c>
    </row>
    <row r="69" spans="1:24" x14ac:dyDescent="0.45">
      <c r="A69" s="4">
        <v>45139</v>
      </c>
      <c r="B69" s="1">
        <v>4507.66</v>
      </c>
      <c r="C69" s="1">
        <v>-81.300000000000182</v>
      </c>
      <c r="D69" s="55">
        <f t="shared" si="11"/>
        <v>-217.11995765772741</v>
      </c>
      <c r="E69" s="1">
        <v>1939.74</v>
      </c>
      <c r="F69" s="1">
        <v>-24.450000000000045</v>
      </c>
      <c r="G69">
        <f t="shared" si="12"/>
        <v>-59.323225773843525</v>
      </c>
      <c r="H69">
        <f t="shared" si="14"/>
        <v>-219.14384510928394</v>
      </c>
      <c r="I69">
        <f t="shared" si="13"/>
        <v>40.005566552535647</v>
      </c>
      <c r="J69">
        <f t="shared" si="15"/>
        <v>-73.195493111239557</v>
      </c>
      <c r="P69">
        <f t="shared" ref="P69" si="19">G69</f>
        <v>-59.323225773843525</v>
      </c>
      <c r="Q69">
        <f t="shared" si="16"/>
        <v>40.005566552535647</v>
      </c>
      <c r="R69">
        <f t="shared" si="17"/>
        <v>-217.11995765772741</v>
      </c>
      <c r="S69">
        <f>R69-$R$70</f>
        <v>-219.14384510928394</v>
      </c>
    </row>
    <row r="70" spans="1:24" x14ac:dyDescent="0.45">
      <c r="A70" s="4">
        <v>45170</v>
      </c>
      <c r="B70" s="1">
        <v>4288.05</v>
      </c>
      <c r="C70" s="1">
        <v>-219.60999999999967</v>
      </c>
      <c r="D70" s="55">
        <f t="shared" si="11"/>
        <v>-185.25961780254679</v>
      </c>
      <c r="E70" s="1">
        <v>1848.31</v>
      </c>
      <c r="F70" s="1">
        <v>-91.430000000000064</v>
      </c>
      <c r="G70">
        <f t="shared" si="12"/>
        <v>-63.905705971553402</v>
      </c>
      <c r="H70">
        <f t="shared" si="14"/>
        <v>-187.28350525410332</v>
      </c>
      <c r="I70">
        <f t="shared" si="13"/>
        <v>0</v>
      </c>
      <c r="J70">
        <f t="shared" si="15"/>
        <v>-77.777973308949441</v>
      </c>
      <c r="O70" t="s">
        <v>44</v>
      </c>
      <c r="P70">
        <f>G82</f>
        <v>13.872267337396037</v>
      </c>
      <c r="R70">
        <f>D82</f>
        <v>2.0238874515565461</v>
      </c>
    </row>
    <row r="71" spans="1:24" x14ac:dyDescent="0.45">
      <c r="A71" s="4">
        <v>45200</v>
      </c>
      <c r="B71" s="1">
        <v>4193.8</v>
      </c>
      <c r="C71" s="1">
        <v>-94.25</v>
      </c>
      <c r="D71" s="55">
        <f t="shared" si="11"/>
        <v>-176.63132897906246</v>
      </c>
      <c r="E71" s="1">
        <v>1982.7</v>
      </c>
      <c r="F71" s="1">
        <v>134.3900000000001</v>
      </c>
      <c r="G71">
        <f t="shared" si="12"/>
        <v>84.030104263992854</v>
      </c>
      <c r="H71">
        <f t="shared" si="14"/>
        <v>-178.65521643061899</v>
      </c>
      <c r="J71">
        <f t="shared" si="15"/>
        <v>70.157836926596815</v>
      </c>
    </row>
    <row r="72" spans="1:24" x14ac:dyDescent="0.45">
      <c r="A72" s="4">
        <v>45231</v>
      </c>
      <c r="B72" s="1">
        <v>4567.8</v>
      </c>
      <c r="C72" s="1">
        <v>374</v>
      </c>
      <c r="D72" s="55">
        <f t="shared" si="11"/>
        <v>294.07694106511093</v>
      </c>
      <c r="E72" s="1">
        <v>2035.75</v>
      </c>
      <c r="F72" s="1">
        <v>53.049999999999955</v>
      </c>
      <c r="G72">
        <f t="shared" si="12"/>
        <v>37.393892357789369</v>
      </c>
      <c r="H72">
        <f t="shared" si="14"/>
        <v>292.05305361355437</v>
      </c>
      <c r="J72">
        <f t="shared" si="15"/>
        <v>23.52162502039333</v>
      </c>
    </row>
    <row r="73" spans="1:24" x14ac:dyDescent="0.45">
      <c r="A73" s="4">
        <v>45261</v>
      </c>
      <c r="B73" s="1">
        <v>4769.83</v>
      </c>
      <c r="C73" s="1">
        <v>202.02999999999975</v>
      </c>
      <c r="D73" s="55">
        <f t="shared" si="11"/>
        <v>195.850763567489</v>
      </c>
      <c r="E73" s="1">
        <v>2062.59</v>
      </c>
      <c r="F73" s="1">
        <v>26.840000000000146</v>
      </c>
      <c r="G73">
        <f t="shared" si="12"/>
        <v>32.148916182086531</v>
      </c>
      <c r="H73">
        <f t="shared" si="14"/>
        <v>193.82687611593246</v>
      </c>
      <c r="J73">
        <f t="shared" si="15"/>
        <v>18.276648844690492</v>
      </c>
    </row>
    <row r="74" spans="1:24" x14ac:dyDescent="0.45">
      <c r="A74" s="4">
        <v>45292</v>
      </c>
      <c r="B74" s="1">
        <v>4845.6499999999996</v>
      </c>
      <c r="C74" s="1">
        <v>75.819999999999709</v>
      </c>
      <c r="D74" s="55">
        <f t="shared" si="11"/>
        <v>-7.2126374703855518</v>
      </c>
      <c r="E74" s="1">
        <v>2037.19</v>
      </c>
      <c r="F74" s="1">
        <v>-25.400000000000091</v>
      </c>
      <c r="G74">
        <f t="shared" si="12"/>
        <v>3.2984297629035595</v>
      </c>
      <c r="H74">
        <f t="shared" si="14"/>
        <v>-9.2365249219420988</v>
      </c>
      <c r="J74">
        <f t="shared" si="15"/>
        <v>-10.573837574492478</v>
      </c>
    </row>
    <row r="75" spans="1:24" x14ac:dyDescent="0.45">
      <c r="A75" s="4">
        <v>45323</v>
      </c>
      <c r="B75" s="1">
        <v>5096.2700000000004</v>
      </c>
      <c r="C75" s="1">
        <v>250.6200000000008</v>
      </c>
      <c r="D75" s="55">
        <f t="shared" ref="D75:D81" si="20">C75-0.31899*D68-37.5</f>
        <v>156.30506420017096</v>
      </c>
      <c r="E75" s="1">
        <v>2043.24</v>
      </c>
      <c r="F75" s="1">
        <v>6.0499999999999545</v>
      </c>
      <c r="G75">
        <f t="shared" ref="G75:G81" si="21">F75-0.31899*G68</f>
        <v>-0.2256234829153696</v>
      </c>
      <c r="H75">
        <f t="shared" si="14"/>
        <v>154.28117674861443</v>
      </c>
      <c r="J75">
        <f t="shared" si="15"/>
        <v>-14.097890820311406</v>
      </c>
    </row>
    <row r="76" spans="1:24" x14ac:dyDescent="0.45">
      <c r="A76" s="4">
        <v>45352</v>
      </c>
      <c r="B76" s="1">
        <v>5254.35</v>
      </c>
      <c r="C76" s="1">
        <v>158.07999999999993</v>
      </c>
      <c r="D76" s="55">
        <f t="shared" si="20"/>
        <v>189.83909529323839</v>
      </c>
      <c r="E76" s="1">
        <v>2232.38</v>
      </c>
      <c r="F76" s="1">
        <v>189.1400000000001</v>
      </c>
      <c r="G76">
        <f t="shared" si="21"/>
        <v>208.06351578959845</v>
      </c>
      <c r="H76">
        <f t="shared" si="14"/>
        <v>187.81520784168185</v>
      </c>
      <c r="J76">
        <f t="shared" si="15"/>
        <v>194.19124845220242</v>
      </c>
    </row>
    <row r="77" spans="1:24" x14ac:dyDescent="0.45">
      <c r="A77" s="4">
        <v>45383</v>
      </c>
      <c r="B77" s="1">
        <v>5035.6899999999996</v>
      </c>
      <c r="C77" s="1">
        <v>-218.66000000000076</v>
      </c>
      <c r="D77" s="55">
        <f t="shared" si="20"/>
        <v>-197.06403451716636</v>
      </c>
      <c r="E77" s="1">
        <v>2285.5700000000002</v>
      </c>
      <c r="F77" s="1">
        <v>53.190000000000055</v>
      </c>
      <c r="G77">
        <f t="shared" si="21"/>
        <v>73.575281147865866</v>
      </c>
      <c r="H77">
        <f t="shared" si="14"/>
        <v>-199.0879219687229</v>
      </c>
      <c r="J77">
        <f t="shared" si="15"/>
        <v>59.703013810469827</v>
      </c>
    </row>
    <row r="78" spans="1:24" x14ac:dyDescent="0.45">
      <c r="A78" s="4">
        <v>45413</v>
      </c>
      <c r="B78" s="1">
        <v>5277.51</v>
      </c>
      <c r="C78" s="1">
        <v>241.82000000000062</v>
      </c>
      <c r="D78" s="55">
        <f t="shared" si="20"/>
        <v>260.66362763103177</v>
      </c>
      <c r="E78" s="1">
        <v>2326.9699999999998</v>
      </c>
      <c r="F78" s="1">
        <v>41.399999999999636</v>
      </c>
      <c r="G78">
        <f t="shared" si="21"/>
        <v>14.595237040828557</v>
      </c>
      <c r="H78">
        <f t="shared" si="14"/>
        <v>258.63974017947521</v>
      </c>
      <c r="J78">
        <f t="shared" si="15"/>
        <v>0.72296970343252021</v>
      </c>
    </row>
    <row r="79" spans="1:24" x14ac:dyDescent="0.45">
      <c r="A79" s="4">
        <v>45444</v>
      </c>
      <c r="B79" s="1">
        <v>5460.48</v>
      </c>
      <c r="C79" s="1">
        <v>182.96999999999935</v>
      </c>
      <c r="D79" s="55">
        <f t="shared" si="20"/>
        <v>51.662396569639611</v>
      </c>
      <c r="E79" s="1">
        <v>2325.71</v>
      </c>
      <c r="F79" s="1">
        <v>-1.2599999999997635</v>
      </c>
      <c r="G79">
        <f t="shared" si="21"/>
        <v>-13.188277723210994</v>
      </c>
      <c r="H79">
        <f t="shared" si="14"/>
        <v>49.638509118083064</v>
      </c>
      <c r="J79">
        <f t="shared" si="15"/>
        <v>-27.060545060607033</v>
      </c>
    </row>
    <row r="80" spans="1:24" x14ac:dyDescent="0.45">
      <c r="A80" s="4">
        <v>45474</v>
      </c>
      <c r="B80" s="1">
        <v>5522.3</v>
      </c>
      <c r="C80" s="1">
        <v>61.820000000000618</v>
      </c>
      <c r="D80" s="55">
        <f t="shared" si="20"/>
        <v>-38.154435070392694</v>
      </c>
      <c r="E80" s="1">
        <v>2448.1</v>
      </c>
      <c r="F80" s="1">
        <v>122.38999999999987</v>
      </c>
      <c r="G80">
        <f t="shared" si="21"/>
        <v>112.1348172270761</v>
      </c>
      <c r="H80">
        <f t="shared" si="14"/>
        <v>-40.178322521949241</v>
      </c>
      <c r="J80">
        <f t="shared" si="15"/>
        <v>98.262549889680059</v>
      </c>
    </row>
    <row r="81" spans="1:10" x14ac:dyDescent="0.45">
      <c r="A81" s="6">
        <v>45505</v>
      </c>
      <c r="B81" s="1">
        <v>5648.4</v>
      </c>
      <c r="C81" s="1">
        <v>126.09999999999945</v>
      </c>
      <c r="D81" s="55">
        <f t="shared" si="20"/>
        <v>90.900759226677735</v>
      </c>
      <c r="E81" s="1">
        <v>2503.0300000000002</v>
      </c>
      <c r="F81" s="1">
        <v>54.930000000000291</v>
      </c>
      <c r="G81">
        <f t="shared" si="21"/>
        <v>53.877833889931686</v>
      </c>
      <c r="H81">
        <f t="shared" si="14"/>
        <v>88.876871775121188</v>
      </c>
      <c r="J81">
        <f t="shared" si="15"/>
        <v>40.005566552535647</v>
      </c>
    </row>
    <row r="82" spans="1:10" x14ac:dyDescent="0.45">
      <c r="A82" s="8"/>
      <c r="B82" s="1"/>
      <c r="D82">
        <f>AVERAGE(D3:D81)</f>
        <v>2.0238874515565461</v>
      </c>
      <c r="E82" s="1"/>
      <c r="G82">
        <f>AVERAGE(G3:G81)</f>
        <v>13.872267337396037</v>
      </c>
    </row>
    <row r="83" spans="1:10" x14ac:dyDescent="0.45">
      <c r="A83" s="10"/>
      <c r="E83" s="1"/>
    </row>
    <row r="84" spans="1:10" x14ac:dyDescent="0.45">
      <c r="A84" s="10"/>
      <c r="E84" s="1"/>
    </row>
    <row r="85" spans="1:10" x14ac:dyDescent="0.45">
      <c r="A85" s="10"/>
      <c r="E85" s="1"/>
    </row>
    <row r="86" spans="1:10" x14ac:dyDescent="0.45">
      <c r="A86" s="10"/>
      <c r="E86" s="1"/>
    </row>
    <row r="87" spans="1:10" x14ac:dyDescent="0.45">
      <c r="A87" s="10"/>
      <c r="E87" s="1"/>
    </row>
    <row r="88" spans="1:10" x14ac:dyDescent="0.45">
      <c r="A88" s="10"/>
      <c r="E88" s="1"/>
    </row>
    <row r="89" spans="1:10" x14ac:dyDescent="0.45">
      <c r="A89" s="10"/>
      <c r="E89" s="1"/>
    </row>
    <row r="90" spans="1:10" x14ac:dyDescent="0.45">
      <c r="A90" s="10"/>
      <c r="E90" s="1"/>
    </row>
    <row r="91" spans="1:10" x14ac:dyDescent="0.45">
      <c r="A91" s="10"/>
    </row>
    <row r="92" spans="1:10" x14ac:dyDescent="0.45">
      <c r="A92" s="10"/>
    </row>
    <row r="93" spans="1:10" x14ac:dyDescent="0.45">
      <c r="A93" s="10"/>
    </row>
    <row r="94" spans="1:10" x14ac:dyDescent="0.45">
      <c r="A94" s="10"/>
    </row>
    <row r="95" spans="1:10" x14ac:dyDescent="0.45">
      <c r="A95" s="10"/>
    </row>
    <row r="96" spans="1:10" x14ac:dyDescent="0.45">
      <c r="A96" s="10"/>
    </row>
    <row r="97" spans="1:1" x14ac:dyDescent="0.45">
      <c r="A97" s="10"/>
    </row>
    <row r="98" spans="1:1" x14ac:dyDescent="0.45">
      <c r="A98" s="10"/>
    </row>
    <row r="99" spans="1:1" x14ac:dyDescent="0.45">
      <c r="A99" s="1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7BD4-A83F-457A-A731-8846EBD1F537}">
  <dimension ref="A1:BP41"/>
  <sheetViews>
    <sheetView topLeftCell="AW1" zoomScale="47" zoomScaleNormal="49" workbookViewId="0">
      <selection activeCell="BL31" sqref="BL31"/>
    </sheetView>
  </sheetViews>
  <sheetFormatPr defaultRowHeight="14.25" x14ac:dyDescent="0.45"/>
  <cols>
    <col min="1" max="1" width="14.59765625" customWidth="1"/>
    <col min="2" max="2" width="12.6640625" customWidth="1"/>
    <col min="3" max="3" width="19.73046875" customWidth="1"/>
    <col min="4" max="4" width="20.33203125" customWidth="1"/>
    <col min="5" max="5" width="20" customWidth="1"/>
    <col min="6" max="6" width="19.33203125" customWidth="1"/>
    <col min="7" max="7" width="9.265625" bestFit="1" customWidth="1"/>
    <col min="8" max="8" width="18" customWidth="1"/>
    <col min="15" max="15" width="12.6640625" customWidth="1"/>
    <col min="16" max="16" width="9.1328125" bestFit="1" customWidth="1"/>
    <col min="17" max="17" width="20.33203125" customWidth="1"/>
    <col min="18" max="20" width="9.1328125" bestFit="1" customWidth="1"/>
    <col min="28" max="28" width="12.6640625" customWidth="1"/>
    <col min="30" max="30" width="20.33203125" customWidth="1"/>
    <col min="35" max="35" width="12.6640625" customWidth="1"/>
    <col min="37" max="37" width="20.33203125" customWidth="1"/>
    <col min="49" max="49" width="14.46484375" customWidth="1"/>
    <col min="51" max="51" width="22.73046875" customWidth="1"/>
    <col min="53" max="53" width="9.06640625" customWidth="1"/>
    <col min="64" max="64" width="14.33203125" customWidth="1"/>
    <col min="65" max="65" width="14.86328125" customWidth="1"/>
    <col min="66" max="66" width="18" customWidth="1"/>
  </cols>
  <sheetData>
    <row r="1" spans="1:68" ht="39" x14ac:dyDescent="0.45">
      <c r="B1" s="26" t="s">
        <v>14</v>
      </c>
      <c r="C1" s="27" t="s">
        <v>28</v>
      </c>
      <c r="D1" s="27" t="s">
        <v>31</v>
      </c>
      <c r="E1" t="s">
        <v>29</v>
      </c>
      <c r="F1" t="s">
        <v>30</v>
      </c>
      <c r="O1" s="26" t="s">
        <v>14</v>
      </c>
      <c r="P1" s="27" t="s">
        <v>28</v>
      </c>
      <c r="Q1" s="27" t="s">
        <v>32</v>
      </c>
      <c r="R1" t="s">
        <v>29</v>
      </c>
      <c r="S1" t="s">
        <v>30</v>
      </c>
      <c r="AB1" s="26" t="s">
        <v>14</v>
      </c>
      <c r="AC1" s="27" t="s">
        <v>28</v>
      </c>
      <c r="AD1" s="27" t="s">
        <v>32</v>
      </c>
      <c r="AE1" t="s">
        <v>29</v>
      </c>
      <c r="AF1" t="s">
        <v>30</v>
      </c>
      <c r="AI1" s="26" t="s">
        <v>14</v>
      </c>
      <c r="AJ1" s="27" t="s">
        <v>28</v>
      </c>
      <c r="AK1" s="27" t="s">
        <v>32</v>
      </c>
      <c r="AL1" t="s">
        <v>29</v>
      </c>
      <c r="AM1" t="s">
        <v>30</v>
      </c>
      <c r="AW1" s="26" t="s">
        <v>14</v>
      </c>
      <c r="AX1" s="27" t="s">
        <v>28</v>
      </c>
      <c r="AY1" s="27" t="s">
        <v>33</v>
      </c>
      <c r="AZ1" t="s">
        <v>29</v>
      </c>
      <c r="BA1" t="s">
        <v>30</v>
      </c>
      <c r="BL1" s="26" t="s">
        <v>14</v>
      </c>
      <c r="BM1" s="27" t="s">
        <v>28</v>
      </c>
      <c r="BN1" s="27" t="s">
        <v>34</v>
      </c>
      <c r="BO1" t="s">
        <v>29</v>
      </c>
      <c r="BP1" t="s">
        <v>30</v>
      </c>
    </row>
    <row r="2" spans="1:68" x14ac:dyDescent="0.45">
      <c r="A2">
        <v>1</v>
      </c>
      <c r="B2" s="4">
        <v>45536</v>
      </c>
      <c r="C2" s="28">
        <v>2634.49</v>
      </c>
      <c r="D2" s="28">
        <v>2488.7465000000002</v>
      </c>
      <c r="E2">
        <f>C2-D2</f>
        <v>145.74349999999959</v>
      </c>
      <c r="F2">
        <f>ABS(E2/C2)</f>
        <v>5.5321333540836973E-2</v>
      </c>
      <c r="O2" s="4">
        <v>45536</v>
      </c>
      <c r="P2" s="28">
        <v>2634.49</v>
      </c>
      <c r="Q2" s="28">
        <v>2473.7982999999999</v>
      </c>
      <c r="R2">
        <f>P2-Q2</f>
        <v>160.69169999999986</v>
      </c>
      <c r="S2">
        <f>ABS(R2/P2)</f>
        <v>6.0995372918477529E-2</v>
      </c>
      <c r="T2">
        <f>(P2-Q2)/P2</f>
        <v>6.0995372918477529E-2</v>
      </c>
      <c r="AB2" s="4">
        <v>45536</v>
      </c>
      <c r="AC2" s="28">
        <v>2634.49</v>
      </c>
      <c r="AD2" s="28">
        <v>2450.2157000000002</v>
      </c>
      <c r="AE2">
        <f>AC2-AD2</f>
        <v>184.27429999999958</v>
      </c>
      <c r="AF2">
        <f>ABS(AE2/AC2)</f>
        <v>6.9946858784812091E-2</v>
      </c>
      <c r="AI2" s="4">
        <v>45536</v>
      </c>
      <c r="AJ2" s="28">
        <v>2634.49</v>
      </c>
      <c r="AK2" s="28">
        <v>2447.9164999999998</v>
      </c>
      <c r="AL2">
        <f>AJ2-AK2</f>
        <v>186.57349999999997</v>
      </c>
      <c r="AM2">
        <f>AL2/AJ2</f>
        <v>7.0819589370238634E-2</v>
      </c>
      <c r="AW2" s="4">
        <v>45536</v>
      </c>
      <c r="AX2" s="28">
        <v>2634.49</v>
      </c>
      <c r="AY2" s="28">
        <v>2538.9405999999999</v>
      </c>
      <c r="AZ2">
        <f>AX2-AY2</f>
        <v>95.549399999999878</v>
      </c>
      <c r="BA2">
        <f>ABS(AZ2/AX2)</f>
        <v>3.626865161758059E-2</v>
      </c>
      <c r="BL2" s="4">
        <v>45536</v>
      </c>
      <c r="BM2" s="28">
        <v>2634.49</v>
      </c>
      <c r="BN2" s="28">
        <v>2477.1622000000002</v>
      </c>
      <c r="BO2">
        <f>BM2-BN2</f>
        <v>157.32779999999957</v>
      </c>
      <c r="BP2">
        <f>ABS(BO2/BM2)</f>
        <v>5.9718503391548113E-2</v>
      </c>
    </row>
    <row r="3" spans="1:68" x14ac:dyDescent="0.45">
      <c r="A3">
        <v>2</v>
      </c>
      <c r="B3" s="4">
        <v>45566</v>
      </c>
      <c r="C3" s="28">
        <v>2743.8</v>
      </c>
      <c r="D3" s="28">
        <v>2473.0288999999998</v>
      </c>
      <c r="E3">
        <f t="shared" ref="E3:E19" si="0">C3-D3</f>
        <v>270.77110000000039</v>
      </c>
      <c r="F3">
        <f t="shared" ref="F3:F19" si="1">ABS(E3/C3)</f>
        <v>9.8684707340185279E-2</v>
      </c>
      <c r="O3" s="4">
        <v>45566</v>
      </c>
      <c r="P3" s="28">
        <v>2743.8</v>
      </c>
      <c r="Q3" s="28">
        <v>2465.8746999999998</v>
      </c>
      <c r="R3">
        <f t="shared" ref="R3:R19" si="2">P3-Q3</f>
        <v>277.92530000000033</v>
      </c>
      <c r="S3">
        <f t="shared" ref="S3:S19" si="3">ABS(R3/P3)</f>
        <v>0.10129211312777911</v>
      </c>
      <c r="T3">
        <f t="shared" ref="T3:T19" si="4">(P3-Q3)/P3</f>
        <v>0.10129211312777911</v>
      </c>
      <c r="AB3" s="4">
        <v>45566</v>
      </c>
      <c r="AC3" s="28">
        <v>2743.8</v>
      </c>
      <c r="AD3" s="28">
        <v>2446.7979</v>
      </c>
      <c r="AE3">
        <f t="shared" ref="AE3:AE19" si="5">AC3-AD3</f>
        <v>297.00210000000015</v>
      </c>
      <c r="AF3">
        <f t="shared" ref="AF3:AF19" si="6">ABS(AE3/AC3)</f>
        <v>0.10824480647277503</v>
      </c>
      <c r="AI3" s="4">
        <v>45566</v>
      </c>
      <c r="AJ3" s="28">
        <v>2743.8</v>
      </c>
      <c r="AK3" s="28">
        <v>2433.3386999999998</v>
      </c>
      <c r="AL3">
        <f t="shared" ref="AL3:AL19" si="7">AJ3-AK3</f>
        <v>310.46130000000039</v>
      </c>
      <c r="AM3">
        <f t="shared" ref="AM3:AM19" si="8">AL3/AJ3</f>
        <v>0.11315012027115692</v>
      </c>
      <c r="AW3" s="4">
        <v>45566</v>
      </c>
      <c r="AX3" s="28">
        <v>2743.8</v>
      </c>
      <c r="AY3" s="28">
        <v>2575.6907000000001</v>
      </c>
      <c r="AZ3">
        <f t="shared" ref="AZ3:AZ19" si="9">AX3-AY3</f>
        <v>168.10930000000008</v>
      </c>
      <c r="BA3">
        <f>ABS(AZ3/AX3)</f>
        <v>6.1268787812522804E-2</v>
      </c>
      <c r="BL3" s="4">
        <v>45566</v>
      </c>
      <c r="BM3" s="28">
        <v>2743.8</v>
      </c>
      <c r="BN3" s="28">
        <v>2495.6230999999998</v>
      </c>
      <c r="BO3">
        <f t="shared" ref="BO3:BO19" si="10">BM3-BN3</f>
        <v>248.17690000000039</v>
      </c>
      <c r="BP3">
        <f t="shared" ref="BP3:BP19" si="11">ABS(BO3/BM3)</f>
        <v>9.0450069247029807E-2</v>
      </c>
    </row>
    <row r="4" spans="1:68" x14ac:dyDescent="0.45">
      <c r="A4">
        <v>3</v>
      </c>
      <c r="B4" s="4">
        <v>45597</v>
      </c>
      <c r="C4" s="28">
        <v>2653.55</v>
      </c>
      <c r="D4" s="28">
        <v>2476.1307999999999</v>
      </c>
      <c r="E4">
        <f t="shared" si="0"/>
        <v>177.41920000000027</v>
      </c>
      <c r="F4">
        <f t="shared" si="1"/>
        <v>6.6861072902338475E-2</v>
      </c>
      <c r="O4" s="4">
        <v>45597</v>
      </c>
      <c r="P4" s="28">
        <v>2653.55</v>
      </c>
      <c r="Q4" s="28">
        <v>2484.7159999999999</v>
      </c>
      <c r="R4">
        <f t="shared" si="2"/>
        <v>168.83400000000029</v>
      </c>
      <c r="S4">
        <f t="shared" si="3"/>
        <v>6.3625708955927063E-2</v>
      </c>
      <c r="T4">
        <f t="shared" si="4"/>
        <v>6.3625708955927063E-2</v>
      </c>
      <c r="AB4" s="4">
        <v>45597</v>
      </c>
      <c r="AC4" s="28">
        <v>2653.55</v>
      </c>
      <c r="AD4" s="28">
        <v>2494.4007000000001</v>
      </c>
      <c r="AE4">
        <f t="shared" si="5"/>
        <v>159.14930000000004</v>
      </c>
      <c r="AF4">
        <f t="shared" si="6"/>
        <v>5.9975994422566008E-2</v>
      </c>
      <c r="AI4" s="4">
        <v>45597</v>
      </c>
      <c r="AJ4" s="28">
        <v>2653.55</v>
      </c>
      <c r="AK4" s="28">
        <v>2479.886</v>
      </c>
      <c r="AL4">
        <f t="shared" si="7"/>
        <v>173.66400000000021</v>
      </c>
      <c r="AM4">
        <f t="shared" si="8"/>
        <v>6.5445912080043786E-2</v>
      </c>
      <c r="AW4" s="4">
        <v>45597</v>
      </c>
      <c r="AX4" s="28">
        <v>2653.55</v>
      </c>
      <c r="AY4" s="28">
        <v>2649.9623000000001</v>
      </c>
      <c r="AZ4">
        <f t="shared" si="9"/>
        <v>3.5877000000000407</v>
      </c>
      <c r="BA4">
        <f t="shared" ref="BA4:BA19" si="12">ABS(AZ4/AX4)</f>
        <v>1.3520378361063633E-3</v>
      </c>
      <c r="BL4" s="4">
        <v>45597</v>
      </c>
      <c r="BM4" s="28">
        <v>2653.55</v>
      </c>
      <c r="BN4" s="28">
        <v>2567.2237</v>
      </c>
      <c r="BO4">
        <f t="shared" si="10"/>
        <v>86.326300000000174</v>
      </c>
      <c r="BP4">
        <f t="shared" si="11"/>
        <v>3.2532381149780548E-2</v>
      </c>
    </row>
    <row r="5" spans="1:68" x14ac:dyDescent="0.45">
      <c r="A5">
        <v>4</v>
      </c>
      <c r="B5" s="4">
        <v>45627</v>
      </c>
      <c r="C5" s="28">
        <v>2623.81</v>
      </c>
      <c r="D5" s="28">
        <v>2496.9738000000002</v>
      </c>
      <c r="E5">
        <f t="shared" si="0"/>
        <v>126.83619999999974</v>
      </c>
      <c r="F5">
        <f t="shared" si="1"/>
        <v>4.834046672586801E-2</v>
      </c>
      <c r="O5" s="4">
        <v>45627</v>
      </c>
      <c r="P5" s="28">
        <v>2623.81</v>
      </c>
      <c r="Q5" s="28">
        <v>2513.9301999999998</v>
      </c>
      <c r="R5">
        <f t="shared" si="2"/>
        <v>109.87980000000016</v>
      </c>
      <c r="S5">
        <f t="shared" si="3"/>
        <v>4.1877956102004399E-2</v>
      </c>
      <c r="T5">
        <f t="shared" si="4"/>
        <v>4.1877956102004399E-2</v>
      </c>
      <c r="AB5" s="4">
        <v>45627</v>
      </c>
      <c r="AC5" s="28">
        <v>2623.81</v>
      </c>
      <c r="AD5" s="28">
        <v>2537.5771</v>
      </c>
      <c r="AE5">
        <f t="shared" si="5"/>
        <v>86.232899999999972</v>
      </c>
      <c r="AF5">
        <f t="shared" si="6"/>
        <v>3.2865527610612039E-2</v>
      </c>
      <c r="AI5" s="4">
        <v>45627</v>
      </c>
      <c r="AJ5" s="28">
        <v>2623.81</v>
      </c>
      <c r="AK5" s="28">
        <v>2520.2208999999998</v>
      </c>
      <c r="AL5">
        <f t="shared" si="7"/>
        <v>103.58910000000014</v>
      </c>
      <c r="AM5">
        <f t="shared" si="8"/>
        <v>3.9480412072520552E-2</v>
      </c>
      <c r="AW5" s="4">
        <v>45627</v>
      </c>
      <c r="AX5" s="28">
        <v>2623.81</v>
      </c>
      <c r="AY5" s="28">
        <v>2752.2593999999999</v>
      </c>
      <c r="AZ5">
        <f t="shared" si="9"/>
        <v>-128.44939999999997</v>
      </c>
      <c r="BA5">
        <f t="shared" si="12"/>
        <v>4.8955297830254464E-2</v>
      </c>
      <c r="BL5" s="4">
        <v>45627</v>
      </c>
      <c r="BM5" s="28">
        <v>2623.81</v>
      </c>
      <c r="BN5" s="28">
        <v>2676.1179000000002</v>
      </c>
      <c r="BO5">
        <f t="shared" si="10"/>
        <v>-52.307900000000245</v>
      </c>
      <c r="BP5">
        <f t="shared" si="11"/>
        <v>1.9935856635960775E-2</v>
      </c>
    </row>
    <row r="6" spans="1:68" x14ac:dyDescent="0.45">
      <c r="A6">
        <v>5</v>
      </c>
      <c r="B6" s="4">
        <v>45658</v>
      </c>
      <c r="C6" s="28">
        <v>2801.18</v>
      </c>
      <c r="D6" s="28">
        <v>2525.0475000000001</v>
      </c>
      <c r="E6">
        <f t="shared" si="0"/>
        <v>276.13249999999971</v>
      </c>
      <c r="F6">
        <f t="shared" si="1"/>
        <v>9.8577206748584431E-2</v>
      </c>
      <c r="O6" s="4">
        <v>45658</v>
      </c>
      <c r="P6" s="28">
        <v>2801.18</v>
      </c>
      <c r="Q6" s="28">
        <v>2495.7525999999998</v>
      </c>
      <c r="R6">
        <f t="shared" si="2"/>
        <v>305.42740000000003</v>
      </c>
      <c r="S6">
        <f t="shared" si="3"/>
        <v>0.10903526371029354</v>
      </c>
      <c r="T6">
        <f t="shared" si="4"/>
        <v>0.10903526371029354</v>
      </c>
      <c r="AB6" s="4">
        <v>45658</v>
      </c>
      <c r="AC6" s="28">
        <v>2801.18</v>
      </c>
      <c r="AD6" s="28">
        <v>2521.6033000000002</v>
      </c>
      <c r="AE6">
        <f t="shared" si="5"/>
        <v>279.57669999999962</v>
      </c>
      <c r="AF6">
        <f t="shared" si="6"/>
        <v>9.9806760008282092E-2</v>
      </c>
      <c r="AI6" s="4">
        <v>45658</v>
      </c>
      <c r="AJ6" s="28">
        <v>2801.18</v>
      </c>
      <c r="AK6" s="28">
        <v>2508.7723000000001</v>
      </c>
      <c r="AL6">
        <f t="shared" si="7"/>
        <v>292.40769999999975</v>
      </c>
      <c r="AM6">
        <f t="shared" si="8"/>
        <v>0.10438732962537207</v>
      </c>
      <c r="AW6" s="4">
        <v>45658</v>
      </c>
      <c r="AX6" s="28">
        <v>2801.18</v>
      </c>
      <c r="AY6" s="28">
        <v>2824.9191000000001</v>
      </c>
      <c r="AZ6">
        <f t="shared" si="9"/>
        <v>-23.739100000000235</v>
      </c>
      <c r="BA6">
        <f t="shared" si="12"/>
        <v>8.4746785283345717E-3</v>
      </c>
      <c r="BL6" s="4">
        <v>45658</v>
      </c>
      <c r="BM6" s="28">
        <v>2801.18</v>
      </c>
      <c r="BN6" s="28">
        <v>2718.0138999999999</v>
      </c>
      <c r="BO6">
        <f t="shared" si="10"/>
        <v>83.166099999999915</v>
      </c>
      <c r="BP6">
        <f t="shared" si="11"/>
        <v>2.9689666497690229E-2</v>
      </c>
    </row>
    <row r="7" spans="1:68" x14ac:dyDescent="0.45">
      <c r="A7">
        <v>6</v>
      </c>
      <c r="B7" s="4">
        <v>45689</v>
      </c>
      <c r="C7" s="28">
        <v>2858.77</v>
      </c>
      <c r="D7" s="28">
        <v>2505.6217000000001</v>
      </c>
      <c r="E7">
        <f t="shared" si="0"/>
        <v>353.14829999999984</v>
      </c>
      <c r="F7">
        <f t="shared" si="1"/>
        <v>0.12353155378012216</v>
      </c>
      <c r="O7" s="4">
        <v>45689</v>
      </c>
      <c r="P7" s="28">
        <v>2858.77</v>
      </c>
      <c r="Q7" s="28">
        <v>2509.7602000000002</v>
      </c>
      <c r="R7">
        <f t="shared" si="2"/>
        <v>349.00979999999981</v>
      </c>
      <c r="S7">
        <f t="shared" si="3"/>
        <v>0.12208390321711779</v>
      </c>
      <c r="T7">
        <f t="shared" si="4"/>
        <v>0.12208390321711779</v>
      </c>
      <c r="AB7" s="4">
        <v>45689</v>
      </c>
      <c r="AC7" s="28">
        <v>2858.77</v>
      </c>
      <c r="AD7" s="28">
        <v>2545.1390000000001</v>
      </c>
      <c r="AE7">
        <f t="shared" si="5"/>
        <v>313.63099999999986</v>
      </c>
      <c r="AF7">
        <f t="shared" si="6"/>
        <v>0.10970837108266837</v>
      </c>
      <c r="AI7" s="4">
        <v>45689</v>
      </c>
      <c r="AJ7" s="28">
        <v>2858.77</v>
      </c>
      <c r="AK7" s="28">
        <v>2536.7692999999999</v>
      </c>
      <c r="AL7">
        <f t="shared" si="7"/>
        <v>322.00070000000005</v>
      </c>
      <c r="AM7">
        <f t="shared" si="8"/>
        <v>0.11263609874176658</v>
      </c>
      <c r="AW7" s="4">
        <v>45689</v>
      </c>
      <c r="AX7" s="28">
        <v>2858.77</v>
      </c>
      <c r="AY7" s="28">
        <v>2895.0994000000001</v>
      </c>
      <c r="AZ7">
        <f t="shared" si="9"/>
        <v>-36.329400000000078</v>
      </c>
      <c r="BA7">
        <f t="shared" si="12"/>
        <v>1.2708052763950957E-2</v>
      </c>
      <c r="BL7" s="4">
        <v>45689</v>
      </c>
      <c r="BM7" s="28">
        <v>2858.77</v>
      </c>
      <c r="BN7" s="28">
        <v>2762.6601000000001</v>
      </c>
      <c r="BO7">
        <f t="shared" si="10"/>
        <v>96.109899999999925</v>
      </c>
      <c r="BP7">
        <f t="shared" si="11"/>
        <v>3.3619318797944546E-2</v>
      </c>
    </row>
    <row r="8" spans="1:68" x14ac:dyDescent="0.45">
      <c r="A8">
        <v>7</v>
      </c>
      <c r="B8" s="4">
        <v>45717</v>
      </c>
      <c r="C8" s="28">
        <v>3123.35</v>
      </c>
      <c r="D8" s="28">
        <v>2514.6178</v>
      </c>
      <c r="E8">
        <f t="shared" si="0"/>
        <v>608.73219999999992</v>
      </c>
      <c r="F8">
        <f t="shared" si="1"/>
        <v>0.19489720972673569</v>
      </c>
      <c r="O8" s="4">
        <v>45717</v>
      </c>
      <c r="P8" s="28">
        <v>3123.35</v>
      </c>
      <c r="Q8" s="28">
        <v>2525.8391000000001</v>
      </c>
      <c r="R8">
        <f t="shared" si="2"/>
        <v>597.51089999999976</v>
      </c>
      <c r="S8">
        <f t="shared" si="3"/>
        <v>0.19130449677429676</v>
      </c>
      <c r="T8">
        <f t="shared" si="4"/>
        <v>0.19130449677429676</v>
      </c>
      <c r="AB8" s="4">
        <v>45717</v>
      </c>
      <c r="AC8" s="28">
        <v>3123.35</v>
      </c>
      <c r="AD8" s="28">
        <v>2586.2543999999998</v>
      </c>
      <c r="AE8">
        <f t="shared" si="5"/>
        <v>537.0956000000001</v>
      </c>
      <c r="AF8">
        <f t="shared" si="6"/>
        <v>0.17196138761265953</v>
      </c>
      <c r="AI8" s="4">
        <v>45717</v>
      </c>
      <c r="AJ8" s="28">
        <v>3123.35</v>
      </c>
      <c r="AK8" s="28">
        <v>2562.7671999999998</v>
      </c>
      <c r="AL8">
        <f t="shared" si="7"/>
        <v>560.58280000000013</v>
      </c>
      <c r="AM8">
        <f t="shared" si="8"/>
        <v>0.17948126210639223</v>
      </c>
      <c r="AW8" s="4">
        <v>45717</v>
      </c>
      <c r="AX8" s="28">
        <v>3123.35</v>
      </c>
      <c r="AY8" s="28">
        <v>2989.2132000000001</v>
      </c>
      <c r="AZ8">
        <f t="shared" si="9"/>
        <v>134.13679999999977</v>
      </c>
      <c r="BA8">
        <f t="shared" si="12"/>
        <v>4.2946451726511521E-2</v>
      </c>
      <c r="BL8" s="4">
        <v>45717</v>
      </c>
      <c r="BM8" s="28">
        <v>3123.35</v>
      </c>
      <c r="BN8" s="28">
        <v>2857.8539000000001</v>
      </c>
      <c r="BO8">
        <f t="shared" si="10"/>
        <v>265.49609999999984</v>
      </c>
      <c r="BP8">
        <f t="shared" si="11"/>
        <v>8.5003633918709035E-2</v>
      </c>
    </row>
    <row r="9" spans="1:68" x14ac:dyDescent="0.45">
      <c r="A9">
        <v>8</v>
      </c>
      <c r="B9" s="4">
        <v>45748</v>
      </c>
      <c r="C9" s="28">
        <v>3288.59</v>
      </c>
      <c r="D9" s="28">
        <v>2543.3548999999998</v>
      </c>
      <c r="E9">
        <f t="shared" si="0"/>
        <v>745.23510000000033</v>
      </c>
      <c r="F9">
        <f t="shared" si="1"/>
        <v>0.22661234754104351</v>
      </c>
      <c r="O9" s="4">
        <v>45748</v>
      </c>
      <c r="P9" s="28">
        <v>3288.59</v>
      </c>
      <c r="Q9" s="28">
        <v>2541.0025000000001</v>
      </c>
      <c r="R9">
        <f t="shared" si="2"/>
        <v>747.58750000000009</v>
      </c>
      <c r="S9">
        <f t="shared" si="3"/>
        <v>0.22732766930508214</v>
      </c>
      <c r="T9">
        <f t="shared" si="4"/>
        <v>0.22732766930508214</v>
      </c>
      <c r="AB9" s="4">
        <v>45748</v>
      </c>
      <c r="AC9" s="28">
        <v>3288.59</v>
      </c>
      <c r="AD9" s="28">
        <v>2587.0441000000001</v>
      </c>
      <c r="AE9">
        <f t="shared" si="5"/>
        <v>701.54590000000007</v>
      </c>
      <c r="AF9">
        <f t="shared" si="6"/>
        <v>0.21332726183561954</v>
      </c>
      <c r="AI9" s="4">
        <v>45748</v>
      </c>
      <c r="AJ9" s="28">
        <v>3288.59</v>
      </c>
      <c r="AK9" s="28">
        <v>2558.7451000000001</v>
      </c>
      <c r="AL9">
        <f t="shared" si="7"/>
        <v>729.84490000000005</v>
      </c>
      <c r="AM9">
        <f t="shared" si="8"/>
        <v>0.22193246953861687</v>
      </c>
      <c r="AW9" s="4">
        <v>45748</v>
      </c>
      <c r="AX9" s="28">
        <v>3288.59</v>
      </c>
      <c r="AY9" s="28">
        <v>3045.7896999999998</v>
      </c>
      <c r="AZ9">
        <f t="shared" si="9"/>
        <v>242.80030000000033</v>
      </c>
      <c r="BA9">
        <f t="shared" si="12"/>
        <v>7.3831125193472069E-2</v>
      </c>
      <c r="BL9" s="4">
        <v>45748</v>
      </c>
      <c r="BM9" s="28">
        <v>3288.59</v>
      </c>
      <c r="BN9" s="28">
        <v>2901.3364000000001</v>
      </c>
      <c r="BO9">
        <f t="shared" si="10"/>
        <v>387.25360000000001</v>
      </c>
      <c r="BP9">
        <f t="shared" si="11"/>
        <v>0.11775672856756239</v>
      </c>
    </row>
    <row r="10" spans="1:68" x14ac:dyDescent="0.45">
      <c r="A10">
        <v>9</v>
      </c>
      <c r="B10" s="4">
        <v>45778</v>
      </c>
      <c r="C10" s="28">
        <v>3289.4</v>
      </c>
      <c r="D10" s="28">
        <v>2562.0362</v>
      </c>
      <c r="E10">
        <f t="shared" si="0"/>
        <v>727.36380000000008</v>
      </c>
      <c r="F10">
        <f t="shared" si="1"/>
        <v>0.22112354836748346</v>
      </c>
      <c r="O10" s="4">
        <v>45778</v>
      </c>
      <c r="P10" s="28">
        <v>3289.4</v>
      </c>
      <c r="Q10" s="28">
        <v>2556.0133000000001</v>
      </c>
      <c r="R10">
        <f t="shared" si="2"/>
        <v>733.38670000000002</v>
      </c>
      <c r="S10">
        <f t="shared" si="3"/>
        <v>0.222954550981942</v>
      </c>
      <c r="T10">
        <f t="shared" si="4"/>
        <v>0.222954550981942</v>
      </c>
      <c r="AB10" s="4">
        <v>45778</v>
      </c>
      <c r="AC10" s="28">
        <v>3289.4</v>
      </c>
      <c r="AD10" s="28">
        <v>2621.8202999999999</v>
      </c>
      <c r="AE10">
        <f t="shared" si="5"/>
        <v>667.57970000000023</v>
      </c>
      <c r="AF10">
        <f t="shared" si="6"/>
        <v>0.20294877485255677</v>
      </c>
      <c r="AI10" s="4">
        <v>45778</v>
      </c>
      <c r="AJ10" s="28">
        <v>3289.4</v>
      </c>
      <c r="AK10" s="28">
        <v>2592.0866999999998</v>
      </c>
      <c r="AL10">
        <f t="shared" si="7"/>
        <v>697.31330000000025</v>
      </c>
      <c r="AM10">
        <f t="shared" si="8"/>
        <v>0.21198799173101485</v>
      </c>
      <c r="AW10" s="4">
        <v>45778</v>
      </c>
      <c r="AX10" s="28">
        <v>3289.4</v>
      </c>
      <c r="AY10" s="28">
        <v>3106.1983</v>
      </c>
      <c r="AZ10">
        <f t="shared" si="9"/>
        <v>183.20170000000007</v>
      </c>
      <c r="BA10">
        <f t="shared" si="12"/>
        <v>5.5694564358241647E-2</v>
      </c>
      <c r="BL10" s="4">
        <v>45778</v>
      </c>
      <c r="BM10" s="28">
        <v>3289.4</v>
      </c>
      <c r="BN10" s="28">
        <v>2953.4785000000002</v>
      </c>
      <c r="BO10">
        <f t="shared" si="10"/>
        <v>335.92149999999992</v>
      </c>
      <c r="BP10">
        <f t="shared" si="11"/>
        <v>0.10212242354228732</v>
      </c>
    </row>
    <row r="11" spans="1:68" x14ac:dyDescent="0.45">
      <c r="A11">
        <v>10</v>
      </c>
      <c r="B11" s="4">
        <v>45809</v>
      </c>
      <c r="C11" s="28">
        <v>3303.69</v>
      </c>
      <c r="D11" s="28">
        <v>2578.3087999999998</v>
      </c>
      <c r="E11">
        <f t="shared" si="0"/>
        <v>725.38120000000026</v>
      </c>
      <c r="F11">
        <f t="shared" si="1"/>
        <v>0.21956696905581341</v>
      </c>
      <c r="O11" s="4">
        <v>45809</v>
      </c>
      <c r="P11" s="28">
        <v>3303.69</v>
      </c>
      <c r="Q11" s="28">
        <v>2571.2615999999998</v>
      </c>
      <c r="R11">
        <f t="shared" si="2"/>
        <v>732.42840000000024</v>
      </c>
      <c r="S11">
        <f t="shared" si="3"/>
        <v>0.22170009898023127</v>
      </c>
      <c r="T11">
        <f t="shared" si="4"/>
        <v>0.22170009898023127</v>
      </c>
      <c r="AB11" s="4">
        <v>45809</v>
      </c>
      <c r="AC11" s="28">
        <v>3303.69</v>
      </c>
      <c r="AD11" s="28">
        <v>2647.3298</v>
      </c>
      <c r="AE11">
        <f t="shared" si="5"/>
        <v>656.36020000000008</v>
      </c>
      <c r="AF11">
        <f t="shared" si="6"/>
        <v>0.19867487566932734</v>
      </c>
      <c r="AI11" s="4">
        <v>45809</v>
      </c>
      <c r="AJ11" s="28">
        <v>3303.69</v>
      </c>
      <c r="AK11" s="28">
        <v>2620.8715000000002</v>
      </c>
      <c r="AL11">
        <f t="shared" si="7"/>
        <v>682.81849999999986</v>
      </c>
      <c r="AM11">
        <f t="shared" si="8"/>
        <v>0.20668358714043988</v>
      </c>
      <c r="AW11" s="4">
        <v>45809</v>
      </c>
      <c r="AX11" s="28">
        <v>3303.69</v>
      </c>
      <c r="AY11" s="28">
        <v>3194.1051000000002</v>
      </c>
      <c r="AZ11">
        <f t="shared" si="9"/>
        <v>109.58489999999983</v>
      </c>
      <c r="BA11">
        <f t="shared" si="12"/>
        <v>3.3170454855025691E-2</v>
      </c>
      <c r="BL11" s="4">
        <v>45809</v>
      </c>
      <c r="BM11" s="28">
        <v>3303.69</v>
      </c>
      <c r="BN11" s="28">
        <v>3008.6478000000002</v>
      </c>
      <c r="BO11">
        <f t="shared" si="10"/>
        <v>295.04219999999987</v>
      </c>
      <c r="BP11">
        <f t="shared" si="11"/>
        <v>8.9306865958973108E-2</v>
      </c>
    </row>
    <row r="12" spans="1:68" x14ac:dyDescent="0.45">
      <c r="A12">
        <v>11</v>
      </c>
      <c r="B12" s="4">
        <v>45839</v>
      </c>
      <c r="C12" s="28">
        <v>3290.32</v>
      </c>
      <c r="D12" s="28">
        <v>2592.4684999999999</v>
      </c>
      <c r="E12">
        <f t="shared" si="0"/>
        <v>697.85150000000021</v>
      </c>
      <c r="F12">
        <f t="shared" si="1"/>
        <v>0.21209228889591292</v>
      </c>
      <c r="O12" s="4">
        <v>45839</v>
      </c>
      <c r="P12" s="28">
        <v>3290.32</v>
      </c>
      <c r="Q12" s="28">
        <v>2586.4229</v>
      </c>
      <c r="R12">
        <f t="shared" si="2"/>
        <v>703.89710000000014</v>
      </c>
      <c r="S12">
        <f t="shared" si="3"/>
        <v>0.21392967857229694</v>
      </c>
      <c r="T12">
        <f t="shared" si="4"/>
        <v>0.21392967857229694</v>
      </c>
      <c r="AB12" s="4">
        <v>45839</v>
      </c>
      <c r="AC12" s="28">
        <v>3290.32</v>
      </c>
      <c r="AD12" s="28">
        <v>2676.7829999999999</v>
      </c>
      <c r="AE12">
        <f t="shared" si="5"/>
        <v>613.53700000000026</v>
      </c>
      <c r="AF12">
        <f t="shared" si="6"/>
        <v>0.18646727369982258</v>
      </c>
      <c r="AI12" s="4">
        <v>45839</v>
      </c>
      <c r="AJ12" s="28">
        <v>3290.32</v>
      </c>
      <c r="AK12" s="28">
        <v>2639.7084</v>
      </c>
      <c r="AL12">
        <f t="shared" si="7"/>
        <v>650.61160000000018</v>
      </c>
      <c r="AM12">
        <f t="shared" si="8"/>
        <v>0.19773505312553191</v>
      </c>
      <c r="AW12" s="4">
        <v>45839</v>
      </c>
      <c r="AX12" s="28">
        <v>3290.32</v>
      </c>
      <c r="AY12" s="28">
        <v>3303.8377</v>
      </c>
      <c r="AZ12">
        <f t="shared" si="9"/>
        <v>-13.517699999999877</v>
      </c>
      <c r="BA12">
        <f t="shared" si="12"/>
        <v>4.1083238104500097E-3</v>
      </c>
      <c r="BL12" s="4">
        <v>45839</v>
      </c>
      <c r="BM12" s="28">
        <v>3290.32</v>
      </c>
      <c r="BN12" s="28">
        <v>3107.9785000000002</v>
      </c>
      <c r="BO12">
        <f t="shared" si="10"/>
        <v>182.3415</v>
      </c>
      <c r="BP12">
        <f t="shared" si="11"/>
        <v>5.5417558170633853E-2</v>
      </c>
    </row>
    <row r="13" spans="1:68" x14ac:dyDescent="0.45">
      <c r="A13">
        <v>12</v>
      </c>
      <c r="B13" s="4">
        <v>45870</v>
      </c>
      <c r="C13" s="28">
        <v>3448</v>
      </c>
      <c r="D13" s="28">
        <v>2616.8153000000002</v>
      </c>
      <c r="E13">
        <f t="shared" si="0"/>
        <v>831.18469999999979</v>
      </c>
      <c r="F13">
        <f t="shared" si="1"/>
        <v>0.24106284802784217</v>
      </c>
      <c r="O13" s="4">
        <v>45870</v>
      </c>
      <c r="P13" s="28">
        <v>3448</v>
      </c>
      <c r="Q13" s="28">
        <v>2601.6988999999999</v>
      </c>
      <c r="R13">
        <f t="shared" si="2"/>
        <v>846.30110000000013</v>
      </c>
      <c r="S13">
        <f t="shared" si="3"/>
        <v>0.24544695475638054</v>
      </c>
      <c r="T13">
        <f t="shared" si="4"/>
        <v>0.24544695475638054</v>
      </c>
      <c r="AB13" s="4">
        <v>45870</v>
      </c>
      <c r="AC13" s="28">
        <v>3448</v>
      </c>
      <c r="AD13" s="28">
        <v>2704.0344</v>
      </c>
      <c r="AE13">
        <f t="shared" si="5"/>
        <v>743.96559999999999</v>
      </c>
      <c r="AF13">
        <f t="shared" si="6"/>
        <v>0.21576728538283063</v>
      </c>
      <c r="AI13" s="4">
        <v>45870</v>
      </c>
      <c r="AJ13" s="28">
        <v>3448</v>
      </c>
      <c r="AK13" s="28">
        <v>2663.8935000000001</v>
      </c>
      <c r="AL13">
        <f t="shared" si="7"/>
        <v>784.10649999999987</v>
      </c>
      <c r="AM13">
        <f t="shared" si="8"/>
        <v>0.22740907772621807</v>
      </c>
      <c r="AW13" s="4">
        <v>45870</v>
      </c>
      <c r="AX13" s="28">
        <v>3448</v>
      </c>
      <c r="AY13" s="28">
        <v>3344.7204999999999</v>
      </c>
      <c r="AZ13">
        <f t="shared" si="9"/>
        <v>103.2795000000001</v>
      </c>
      <c r="BA13">
        <f t="shared" si="12"/>
        <v>2.9953451276102116E-2</v>
      </c>
      <c r="BL13" s="4">
        <v>45870</v>
      </c>
      <c r="BM13" s="28">
        <v>3448</v>
      </c>
      <c r="BN13" s="28">
        <v>3148.1954000000001</v>
      </c>
      <c r="BO13">
        <f t="shared" si="10"/>
        <v>299.80459999999994</v>
      </c>
      <c r="BP13">
        <f t="shared" si="11"/>
        <v>8.6950290023201843E-2</v>
      </c>
    </row>
    <row r="14" spans="1:68" x14ac:dyDescent="0.45">
      <c r="A14">
        <v>13</v>
      </c>
      <c r="B14" s="4">
        <v>45901</v>
      </c>
      <c r="C14" s="28">
        <v>3858.51</v>
      </c>
      <c r="D14" s="28">
        <v>2633.9517999999998</v>
      </c>
      <c r="E14">
        <f t="shared" si="0"/>
        <v>1224.5582000000004</v>
      </c>
      <c r="F14">
        <f t="shared" si="1"/>
        <v>0.31736556339104999</v>
      </c>
      <c r="O14" s="4">
        <v>45901</v>
      </c>
      <c r="P14" s="28">
        <v>3858.51</v>
      </c>
      <c r="Q14" s="28">
        <v>2616.9167000000002</v>
      </c>
      <c r="R14">
        <f t="shared" si="2"/>
        <v>1241.5933</v>
      </c>
      <c r="S14">
        <f t="shared" si="3"/>
        <v>0.32178050594659596</v>
      </c>
      <c r="T14">
        <f t="shared" si="4"/>
        <v>0.32178050594659596</v>
      </c>
      <c r="AB14" s="4">
        <v>45901</v>
      </c>
      <c r="AC14" s="28">
        <v>3858.51</v>
      </c>
      <c r="AD14" s="28">
        <v>2720.5160000000001</v>
      </c>
      <c r="AE14">
        <f t="shared" si="5"/>
        <v>1137.9940000000001</v>
      </c>
      <c r="AF14">
        <f t="shared" si="6"/>
        <v>0.29493094484658589</v>
      </c>
      <c r="AI14" s="4">
        <v>45901</v>
      </c>
      <c r="AJ14" s="28">
        <v>3858.51</v>
      </c>
      <c r="AK14" s="28">
        <v>2684.8701000000001</v>
      </c>
      <c r="AL14">
        <f t="shared" si="7"/>
        <v>1173.6399000000001</v>
      </c>
      <c r="AM14">
        <f t="shared" si="8"/>
        <v>0.30416920002799008</v>
      </c>
      <c r="AW14" s="4">
        <v>45901</v>
      </c>
      <c r="AX14" s="28">
        <v>3858.51</v>
      </c>
      <c r="AY14" s="28">
        <v>3406.9461000000001</v>
      </c>
      <c r="AZ14">
        <f t="shared" si="9"/>
        <v>451.5639000000001</v>
      </c>
      <c r="BA14">
        <f t="shared" si="12"/>
        <v>0.11703064136156187</v>
      </c>
      <c r="BL14" s="4">
        <v>45901</v>
      </c>
      <c r="BM14" s="28">
        <v>3858.51</v>
      </c>
      <c r="BN14" s="28">
        <v>3192.8674000000001</v>
      </c>
      <c r="BO14">
        <f t="shared" si="10"/>
        <v>665.64260000000013</v>
      </c>
      <c r="BP14">
        <f t="shared" si="11"/>
        <v>0.17251286118216619</v>
      </c>
    </row>
    <row r="15" spans="1:68" x14ac:dyDescent="0.45">
      <c r="A15">
        <v>14</v>
      </c>
      <c r="B15" s="4">
        <v>45931</v>
      </c>
      <c r="C15" s="28">
        <v>4002.28</v>
      </c>
      <c r="D15" s="28">
        <v>2645.8537000000001</v>
      </c>
      <c r="E15">
        <f t="shared" si="0"/>
        <v>1356.4263000000001</v>
      </c>
      <c r="F15">
        <f t="shared" si="1"/>
        <v>0.33891339436521184</v>
      </c>
      <c r="O15" s="4">
        <v>45931</v>
      </c>
      <c r="P15" s="28">
        <v>4002.28</v>
      </c>
      <c r="Q15" s="28">
        <v>2632.1959000000002</v>
      </c>
      <c r="R15">
        <f t="shared" si="2"/>
        <v>1370.0841</v>
      </c>
      <c r="S15">
        <f t="shared" si="3"/>
        <v>0.34232589923743467</v>
      </c>
      <c r="T15">
        <f t="shared" si="4"/>
        <v>0.34232589923743467</v>
      </c>
      <c r="AB15" s="4">
        <v>45931</v>
      </c>
      <c r="AC15" s="28">
        <v>4002.28</v>
      </c>
      <c r="AD15" s="28">
        <v>2741.7952</v>
      </c>
      <c r="AE15">
        <f t="shared" si="5"/>
        <v>1260.4848000000002</v>
      </c>
      <c r="AF15">
        <f t="shared" si="6"/>
        <v>0.31494168324055294</v>
      </c>
      <c r="AI15" s="4">
        <v>45931</v>
      </c>
      <c r="AJ15" s="28">
        <v>4002.28</v>
      </c>
      <c r="AK15" s="28">
        <v>2706.7779999999998</v>
      </c>
      <c r="AL15">
        <f t="shared" si="7"/>
        <v>1295.5020000000004</v>
      </c>
      <c r="AM15">
        <f t="shared" si="8"/>
        <v>0.32369099613220476</v>
      </c>
      <c r="AW15" s="4">
        <v>45931</v>
      </c>
      <c r="AX15" s="28">
        <v>4002.28</v>
      </c>
      <c r="AY15" s="28">
        <v>3467.2934</v>
      </c>
      <c r="AZ15">
        <f t="shared" si="9"/>
        <v>534.98660000000018</v>
      </c>
      <c r="BA15">
        <f t="shared" si="12"/>
        <v>0.13367045783903178</v>
      </c>
      <c r="BL15" s="4">
        <v>45931</v>
      </c>
      <c r="BM15" s="28">
        <v>4002.28</v>
      </c>
      <c r="BN15" s="28">
        <v>3240.8334</v>
      </c>
      <c r="BO15">
        <f t="shared" si="10"/>
        <v>761.44660000000022</v>
      </c>
      <c r="BP15">
        <f t="shared" si="11"/>
        <v>0.19025320567276657</v>
      </c>
    </row>
    <row r="16" spans="1:68" x14ac:dyDescent="0.45">
      <c r="A16">
        <v>15</v>
      </c>
      <c r="B16" s="4">
        <v>45962</v>
      </c>
      <c r="C16" s="28">
        <v>4230.63</v>
      </c>
      <c r="D16" s="28">
        <v>2660.4344999999998</v>
      </c>
      <c r="E16">
        <f t="shared" si="0"/>
        <v>1570.1955000000003</v>
      </c>
      <c r="F16">
        <f t="shared" si="1"/>
        <v>0.37114933236893799</v>
      </c>
      <c r="O16" s="4">
        <v>45962</v>
      </c>
      <c r="P16" s="28">
        <v>4230.63</v>
      </c>
      <c r="Q16" s="28">
        <v>2647.4378999999999</v>
      </c>
      <c r="R16">
        <f t="shared" si="2"/>
        <v>1583.1921000000002</v>
      </c>
      <c r="S16">
        <f t="shared" si="3"/>
        <v>0.37422135710284288</v>
      </c>
      <c r="T16">
        <f t="shared" si="4"/>
        <v>0.37422135710284288</v>
      </c>
      <c r="AB16" s="4">
        <v>45962</v>
      </c>
      <c r="AC16" s="28">
        <v>4230.63</v>
      </c>
      <c r="AD16" s="28">
        <v>2753.9097999999999</v>
      </c>
      <c r="AE16">
        <f t="shared" si="5"/>
        <v>1476.7202000000002</v>
      </c>
      <c r="AF16">
        <f t="shared" si="6"/>
        <v>0.34905444342804742</v>
      </c>
      <c r="AI16" s="4">
        <v>45962</v>
      </c>
      <c r="AJ16" s="28">
        <v>4230.63</v>
      </c>
      <c r="AK16" s="28">
        <v>2718.5985999999998</v>
      </c>
      <c r="AL16">
        <f t="shared" si="7"/>
        <v>1512.0314000000003</v>
      </c>
      <c r="AM16">
        <f t="shared" si="8"/>
        <v>0.35740100174205741</v>
      </c>
      <c r="AW16" s="4">
        <v>45962</v>
      </c>
      <c r="AX16" s="28">
        <v>4230.63</v>
      </c>
      <c r="AY16" s="28">
        <v>3506.3216000000002</v>
      </c>
      <c r="AZ16">
        <f t="shared" si="9"/>
        <v>724.30839999999989</v>
      </c>
      <c r="BA16">
        <f t="shared" si="12"/>
        <v>0.17120580150001297</v>
      </c>
      <c r="BL16" s="4">
        <v>45962</v>
      </c>
      <c r="BM16" s="28">
        <v>4230.63</v>
      </c>
      <c r="BN16" s="28">
        <v>3267.2732999999998</v>
      </c>
      <c r="BO16">
        <f t="shared" si="10"/>
        <v>963.35670000000027</v>
      </c>
      <c r="BP16">
        <f t="shared" si="11"/>
        <v>0.22770998645591797</v>
      </c>
    </row>
    <row r="17" spans="1:68" x14ac:dyDescent="0.45">
      <c r="A17">
        <v>16</v>
      </c>
      <c r="B17" s="4">
        <v>45992</v>
      </c>
      <c r="C17" s="28">
        <v>4315.09</v>
      </c>
      <c r="D17" s="28">
        <v>2675.6044000000002</v>
      </c>
      <c r="E17">
        <f t="shared" si="0"/>
        <v>1639.4856</v>
      </c>
      <c r="F17">
        <f t="shared" si="1"/>
        <v>0.37994238822365234</v>
      </c>
      <c r="O17" s="4">
        <v>45992</v>
      </c>
      <c r="P17" s="28">
        <v>4315.09</v>
      </c>
      <c r="Q17" s="28">
        <v>2662.7141000000001</v>
      </c>
      <c r="R17">
        <f t="shared" si="2"/>
        <v>1652.3759</v>
      </c>
      <c r="S17">
        <f t="shared" si="3"/>
        <v>0.38292964920778011</v>
      </c>
      <c r="T17">
        <f t="shared" si="4"/>
        <v>0.38292964920778011</v>
      </c>
      <c r="AB17" s="4">
        <v>45992</v>
      </c>
      <c r="AC17" s="28">
        <v>4315.09</v>
      </c>
      <c r="AD17" s="28">
        <v>2778.5931</v>
      </c>
      <c r="AE17">
        <f t="shared" si="5"/>
        <v>1536.4969000000001</v>
      </c>
      <c r="AF17">
        <f t="shared" si="6"/>
        <v>0.35607528464064481</v>
      </c>
      <c r="AI17" s="4">
        <v>45992</v>
      </c>
      <c r="AJ17" s="28">
        <v>4315.09</v>
      </c>
      <c r="AK17" s="28">
        <v>2742.3442</v>
      </c>
      <c r="AL17">
        <f t="shared" si="7"/>
        <v>1572.7458000000001</v>
      </c>
      <c r="AM17">
        <f t="shared" si="8"/>
        <v>0.36447578150166049</v>
      </c>
      <c r="AW17" s="4">
        <v>45992</v>
      </c>
      <c r="AX17" s="28">
        <v>4315.09</v>
      </c>
      <c r="AY17" s="28">
        <v>3567.3011999999999</v>
      </c>
      <c r="AZ17">
        <f t="shared" si="9"/>
        <v>747.78880000000026</v>
      </c>
      <c r="BA17">
        <f t="shared" si="12"/>
        <v>0.17329622325374447</v>
      </c>
      <c r="BL17" s="4">
        <v>45992</v>
      </c>
      <c r="BM17" s="28">
        <v>4315.09</v>
      </c>
      <c r="BN17" s="28">
        <v>3323.1938</v>
      </c>
      <c r="BO17">
        <f t="shared" si="10"/>
        <v>991.89620000000014</v>
      </c>
      <c r="BP17">
        <f t="shared" si="11"/>
        <v>0.2298668625683358</v>
      </c>
    </row>
    <row r="18" spans="1:68" x14ac:dyDescent="0.45">
      <c r="A18">
        <v>17</v>
      </c>
      <c r="B18" s="4">
        <v>46023</v>
      </c>
      <c r="C18" s="28">
        <v>4865.3500000000004</v>
      </c>
      <c r="D18" s="28">
        <v>2691.4618999999998</v>
      </c>
      <c r="E18">
        <f t="shared" si="0"/>
        <v>2173.8881000000006</v>
      </c>
      <c r="F18">
        <f t="shared" si="1"/>
        <v>0.44681021920314068</v>
      </c>
      <c r="O18" s="4">
        <v>46023</v>
      </c>
      <c r="P18" s="28">
        <v>4865.3500000000004</v>
      </c>
      <c r="Q18" s="28">
        <v>2677.9672999999998</v>
      </c>
      <c r="R18">
        <f t="shared" si="2"/>
        <v>2187.3827000000006</v>
      </c>
      <c r="S18">
        <f t="shared" si="3"/>
        <v>0.44958383261224794</v>
      </c>
      <c r="T18">
        <f t="shared" si="4"/>
        <v>0.44958383261224794</v>
      </c>
      <c r="AB18" s="4">
        <v>46023</v>
      </c>
      <c r="AC18" s="28">
        <v>4865.3500000000004</v>
      </c>
      <c r="AD18" s="28">
        <v>2794.1855</v>
      </c>
      <c r="AE18">
        <f t="shared" si="5"/>
        <v>2071.1645000000003</v>
      </c>
      <c r="AF18">
        <f t="shared" si="6"/>
        <v>0.42569691800178822</v>
      </c>
      <c r="AI18" s="4">
        <v>46023</v>
      </c>
      <c r="AJ18" s="28">
        <v>4865.3500000000004</v>
      </c>
      <c r="AK18" s="28">
        <v>2760.6378</v>
      </c>
      <c r="AL18">
        <f t="shared" si="7"/>
        <v>2104.7122000000004</v>
      </c>
      <c r="AM18">
        <f t="shared" si="8"/>
        <v>0.43259214650539018</v>
      </c>
      <c r="AW18" s="4">
        <v>46023</v>
      </c>
      <c r="AX18" s="28">
        <v>4865.3500000000004</v>
      </c>
      <c r="AY18" s="28">
        <v>3617.9726999999998</v>
      </c>
      <c r="AZ18">
        <f t="shared" si="9"/>
        <v>1247.3773000000006</v>
      </c>
      <c r="BA18">
        <f t="shared" si="12"/>
        <v>0.25637976712877808</v>
      </c>
      <c r="BL18" s="4">
        <v>46023</v>
      </c>
      <c r="BM18" s="28">
        <v>4865.3500000000004</v>
      </c>
      <c r="BN18" s="28">
        <v>3360.5783000000001</v>
      </c>
      <c r="BO18">
        <f t="shared" si="10"/>
        <v>1504.7717000000002</v>
      </c>
      <c r="BP18">
        <f t="shared" si="11"/>
        <v>0.3092833403557812</v>
      </c>
    </row>
    <row r="19" spans="1:68" x14ac:dyDescent="0.45">
      <c r="A19">
        <v>18</v>
      </c>
      <c r="B19" s="4">
        <v>46054</v>
      </c>
      <c r="C19" s="28">
        <v>5277.9</v>
      </c>
      <c r="D19" s="28">
        <v>2704.4391000000001</v>
      </c>
      <c r="E19">
        <f t="shared" si="0"/>
        <v>2573.4608999999996</v>
      </c>
      <c r="F19">
        <f t="shared" si="1"/>
        <v>0.48759182629454895</v>
      </c>
      <c r="O19" s="4">
        <v>46054</v>
      </c>
      <c r="P19" s="28">
        <v>5277.9</v>
      </c>
      <c r="Q19" s="28">
        <v>2693.2401</v>
      </c>
      <c r="R19">
        <f t="shared" si="2"/>
        <v>2584.6598999999997</v>
      </c>
      <c r="S19">
        <f t="shared" si="3"/>
        <v>0.48971369294605804</v>
      </c>
      <c r="T19">
        <f t="shared" si="4"/>
        <v>0.48971369294605804</v>
      </c>
      <c r="AB19" s="4">
        <v>46054</v>
      </c>
      <c r="AC19" s="28">
        <v>5277.9</v>
      </c>
      <c r="AD19" s="28">
        <v>2809.8577</v>
      </c>
      <c r="AE19">
        <f t="shared" si="5"/>
        <v>2468.0422999999996</v>
      </c>
      <c r="AF19">
        <f t="shared" si="6"/>
        <v>0.46761823831448107</v>
      </c>
      <c r="AI19" s="4">
        <v>46054</v>
      </c>
      <c r="AJ19" s="28">
        <v>5277.9</v>
      </c>
      <c r="AK19" s="28">
        <v>2776.6172000000001</v>
      </c>
      <c r="AL19">
        <f t="shared" si="7"/>
        <v>2501.2827999999995</v>
      </c>
      <c r="AM19">
        <f t="shared" si="8"/>
        <v>0.47391629246480599</v>
      </c>
      <c r="AW19" s="4">
        <v>46054</v>
      </c>
      <c r="AX19" s="28">
        <v>5277.9</v>
      </c>
      <c r="AY19" s="28">
        <v>3655.982</v>
      </c>
      <c r="AZ19">
        <f t="shared" si="9"/>
        <v>1621.9179999999997</v>
      </c>
      <c r="BA19">
        <f t="shared" si="12"/>
        <v>0.30730366244150131</v>
      </c>
      <c r="BL19" s="4">
        <v>46054</v>
      </c>
      <c r="BM19" s="28">
        <v>5277.9</v>
      </c>
      <c r="BN19" s="28">
        <v>3388.0293000000001</v>
      </c>
      <c r="BO19">
        <f t="shared" si="10"/>
        <v>1889.8706999999995</v>
      </c>
      <c r="BP19">
        <f t="shared" si="11"/>
        <v>0.35807247200591136</v>
      </c>
    </row>
    <row r="20" spans="1:68" x14ac:dyDescent="0.45">
      <c r="E20" t="s">
        <v>8</v>
      </c>
      <c r="F20">
        <f>SUM(F2:F19)</f>
        <v>4.1484442764993084</v>
      </c>
      <c r="R20" t="s">
        <v>8</v>
      </c>
      <c r="S20">
        <f>SUM(S2:S19)</f>
        <v>4.1821287044547892</v>
      </c>
      <c r="AE20" t="s">
        <v>8</v>
      </c>
      <c r="AF20">
        <f>SUM(AF2:AF19)</f>
        <v>3.8780126899066323</v>
      </c>
      <c r="AL20" t="s">
        <v>8</v>
      </c>
      <c r="AM20">
        <f>SUM(AM2:AM19)</f>
        <v>4.0073943219034218</v>
      </c>
      <c r="AZ20" t="s">
        <v>8</v>
      </c>
      <c r="BA20">
        <f>SUM(BA2:BA19)</f>
        <v>1.5676184311331833</v>
      </c>
      <c r="BO20" t="s">
        <v>8</v>
      </c>
      <c r="BP20">
        <f>SUM(BP2:BP19)</f>
        <v>2.2902020241422005</v>
      </c>
    </row>
    <row r="21" spans="1:68" x14ac:dyDescent="0.45">
      <c r="F21">
        <f>F20/18*100</f>
        <v>23.046912647218377</v>
      </c>
      <c r="S21">
        <f>S20/18*100</f>
        <v>23.234048358082163</v>
      </c>
      <c r="AF21">
        <f>AF20/18*100</f>
        <v>21.544514943925737</v>
      </c>
      <c r="AM21">
        <f>AM20/18*100</f>
        <v>22.263301788352344</v>
      </c>
      <c r="BA21">
        <f>BA20/18*100</f>
        <v>8.7089912840732406</v>
      </c>
      <c r="BP21">
        <f>BP20/18*100</f>
        <v>12.723344578567779</v>
      </c>
    </row>
    <row r="23" spans="1:68" ht="64.5" x14ac:dyDescent="0.45">
      <c r="A23" s="26" t="s">
        <v>14</v>
      </c>
      <c r="B23" s="27" t="s">
        <v>28</v>
      </c>
      <c r="C23" s="27" t="s">
        <v>31</v>
      </c>
      <c r="D23" s="27" t="s">
        <v>32</v>
      </c>
      <c r="E23" s="27" t="s">
        <v>35</v>
      </c>
      <c r="F23" s="27" t="s">
        <v>36</v>
      </c>
      <c r="G23" s="27" t="s">
        <v>33</v>
      </c>
      <c r="H23" s="27" t="s">
        <v>34</v>
      </c>
    </row>
    <row r="24" spans="1:68" x14ac:dyDescent="0.45">
      <c r="A24" s="4">
        <v>45536</v>
      </c>
      <c r="B24" s="28">
        <v>2634.49</v>
      </c>
      <c r="C24" s="28">
        <v>2488.7465000000002</v>
      </c>
      <c r="D24" s="28">
        <v>2473.7982999999999</v>
      </c>
      <c r="E24" s="28">
        <v>2450.2157000000002</v>
      </c>
      <c r="F24" s="28">
        <v>2447.9164999999998</v>
      </c>
      <c r="G24" s="28">
        <v>2538.9405999999999</v>
      </c>
      <c r="H24" s="28">
        <v>2477.1622000000002</v>
      </c>
    </row>
    <row r="25" spans="1:68" x14ac:dyDescent="0.45">
      <c r="A25" s="4">
        <v>45566</v>
      </c>
      <c r="B25" s="28">
        <v>2743.8</v>
      </c>
      <c r="C25" s="28">
        <v>2473.0288999999998</v>
      </c>
      <c r="D25" s="28">
        <v>2465.8746999999998</v>
      </c>
      <c r="E25" s="28">
        <v>2446.7979</v>
      </c>
      <c r="F25" s="28">
        <v>2433.3386999999998</v>
      </c>
      <c r="G25" s="28">
        <v>2575.6907000000001</v>
      </c>
      <c r="H25" s="28">
        <v>2495.6230999999998</v>
      </c>
    </row>
    <row r="26" spans="1:68" x14ac:dyDescent="0.45">
      <c r="A26" s="4">
        <v>45597</v>
      </c>
      <c r="B26" s="28">
        <v>2653.55</v>
      </c>
      <c r="C26" s="28">
        <v>2476.1307999999999</v>
      </c>
      <c r="D26" s="28">
        <v>2484.7159999999999</v>
      </c>
      <c r="E26" s="28">
        <v>2494.4007000000001</v>
      </c>
      <c r="F26" s="28">
        <v>2479.886</v>
      </c>
      <c r="G26" s="28">
        <v>2649.9623000000001</v>
      </c>
      <c r="H26" s="28">
        <v>2567.2237</v>
      </c>
    </row>
    <row r="27" spans="1:68" x14ac:dyDescent="0.45">
      <c r="A27" s="4">
        <v>45627</v>
      </c>
      <c r="B27" s="28">
        <v>2623.81</v>
      </c>
      <c r="C27" s="28">
        <v>2496.9738000000002</v>
      </c>
      <c r="D27" s="28">
        <v>2513.9301999999998</v>
      </c>
      <c r="E27" s="28">
        <v>2537.5771</v>
      </c>
      <c r="F27" s="28">
        <v>2520.2208999999998</v>
      </c>
      <c r="G27" s="28">
        <v>2752.2593999999999</v>
      </c>
      <c r="H27" s="28">
        <v>2676.1179000000002</v>
      </c>
    </row>
    <row r="28" spans="1:68" x14ac:dyDescent="0.45">
      <c r="A28" s="4">
        <v>45658</v>
      </c>
      <c r="B28" s="28">
        <v>2801.18</v>
      </c>
      <c r="C28" s="28">
        <v>2525.0475000000001</v>
      </c>
      <c r="D28" s="28">
        <v>2495.7525999999998</v>
      </c>
      <c r="E28" s="28">
        <v>2521.6033000000002</v>
      </c>
      <c r="F28" s="28">
        <v>2508.7723000000001</v>
      </c>
      <c r="G28" s="28">
        <v>2824.9191000000001</v>
      </c>
      <c r="H28" s="28">
        <v>2718.0138999999999</v>
      </c>
    </row>
    <row r="29" spans="1:68" x14ac:dyDescent="0.45">
      <c r="A29" s="4">
        <v>45689</v>
      </c>
      <c r="B29" s="28">
        <v>2858.77</v>
      </c>
      <c r="C29" s="28">
        <v>2505.6217000000001</v>
      </c>
      <c r="D29" s="28">
        <v>2509.7602000000002</v>
      </c>
      <c r="E29" s="28">
        <v>2545.1390000000001</v>
      </c>
      <c r="F29" s="28">
        <v>2536.7692999999999</v>
      </c>
      <c r="G29" s="28">
        <v>2895.0994000000001</v>
      </c>
      <c r="H29" s="28">
        <v>2762.6601000000001</v>
      </c>
    </row>
    <row r="30" spans="1:68" x14ac:dyDescent="0.45">
      <c r="A30" s="4">
        <v>45717</v>
      </c>
      <c r="B30" s="28">
        <v>3123.35</v>
      </c>
      <c r="C30" s="28">
        <v>2514.6178</v>
      </c>
      <c r="D30" s="28">
        <v>2525.8391000000001</v>
      </c>
      <c r="E30" s="28">
        <v>2586.2543999999998</v>
      </c>
      <c r="F30" s="28">
        <v>2562.7671999999998</v>
      </c>
      <c r="G30" s="28">
        <v>2989.2132000000001</v>
      </c>
      <c r="H30" s="28">
        <v>2857.8539000000001</v>
      </c>
    </row>
    <row r="31" spans="1:68" x14ac:dyDescent="0.45">
      <c r="A31" s="4">
        <v>45748</v>
      </c>
      <c r="B31" s="28">
        <v>3288.59</v>
      </c>
      <c r="C31" s="28">
        <v>2543.3548999999998</v>
      </c>
      <c r="D31" s="28">
        <v>2541.0025000000001</v>
      </c>
      <c r="E31" s="28">
        <v>2587.0441000000001</v>
      </c>
      <c r="F31" s="28">
        <v>2558.7451000000001</v>
      </c>
      <c r="G31" s="28">
        <v>3045.7896999999998</v>
      </c>
      <c r="H31" s="28">
        <v>2901.3364000000001</v>
      </c>
    </row>
    <row r="32" spans="1:68" x14ac:dyDescent="0.45">
      <c r="A32" s="4">
        <v>45778</v>
      </c>
      <c r="B32" s="28">
        <v>3289.4</v>
      </c>
      <c r="C32" s="28">
        <v>2562.0362</v>
      </c>
      <c r="D32" s="28">
        <v>2556.0133000000001</v>
      </c>
      <c r="E32" s="28">
        <v>2621.8202999999999</v>
      </c>
      <c r="F32" s="28">
        <v>2592.0866999999998</v>
      </c>
      <c r="G32" s="28">
        <v>3106.1983</v>
      </c>
      <c r="H32" s="28">
        <v>2953.4785000000002</v>
      </c>
    </row>
    <row r="33" spans="1:8" x14ac:dyDescent="0.45">
      <c r="A33" s="4">
        <v>45809</v>
      </c>
      <c r="B33" s="28">
        <v>3303.69</v>
      </c>
      <c r="C33" s="28">
        <v>2578.3087999999998</v>
      </c>
      <c r="D33" s="28">
        <v>2571.2615999999998</v>
      </c>
      <c r="E33" s="28">
        <v>2647.3298</v>
      </c>
      <c r="F33" s="28">
        <v>2620.8715000000002</v>
      </c>
      <c r="G33" s="28">
        <v>3194.1051000000002</v>
      </c>
      <c r="H33" s="28">
        <v>3008.6478000000002</v>
      </c>
    </row>
    <row r="34" spans="1:8" x14ac:dyDescent="0.45">
      <c r="A34" s="4">
        <v>45839</v>
      </c>
      <c r="B34" s="28">
        <v>3290.32</v>
      </c>
      <c r="C34" s="28">
        <v>2592.4684999999999</v>
      </c>
      <c r="D34" s="28">
        <v>2586.4229</v>
      </c>
      <c r="E34" s="28">
        <v>2676.7829999999999</v>
      </c>
      <c r="F34" s="28">
        <v>2639.7084</v>
      </c>
      <c r="G34" s="28">
        <v>3303.8377</v>
      </c>
      <c r="H34" s="28">
        <v>3107.9785000000002</v>
      </c>
    </row>
    <row r="35" spans="1:8" x14ac:dyDescent="0.45">
      <c r="A35" s="4">
        <v>45870</v>
      </c>
      <c r="B35" s="28">
        <v>3448</v>
      </c>
      <c r="C35" s="28">
        <v>2616.8153000000002</v>
      </c>
      <c r="D35" s="28">
        <v>2601.6988999999999</v>
      </c>
      <c r="E35" s="28">
        <v>2704.0344</v>
      </c>
      <c r="F35" s="28">
        <v>2663.8935000000001</v>
      </c>
      <c r="G35" s="28">
        <v>3344.7204999999999</v>
      </c>
      <c r="H35" s="28">
        <v>3148.1954000000001</v>
      </c>
    </row>
    <row r="36" spans="1:8" x14ac:dyDescent="0.45">
      <c r="A36" s="4">
        <v>45901</v>
      </c>
      <c r="B36" s="28">
        <v>3858.51</v>
      </c>
      <c r="C36" s="28">
        <v>2633.9517999999998</v>
      </c>
      <c r="D36" s="28">
        <v>2616.9167000000002</v>
      </c>
      <c r="E36" s="28">
        <v>2720.5160000000001</v>
      </c>
      <c r="F36" s="28">
        <v>2684.8701000000001</v>
      </c>
      <c r="G36" s="28">
        <v>3406.9461000000001</v>
      </c>
      <c r="H36" s="28">
        <v>3192.8674000000001</v>
      </c>
    </row>
    <row r="37" spans="1:8" x14ac:dyDescent="0.45">
      <c r="A37" s="4">
        <v>45931</v>
      </c>
      <c r="B37" s="28">
        <v>4002.28</v>
      </c>
      <c r="C37" s="28">
        <v>2645.8537000000001</v>
      </c>
      <c r="D37" s="28">
        <v>2632.1959000000002</v>
      </c>
      <c r="E37" s="28">
        <v>2741.7952</v>
      </c>
      <c r="F37" s="28">
        <v>2706.7779999999998</v>
      </c>
      <c r="G37" s="28">
        <v>3467.2934</v>
      </c>
      <c r="H37" s="28">
        <v>3240.8334</v>
      </c>
    </row>
    <row r="38" spans="1:8" x14ac:dyDescent="0.45">
      <c r="A38" s="4">
        <v>45962</v>
      </c>
      <c r="B38" s="28">
        <v>4230.63</v>
      </c>
      <c r="C38" s="28">
        <v>2660.4344999999998</v>
      </c>
      <c r="D38" s="28">
        <v>2647.4378999999999</v>
      </c>
      <c r="E38" s="28">
        <v>2753.9097999999999</v>
      </c>
      <c r="F38" s="28">
        <v>2718.5985999999998</v>
      </c>
      <c r="G38" s="28">
        <v>3506.3216000000002</v>
      </c>
      <c r="H38" s="28">
        <v>3267.2732999999998</v>
      </c>
    </row>
    <row r="39" spans="1:8" x14ac:dyDescent="0.45">
      <c r="A39" s="4">
        <v>45992</v>
      </c>
      <c r="B39" s="28">
        <v>4315.09</v>
      </c>
      <c r="C39" s="28">
        <v>2675.6044000000002</v>
      </c>
      <c r="D39" s="28">
        <v>2662.7141000000001</v>
      </c>
      <c r="E39" s="28">
        <v>2778.5931</v>
      </c>
      <c r="F39" s="28">
        <v>2742.3442</v>
      </c>
      <c r="G39" s="28">
        <v>3567.3011999999999</v>
      </c>
      <c r="H39" s="28">
        <v>3323.1938</v>
      </c>
    </row>
    <row r="40" spans="1:8" x14ac:dyDescent="0.45">
      <c r="A40" s="4">
        <v>46023</v>
      </c>
      <c r="B40" s="28">
        <v>4865.3500000000004</v>
      </c>
      <c r="C40" s="28">
        <v>2691.4618999999998</v>
      </c>
      <c r="D40" s="28">
        <v>2677.9672999999998</v>
      </c>
      <c r="E40" s="28">
        <v>2794.1855</v>
      </c>
      <c r="F40" s="28">
        <v>2760.6378</v>
      </c>
      <c r="G40" s="28">
        <v>3617.9726999999998</v>
      </c>
      <c r="H40" s="28">
        <v>3360.5783000000001</v>
      </c>
    </row>
    <row r="41" spans="1:8" x14ac:dyDescent="0.45">
      <c r="A41" s="4">
        <v>46054</v>
      </c>
      <c r="B41" s="28">
        <v>5277.9</v>
      </c>
      <c r="C41" s="28">
        <v>2704.4391000000001</v>
      </c>
      <c r="D41" s="28">
        <v>2693.2401</v>
      </c>
      <c r="E41" s="28">
        <v>2809.8577</v>
      </c>
      <c r="F41" s="28">
        <v>2776.6172000000001</v>
      </c>
      <c r="G41" s="28">
        <v>3655.982</v>
      </c>
      <c r="H41" s="28">
        <v>3388.0293000000001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4A0B-96FF-486B-B91F-10870E82AA0D}">
  <dimension ref="A1:AK1000"/>
  <sheetViews>
    <sheetView zoomScale="56" zoomScaleNormal="86" workbookViewId="0">
      <selection activeCell="AE1" sqref="AE1:AE1048576"/>
    </sheetView>
  </sheetViews>
  <sheetFormatPr defaultRowHeight="14.25" x14ac:dyDescent="0.45"/>
  <cols>
    <col min="1" max="1" width="7.265625" bestFit="1" customWidth="1"/>
    <col min="4" max="4" width="7.265625" bestFit="1" customWidth="1"/>
    <col min="19" max="19" width="24.9296875" customWidth="1"/>
  </cols>
  <sheetData>
    <row r="1" spans="1:37" x14ac:dyDescent="0.45">
      <c r="A1" s="34" t="s">
        <v>47</v>
      </c>
      <c r="B1" s="1" t="s">
        <v>48</v>
      </c>
      <c r="C1" s="1" t="s">
        <v>62</v>
      </c>
      <c r="D1" s="34" t="s">
        <v>47</v>
      </c>
      <c r="AA1" s="1" t="s">
        <v>50</v>
      </c>
      <c r="AB1" s="1" t="s">
        <v>51</v>
      </c>
      <c r="AE1" s="1" t="s">
        <v>52</v>
      </c>
      <c r="AF1" t="s">
        <v>53</v>
      </c>
      <c r="AJ1" s="1" t="s">
        <v>37</v>
      </c>
      <c r="AK1" s="1" t="s">
        <v>54</v>
      </c>
    </row>
    <row r="2" spans="1:37" x14ac:dyDescent="0.45">
      <c r="A2" s="35">
        <v>2823.81</v>
      </c>
      <c r="B2" s="1">
        <v>7.2896867769605196</v>
      </c>
      <c r="C2" s="1">
        <v>4.8613418798551402</v>
      </c>
      <c r="D2" s="35">
        <v>2823.81</v>
      </c>
      <c r="AA2" s="1">
        <v>4339446</v>
      </c>
      <c r="AB2" s="1">
        <v>133.2481393906244</v>
      </c>
      <c r="AE2" s="1">
        <v>3142.6</v>
      </c>
      <c r="AF2" s="1">
        <v>56.058897598864711</v>
      </c>
      <c r="AJ2" s="1">
        <v>1344.7</v>
      </c>
      <c r="AK2" s="1">
        <v>36.670151349564946</v>
      </c>
    </row>
    <row r="3" spans="1:37" x14ac:dyDescent="0.45">
      <c r="A3" s="35">
        <v>2713.83</v>
      </c>
      <c r="B3" s="1">
        <v>7.2176473648841135</v>
      </c>
      <c r="C3" s="1">
        <v>4.8427876610541993</v>
      </c>
      <c r="D3" s="35">
        <v>2713.83</v>
      </c>
      <c r="AA3" s="1">
        <v>4335311</v>
      </c>
      <c r="AB3" s="1">
        <v>133.23322719890419</v>
      </c>
      <c r="AE3" s="1">
        <v>3355.5</v>
      </c>
      <c r="AF3" s="1">
        <v>57.926677791843026</v>
      </c>
      <c r="AJ3" s="1">
        <v>1317.66</v>
      </c>
      <c r="AK3" s="1">
        <v>36.299586774507503</v>
      </c>
    </row>
    <row r="4" spans="1:37" x14ac:dyDescent="0.45">
      <c r="A4" s="35">
        <v>2640.87</v>
      </c>
      <c r="B4" s="1">
        <v>7.1686397449792185</v>
      </c>
      <c r="C4" s="1">
        <v>4.8300465008242259</v>
      </c>
      <c r="D4" s="35">
        <v>2640.87</v>
      </c>
      <c r="AA4" s="1">
        <v>4398040</v>
      </c>
      <c r="AB4" s="1">
        <v>133.45801330970264</v>
      </c>
      <c r="AE4" s="1">
        <v>3486.1</v>
      </c>
      <c r="AF4" s="1">
        <v>59.043204520080039</v>
      </c>
      <c r="AJ4" s="1">
        <v>1324</v>
      </c>
      <c r="AK4" s="1">
        <v>36.386810797320507</v>
      </c>
    </row>
    <row r="5" spans="1:37" x14ac:dyDescent="0.45">
      <c r="A5" s="35">
        <v>2648.05</v>
      </c>
      <c r="B5" s="1">
        <v>7.1735073112862686</v>
      </c>
      <c r="C5" s="1">
        <v>4.8313163444115927</v>
      </c>
      <c r="D5" s="35">
        <v>2648.05</v>
      </c>
      <c r="AA5" s="1">
        <v>4411635</v>
      </c>
      <c r="AB5" s="1">
        <v>133.5063293138395</v>
      </c>
      <c r="AE5" s="1">
        <v>3560.7</v>
      </c>
      <c r="AF5" s="1">
        <v>59.671601285703737</v>
      </c>
      <c r="AJ5" s="1">
        <v>1314.95</v>
      </c>
      <c r="AK5" s="1">
        <v>36.262239313092621</v>
      </c>
    </row>
    <row r="6" spans="1:37" x14ac:dyDescent="0.45">
      <c r="A6" s="35">
        <v>2705.27</v>
      </c>
      <c r="B6" s="1">
        <v>7.211949119685741</v>
      </c>
      <c r="C6" s="1">
        <v>4.8413111989799296</v>
      </c>
      <c r="D6" s="35">
        <v>2705.27</v>
      </c>
      <c r="AA6" s="1">
        <v>4455817</v>
      </c>
      <c r="AB6" s="1">
        <v>133.66238102944985</v>
      </c>
      <c r="AE6" s="1">
        <v>3724.9</v>
      </c>
      <c r="AF6" s="1">
        <v>61.031958841249725</v>
      </c>
      <c r="AJ6" s="1">
        <v>1297.92</v>
      </c>
      <c r="AK6" s="1">
        <v>36.026656797432651</v>
      </c>
    </row>
    <row r="7" spans="1:37" x14ac:dyDescent="0.45">
      <c r="A7" s="35">
        <v>2718.37</v>
      </c>
      <c r="B7" s="1">
        <v>7.2206640960584449</v>
      </c>
      <c r="C7" s="1">
        <v>4.8435687924315811</v>
      </c>
      <c r="D7" s="35">
        <v>2718.37</v>
      </c>
      <c r="AA7" s="1">
        <v>4520212</v>
      </c>
      <c r="AB7" s="1">
        <v>133.88721794815814</v>
      </c>
      <c r="AE7" s="1">
        <v>2899.7</v>
      </c>
      <c r="AF7" s="1">
        <v>53.84886256923167</v>
      </c>
      <c r="AJ7" s="1">
        <v>1252.25</v>
      </c>
      <c r="AK7" s="1">
        <v>35.387144558440994</v>
      </c>
    </row>
    <row r="8" spans="1:37" x14ac:dyDescent="0.45">
      <c r="A8" s="35">
        <v>2816.29</v>
      </c>
      <c r="B8" s="1">
        <v>7.2848286885761011</v>
      </c>
      <c r="C8" s="1">
        <v>4.8600971149878198</v>
      </c>
      <c r="D8" s="35">
        <v>2816.29</v>
      </c>
      <c r="AA8" s="1">
        <v>4494770</v>
      </c>
      <c r="AB8" s="1">
        <v>133.79875166214714</v>
      </c>
      <c r="AE8" s="1">
        <v>2919.7</v>
      </c>
      <c r="AF8" s="1">
        <v>54.034248398585135</v>
      </c>
      <c r="AJ8" s="1">
        <v>1223.4100000000001</v>
      </c>
      <c r="AK8" s="1">
        <v>34.977278338944558</v>
      </c>
    </row>
    <row r="9" spans="1:37" x14ac:dyDescent="0.45">
      <c r="A9" s="35">
        <v>2901.52</v>
      </c>
      <c r="B9" s="1">
        <v>7.3393296061875803</v>
      </c>
      <c r="C9" s="1">
        <v>4.874008657493194</v>
      </c>
      <c r="D9" s="35">
        <v>2901.52</v>
      </c>
      <c r="AA9" s="1">
        <v>4516162</v>
      </c>
      <c r="AB9" s="1">
        <v>133.87316703498666</v>
      </c>
      <c r="AE9" s="1">
        <v>2783</v>
      </c>
      <c r="AF9" s="1">
        <v>52.754146756439916</v>
      </c>
      <c r="AJ9" s="1">
        <v>1200.71</v>
      </c>
      <c r="AK9" s="1">
        <v>34.651262603258772</v>
      </c>
    </row>
    <row r="10" spans="1:37" x14ac:dyDescent="0.45">
      <c r="A10" s="35">
        <v>2913.98</v>
      </c>
      <c r="B10" s="1">
        <v>7.3471962717774737</v>
      </c>
      <c r="C10" s="1">
        <v>4.8760070996885077</v>
      </c>
      <c r="D10" s="35">
        <v>2913.98</v>
      </c>
      <c r="AA10" s="1">
        <v>4571101</v>
      </c>
      <c r="AB10" s="1">
        <v>134.06276016731468</v>
      </c>
      <c r="AE10" s="1">
        <v>2770.5</v>
      </c>
      <c r="AF10" s="1">
        <v>52.635539324680622</v>
      </c>
      <c r="AJ10" s="1">
        <v>1191.69</v>
      </c>
      <c r="AK10" s="1">
        <v>34.520863256876993</v>
      </c>
    </row>
    <row r="11" spans="1:37" x14ac:dyDescent="0.45">
      <c r="A11" s="35">
        <v>2711.74</v>
      </c>
      <c r="B11" s="1">
        <v>7.2162573329511854</v>
      </c>
      <c r="C11" s="1">
        <v>4.8424276127947437</v>
      </c>
      <c r="D11" s="35">
        <v>2711.74</v>
      </c>
      <c r="AA11" s="1">
        <v>4589978</v>
      </c>
      <c r="AB11" s="1">
        <v>134.12740576569766</v>
      </c>
      <c r="AE11" s="1">
        <v>2650.6</v>
      </c>
      <c r="AF11" s="1">
        <v>51.483978090275812</v>
      </c>
      <c r="AJ11" s="1">
        <v>1214.1400000000001</v>
      </c>
      <c r="AK11" s="1">
        <v>34.844511762973518</v>
      </c>
    </row>
    <row r="12" spans="1:37" x14ac:dyDescent="0.45">
      <c r="A12" s="35">
        <v>2760.17</v>
      </c>
      <c r="B12" s="1">
        <v>7.2482632449911906</v>
      </c>
      <c r="C12" s="1">
        <v>4.8506982026521301</v>
      </c>
      <c r="D12" s="35">
        <v>2760.17</v>
      </c>
      <c r="AA12" s="1">
        <v>4629109</v>
      </c>
      <c r="AB12" s="1">
        <v>134.26061348570968</v>
      </c>
      <c r="AE12" s="1">
        <v>2717.1</v>
      </c>
      <c r="AF12" s="1">
        <v>52.125809346234618</v>
      </c>
      <c r="AJ12" s="1">
        <v>1221.8800000000001</v>
      </c>
      <c r="AK12" s="1">
        <v>34.955400155054726</v>
      </c>
    </row>
    <row r="13" spans="1:37" x14ac:dyDescent="0.45">
      <c r="A13" s="35">
        <v>2506.85</v>
      </c>
      <c r="B13" s="1">
        <v>7.0759065243736758</v>
      </c>
      <c r="C13" s="1">
        <v>4.8056681584865153</v>
      </c>
      <c r="D13" s="35">
        <v>2506.85</v>
      </c>
      <c r="AA13" s="1">
        <v>4764831</v>
      </c>
      <c r="AB13" s="1">
        <v>134.71449904949495</v>
      </c>
      <c r="AE13" s="1">
        <v>2966.9</v>
      </c>
      <c r="AF13" s="1">
        <v>54.46925738432644</v>
      </c>
      <c r="AJ13" s="1">
        <v>1282.73</v>
      </c>
      <c r="AK13" s="1">
        <v>35.815220228277255</v>
      </c>
    </row>
    <row r="14" spans="1:37" x14ac:dyDescent="0.45">
      <c r="A14" s="35">
        <v>2704.1</v>
      </c>
      <c r="B14" s="1">
        <v>7.2111692207000484</v>
      </c>
      <c r="C14" s="1">
        <v>4.8411090191123272</v>
      </c>
      <c r="D14" s="35">
        <v>2704.1</v>
      </c>
      <c r="AA14" s="1">
        <v>4663008</v>
      </c>
      <c r="AB14" s="1">
        <v>134.37515034395128</v>
      </c>
      <c r="AE14" s="1">
        <v>2653.7</v>
      </c>
      <c r="AF14" s="1">
        <v>51.514075746343345</v>
      </c>
      <c r="AJ14" s="1">
        <v>1320.56</v>
      </c>
      <c r="AK14" s="1">
        <v>36.339510178316935</v>
      </c>
    </row>
    <row r="15" spans="1:37" x14ac:dyDescent="0.45">
      <c r="A15" s="35">
        <v>2784.49</v>
      </c>
      <c r="B15" s="1">
        <v>7.2641769650327541</v>
      </c>
      <c r="C15" s="1">
        <v>4.8547952311446902</v>
      </c>
      <c r="D15" s="35">
        <v>2784.49</v>
      </c>
      <c r="AA15" s="1">
        <v>4692834</v>
      </c>
      <c r="AB15" s="1">
        <v>134.47527436383081</v>
      </c>
      <c r="AE15" s="1">
        <v>2567.6</v>
      </c>
      <c r="AF15" s="1">
        <v>50.671490998390802</v>
      </c>
      <c r="AJ15" s="1">
        <v>1312.66</v>
      </c>
      <c r="AK15" s="1">
        <v>36.230650007969771</v>
      </c>
    </row>
    <row r="16" spans="1:37" x14ac:dyDescent="0.45">
      <c r="A16" s="35">
        <v>2834.4</v>
      </c>
      <c r="B16" s="1">
        <v>7.2965117273977178</v>
      </c>
      <c r="C16" s="1">
        <v>4.8630890367652571</v>
      </c>
      <c r="D16" s="35">
        <v>2834.4</v>
      </c>
      <c r="AA16" s="1">
        <v>4770927</v>
      </c>
      <c r="AB16" s="1">
        <v>134.73459655052565</v>
      </c>
      <c r="AE16" s="1">
        <v>2928.3</v>
      </c>
      <c r="AF16" s="1">
        <v>54.11376904263831</v>
      </c>
      <c r="AJ16" s="1">
        <v>1291.9000000000001</v>
      </c>
      <c r="AK16" s="1">
        <v>35.943010447095276</v>
      </c>
    </row>
    <row r="17" spans="1:37" x14ac:dyDescent="0.45">
      <c r="A17" s="35">
        <v>2945.83</v>
      </c>
      <c r="B17" s="1">
        <v>7.3671908431180801</v>
      </c>
      <c r="C17" s="1">
        <v>4.8810757502672644</v>
      </c>
      <c r="D17" s="35">
        <v>2945.83</v>
      </c>
      <c r="AA17" s="1">
        <v>4810187</v>
      </c>
      <c r="AB17" s="1">
        <v>134.86344975028376</v>
      </c>
      <c r="AE17" s="1">
        <v>2452.1</v>
      </c>
      <c r="AF17" s="1">
        <v>49.518683342754578</v>
      </c>
      <c r="AJ17" s="1">
        <v>1283.3499999999999</v>
      </c>
      <c r="AK17" s="1">
        <v>35.823874720638472</v>
      </c>
    </row>
    <row r="18" spans="1:37" x14ac:dyDescent="0.45">
      <c r="A18" s="35">
        <v>2752.06</v>
      </c>
      <c r="B18" s="1">
        <v>7.2429331117260611</v>
      </c>
      <c r="C18" s="1">
        <v>4.8493236939975555</v>
      </c>
      <c r="D18" s="35">
        <v>2752.06</v>
      </c>
      <c r="AA18" s="1">
        <v>4911765</v>
      </c>
      <c r="AB18" s="1">
        <v>135.19226085419311</v>
      </c>
      <c r="AE18" s="1">
        <v>2926.2</v>
      </c>
      <c r="AF18" s="1">
        <v>54.094361998271133</v>
      </c>
      <c r="AJ18" s="1">
        <v>1305.25</v>
      </c>
      <c r="AK18" s="1">
        <v>36.128243799000252</v>
      </c>
    </row>
    <row r="19" spans="1:37" x14ac:dyDescent="0.45">
      <c r="A19" s="35">
        <v>2941.76</v>
      </c>
      <c r="B19" s="1">
        <v>7.3646448701347849</v>
      </c>
      <c r="C19" s="1">
        <v>4.8804311983303554</v>
      </c>
      <c r="D19" s="35">
        <v>2941.76</v>
      </c>
      <c r="AA19" s="1">
        <v>5001629</v>
      </c>
      <c r="AB19" s="1">
        <v>135.47782035021442</v>
      </c>
      <c r="AE19" s="1">
        <v>2800.4</v>
      </c>
      <c r="AF19" s="1">
        <v>52.918805731044237</v>
      </c>
      <c r="AJ19" s="1">
        <v>1409.1</v>
      </c>
      <c r="AK19" s="1">
        <v>37.537980766152032</v>
      </c>
    </row>
    <row r="20" spans="1:37" x14ac:dyDescent="0.45">
      <c r="A20" s="35">
        <v>2980.38</v>
      </c>
      <c r="B20" s="1">
        <v>7.3886979012256386</v>
      </c>
      <c r="C20" s="1">
        <v>4.8865106673586522</v>
      </c>
      <c r="D20" s="35">
        <v>2980.38</v>
      </c>
      <c r="AA20" s="1">
        <v>4999683</v>
      </c>
      <c r="AB20" s="1">
        <v>135.47168830145569</v>
      </c>
      <c r="AE20" s="1">
        <v>2282.6</v>
      </c>
      <c r="AF20" s="1">
        <v>47.776563292057752</v>
      </c>
      <c r="AJ20" s="1">
        <v>1413.55</v>
      </c>
      <c r="AK20" s="1">
        <v>37.597207343099299</v>
      </c>
    </row>
    <row r="21" spans="1:37" x14ac:dyDescent="0.45">
      <c r="A21" s="35">
        <v>2926.46</v>
      </c>
      <c r="B21" s="1">
        <v>7.3550503161314884</v>
      </c>
      <c r="C21" s="1">
        <v>4.8779999486988821</v>
      </c>
      <c r="D21" s="35">
        <v>2926.46</v>
      </c>
      <c r="AA21" s="1">
        <v>5053849</v>
      </c>
      <c r="AB21" s="1">
        <v>135.64153148955685</v>
      </c>
      <c r="AE21" s="1">
        <v>2720.5</v>
      </c>
      <c r="AF21" s="1">
        <v>52.158412552530777</v>
      </c>
      <c r="AJ21" s="1">
        <v>1519.85</v>
      </c>
      <c r="AK21" s="1">
        <v>38.985253622363416</v>
      </c>
    </row>
    <row r="22" spans="1:37" x14ac:dyDescent="0.45">
      <c r="A22" s="35">
        <v>2976.74</v>
      </c>
      <c r="B22" s="1">
        <v>7.3864408747002637</v>
      </c>
      <c r="C22" s="1">
        <v>4.8859411396304697</v>
      </c>
      <c r="D22" s="35">
        <v>2976.74</v>
      </c>
      <c r="AA22" s="1">
        <v>5139056</v>
      </c>
      <c r="AB22" s="1">
        <v>135.90524378982047</v>
      </c>
      <c r="AE22" s="1">
        <v>2414.6999999999998</v>
      </c>
      <c r="AF22" s="1">
        <v>49.139597067945111</v>
      </c>
      <c r="AJ22" s="1">
        <v>1472</v>
      </c>
      <c r="AK22" s="1">
        <v>38.366652186501753</v>
      </c>
    </row>
    <row r="23" spans="1:37" x14ac:dyDescent="0.45">
      <c r="A23" s="35">
        <v>3037.56</v>
      </c>
      <c r="B23" s="1">
        <v>7.4238846664658951</v>
      </c>
      <c r="C23" s="1">
        <v>4.8953644551199806</v>
      </c>
      <c r="D23" s="35">
        <v>3037.56</v>
      </c>
      <c r="S23" s="1" t="s">
        <v>49</v>
      </c>
      <c r="T23" s="33" t="s">
        <v>3</v>
      </c>
      <c r="AA23" s="1">
        <v>5190380</v>
      </c>
      <c r="AB23" s="1">
        <v>136.06209502971791</v>
      </c>
      <c r="AE23" s="1">
        <v>2715.2</v>
      </c>
      <c r="AF23" s="1">
        <v>52.107581022342607</v>
      </c>
      <c r="AJ23" s="1">
        <v>1513.16</v>
      </c>
      <c r="AK23" s="1">
        <v>38.899357321169205</v>
      </c>
    </row>
    <row r="24" spans="1:37" x14ac:dyDescent="0.45">
      <c r="A24" s="35">
        <v>3140.98</v>
      </c>
      <c r="B24" s="1">
        <v>7.4862839010607694</v>
      </c>
      <c r="C24" s="1">
        <v>4.9109507278875366</v>
      </c>
      <c r="D24" s="35">
        <v>3140.98</v>
      </c>
      <c r="S24" s="32">
        <v>2685792892753.0264</v>
      </c>
      <c r="T24" s="33">
        <v>13900.3</v>
      </c>
      <c r="AA24" s="1">
        <v>5187864</v>
      </c>
      <c r="AB24" s="1">
        <v>136.05444024986303</v>
      </c>
      <c r="AE24" s="1">
        <v>2766.8</v>
      </c>
      <c r="AF24" s="1">
        <v>52.600380226762624</v>
      </c>
      <c r="AJ24" s="1">
        <v>1463.9</v>
      </c>
      <c r="AK24" s="1">
        <v>38.260946146168422</v>
      </c>
    </row>
    <row r="25" spans="1:37" x14ac:dyDescent="0.45">
      <c r="A25" s="35">
        <v>3230.78</v>
      </c>
      <c r="B25" s="1">
        <v>7.539227463002752</v>
      </c>
      <c r="C25" s="1">
        <v>4.9240616849249585</v>
      </c>
      <c r="D25" s="35">
        <v>3230.78</v>
      </c>
      <c r="S25" s="32">
        <v>2714296230256.1567</v>
      </c>
      <c r="T25" s="33">
        <v>13949.3</v>
      </c>
      <c r="AA25" s="1">
        <v>5323120</v>
      </c>
      <c r="AB25" s="1">
        <v>136.4610376459502</v>
      </c>
      <c r="AE25" s="1">
        <v>3405.1</v>
      </c>
      <c r="AF25" s="1">
        <v>58.353234700400286</v>
      </c>
      <c r="AJ25" s="1">
        <v>1517.01</v>
      </c>
      <c r="AK25" s="1">
        <v>38.948812562130826</v>
      </c>
    </row>
    <row r="26" spans="1:37" x14ac:dyDescent="0.45">
      <c r="A26" s="35">
        <v>3225.52</v>
      </c>
      <c r="B26" s="1">
        <v>7.5361569528624521</v>
      </c>
      <c r="C26" s="1">
        <v>4.9233041172533278</v>
      </c>
      <c r="D26" s="35">
        <v>3225.52</v>
      </c>
      <c r="S26" s="32">
        <v>2751474376228.3833</v>
      </c>
      <c r="T26" s="33">
        <v>14012.7</v>
      </c>
      <c r="AA26" s="1">
        <v>5218198</v>
      </c>
      <c r="AB26" s="1">
        <v>136.14649581526882</v>
      </c>
      <c r="AE26" s="1">
        <v>2501.6999999999998</v>
      </c>
      <c r="AF26" s="1">
        <v>50.016997110982182</v>
      </c>
      <c r="AJ26" s="1">
        <v>1589.81</v>
      </c>
      <c r="AK26" s="1">
        <v>39.872421546728262</v>
      </c>
    </row>
    <row r="27" spans="1:37" x14ac:dyDescent="0.45">
      <c r="A27" s="35">
        <v>2954.22</v>
      </c>
      <c r="B27" s="1">
        <v>7.3724308624508215</v>
      </c>
      <c r="C27" s="1">
        <v>4.8824015573203408</v>
      </c>
      <c r="D27" s="35">
        <v>2954.22</v>
      </c>
      <c r="S27" s="32">
        <v>2765163376288.2788</v>
      </c>
      <c r="T27" s="33">
        <v>14035.9</v>
      </c>
      <c r="AA27" s="1">
        <v>5257144</v>
      </c>
      <c r="AB27" s="1">
        <v>136.2639450230939</v>
      </c>
      <c r="AE27" s="1">
        <v>2729.1</v>
      </c>
      <c r="AF27" s="1">
        <v>52.24078866173442</v>
      </c>
      <c r="AJ27" s="1">
        <v>1584.74</v>
      </c>
      <c r="AK27" s="1">
        <v>39.808792998532375</v>
      </c>
    </row>
    <row r="28" spans="1:37" x14ac:dyDescent="0.45">
      <c r="A28" s="35">
        <v>2584.59</v>
      </c>
      <c r="B28" s="1">
        <v>7.1301376625707009</v>
      </c>
      <c r="C28" s="1">
        <v>4.8199679640447508</v>
      </c>
      <c r="D28" s="35">
        <v>2584.59</v>
      </c>
      <c r="S28" s="32">
        <v>2798690574809.0239</v>
      </c>
      <c r="T28" s="33">
        <v>14092.4</v>
      </c>
      <c r="AA28" s="1">
        <v>5322240</v>
      </c>
      <c r="AB28" s="1">
        <v>136.45842407292653</v>
      </c>
      <c r="AE28" s="1">
        <v>2641.3</v>
      </c>
      <c r="AF28" s="1">
        <v>51.393579365519969</v>
      </c>
      <c r="AJ28" s="1">
        <v>1571.05</v>
      </c>
      <c r="AK28" s="1">
        <v>39.63647310243433</v>
      </c>
    </row>
    <row r="29" spans="1:37" x14ac:dyDescent="0.45">
      <c r="A29" s="35">
        <v>2912.43</v>
      </c>
      <c r="B29" s="1">
        <v>7.3462190493432713</v>
      </c>
      <c r="C29" s="1">
        <v>4.87575897705206</v>
      </c>
      <c r="D29" s="35">
        <v>2912.43</v>
      </c>
      <c r="S29" s="32">
        <v>2825466783910.8486</v>
      </c>
      <c r="T29" s="33">
        <v>14137.2</v>
      </c>
      <c r="AA29" s="1">
        <v>5342257</v>
      </c>
      <c r="AB29" s="1">
        <v>136.51777279840337</v>
      </c>
      <c r="AE29" s="1">
        <v>2651.4</v>
      </c>
      <c r="AF29" s="1">
        <v>51.491746911519712</v>
      </c>
      <c r="AJ29" s="1">
        <v>1680.09</v>
      </c>
      <c r="AK29" s="1">
        <v>40.988900936717002</v>
      </c>
    </row>
    <row r="30" spans="1:37" x14ac:dyDescent="0.45">
      <c r="A30" s="35">
        <v>3044.31</v>
      </c>
      <c r="B30" s="1">
        <v>7.4280055329689469</v>
      </c>
      <c r="C30" s="1">
        <v>4.8963982877009053</v>
      </c>
      <c r="D30" s="35">
        <v>3044.31</v>
      </c>
      <c r="S30" s="32">
        <v>2847950499428.936</v>
      </c>
      <c r="T30" s="33">
        <v>14174.6</v>
      </c>
      <c r="AA30" s="1">
        <v>5455071</v>
      </c>
      <c r="AB30" s="1">
        <v>136.84836234726956</v>
      </c>
      <c r="AE30" s="1">
        <v>2375.6999999999998</v>
      </c>
      <c r="AF30" s="1">
        <v>48.741153043398548</v>
      </c>
      <c r="AJ30" s="1">
        <v>1726.3</v>
      </c>
      <c r="AK30" s="1">
        <v>41.548766528021019</v>
      </c>
    </row>
    <row r="31" spans="1:37" x14ac:dyDescent="0.45">
      <c r="A31" s="35">
        <v>3100.29</v>
      </c>
      <c r="B31" s="1">
        <v>7.461919849762257</v>
      </c>
      <c r="C31" s="1">
        <v>4.9048823451100354</v>
      </c>
      <c r="D31" s="35">
        <v>3100.29</v>
      </c>
      <c r="S31" s="32">
        <v>2877345085511.1685</v>
      </c>
      <c r="T31" s="33">
        <v>14223.2</v>
      </c>
      <c r="AA31" s="1">
        <v>5496936</v>
      </c>
      <c r="AB31" s="1">
        <v>136.9693952616349</v>
      </c>
      <c r="AE31" s="1">
        <v>2786</v>
      </c>
      <c r="AF31" s="1">
        <v>52.782572881586589</v>
      </c>
      <c r="AJ31" s="1">
        <v>1780.67</v>
      </c>
      <c r="AK31" s="1">
        <v>42.197985733918628</v>
      </c>
    </row>
    <row r="32" spans="1:37" x14ac:dyDescent="0.45">
      <c r="A32" s="35">
        <v>3271.12</v>
      </c>
      <c r="B32" s="1">
        <v>7.5626520445820109</v>
      </c>
      <c r="C32" s="1">
        <v>4.9298297624460945</v>
      </c>
      <c r="D32" s="35">
        <v>3271.12</v>
      </c>
      <c r="S32" s="32">
        <v>2890900146846.375</v>
      </c>
      <c r="T32" s="33">
        <v>14245.5</v>
      </c>
      <c r="AA32" s="1">
        <v>5484202</v>
      </c>
      <c r="AB32" s="1">
        <v>136.93267372272055</v>
      </c>
      <c r="AE32" s="1">
        <v>2496.3000000000002</v>
      </c>
      <c r="AF32" s="1">
        <v>49.96298629986002</v>
      </c>
      <c r="AJ32" s="1">
        <v>1974.69</v>
      </c>
      <c r="AK32" s="1">
        <v>44.437484177212376</v>
      </c>
    </row>
    <row r="33" spans="1:37" x14ac:dyDescent="0.45">
      <c r="A33" s="35">
        <v>3500.31</v>
      </c>
      <c r="B33" s="1">
        <v>7.6917759816036364</v>
      </c>
      <c r="C33" s="1">
        <v>4.961271219278939</v>
      </c>
      <c r="D33" s="35">
        <v>3500.31</v>
      </c>
      <c r="S33" s="32">
        <v>2897663124977.4961</v>
      </c>
      <c r="T33" s="33">
        <v>14256.6</v>
      </c>
      <c r="AA33" s="1">
        <v>5491789</v>
      </c>
      <c r="AB33" s="1">
        <v>136.95456238312639</v>
      </c>
      <c r="AE33" s="1">
        <v>2598.1999999999998</v>
      </c>
      <c r="AF33" s="1">
        <v>50.972541627821542</v>
      </c>
      <c r="AJ33" s="1">
        <v>1969.75</v>
      </c>
      <c r="AK33" s="1">
        <v>44.381865666057799</v>
      </c>
    </row>
    <row r="34" spans="1:37" x14ac:dyDescent="0.45">
      <c r="A34" s="35">
        <v>3363</v>
      </c>
      <c r="B34" s="1">
        <v>7.6152070667574048</v>
      </c>
      <c r="C34" s="1">
        <v>4.942698631625376</v>
      </c>
      <c r="D34" s="35">
        <v>3363</v>
      </c>
      <c r="S34" s="32">
        <v>2913668002447.5518</v>
      </c>
      <c r="T34" s="33">
        <v>14282.8</v>
      </c>
      <c r="AA34" s="1">
        <v>5550165</v>
      </c>
      <c r="AB34" s="1">
        <v>137.12202507011929</v>
      </c>
      <c r="AE34" s="1">
        <v>2622.6</v>
      </c>
      <c r="AF34" s="1">
        <v>51.211326872089536</v>
      </c>
      <c r="AJ34" s="1">
        <v>1885.44</v>
      </c>
      <c r="AK34" s="1">
        <v>43.421653584358118</v>
      </c>
    </row>
    <row r="35" spans="1:37" x14ac:dyDescent="0.45">
      <c r="A35" s="35">
        <v>3269.96</v>
      </c>
      <c r="B35" s="1">
        <v>7.5619814911308278</v>
      </c>
      <c r="C35" s="1">
        <v>4.9296649227801979</v>
      </c>
      <c r="D35" s="35">
        <v>3269.96</v>
      </c>
      <c r="S35" s="32">
        <v>2977780068868.0317</v>
      </c>
      <c r="T35" s="33">
        <v>14386.8</v>
      </c>
      <c r="AA35" s="1">
        <v>5533447</v>
      </c>
      <c r="AB35" s="1">
        <v>137.07423772741618</v>
      </c>
      <c r="AE35" s="1">
        <v>2413.1999999999998</v>
      </c>
      <c r="AF35" s="1">
        <v>49.124332056527749</v>
      </c>
      <c r="AJ35" s="1">
        <v>1877.95</v>
      </c>
      <c r="AK35" s="1">
        <v>43.335320467258576</v>
      </c>
    </row>
    <row r="36" spans="1:37" x14ac:dyDescent="0.45">
      <c r="A36" s="35">
        <v>3621.63</v>
      </c>
      <c r="B36" s="1">
        <v>7.7575756560807854</v>
      </c>
      <c r="C36" s="1">
        <v>4.9770674889300599</v>
      </c>
      <c r="D36" s="35">
        <v>3621.63</v>
      </c>
      <c r="S36" s="32">
        <v>3023276357464.1733</v>
      </c>
      <c r="T36" s="33">
        <v>14459.7</v>
      </c>
      <c r="AA36" s="1">
        <v>5551506</v>
      </c>
      <c r="AB36" s="1">
        <v>137.12585231416861</v>
      </c>
      <c r="AE36" s="1">
        <v>2035.4</v>
      </c>
      <c r="AF36" s="1">
        <v>45.115407567703521</v>
      </c>
      <c r="AJ36" s="1">
        <v>1777.02</v>
      </c>
      <c r="AK36" s="1">
        <v>42.154715038771165</v>
      </c>
    </row>
    <row r="37" spans="1:37" x14ac:dyDescent="0.45">
      <c r="A37" s="35">
        <v>3756.07</v>
      </c>
      <c r="B37" s="1">
        <v>7.828587667800238</v>
      </c>
      <c r="C37" s="1">
        <v>4.9939482131783421</v>
      </c>
      <c r="D37" s="35">
        <v>3756.07</v>
      </c>
      <c r="S37" s="32">
        <v>3052600451765.0464</v>
      </c>
      <c r="T37" s="33">
        <v>14506.3</v>
      </c>
      <c r="AA37" s="1">
        <v>5633875</v>
      </c>
      <c r="AB37" s="1">
        <v>137.35926947481585</v>
      </c>
      <c r="AE37" s="1">
        <v>2168</v>
      </c>
      <c r="AF37" s="1">
        <v>46.561786907291264</v>
      </c>
      <c r="AJ37" s="1">
        <v>1896.49</v>
      </c>
      <c r="AK37" s="1">
        <v>43.548708362016889</v>
      </c>
    </row>
    <row r="38" spans="1:37" x14ac:dyDescent="0.45">
      <c r="A38" s="35">
        <v>3714.24</v>
      </c>
      <c r="B38" s="1">
        <v>7.8067000054482474</v>
      </c>
      <c r="C38" s="1">
        <v>4.9887634248222108</v>
      </c>
      <c r="D38" s="35">
        <v>3714.24</v>
      </c>
      <c r="S38" s="32">
        <v>3085037136984.375</v>
      </c>
      <c r="T38" s="33">
        <v>14557.5</v>
      </c>
      <c r="AA38" s="1">
        <v>5515469</v>
      </c>
      <c r="AB38" s="1">
        <v>137.02269564246609</v>
      </c>
      <c r="AE38" s="1">
        <v>1959</v>
      </c>
      <c r="AF38" s="1">
        <v>44.260591952661457</v>
      </c>
      <c r="AJ38" s="1">
        <v>1846.09</v>
      </c>
      <c r="AK38" s="1">
        <v>42.966149466760456</v>
      </c>
    </row>
    <row r="39" spans="1:37" x14ac:dyDescent="0.45">
      <c r="A39" s="35">
        <v>3811.15</v>
      </c>
      <c r="B39" s="1">
        <v>7.8571312976024821</v>
      </c>
      <c r="C39" s="1">
        <v>5.0006854441856907</v>
      </c>
      <c r="D39" s="35">
        <v>3811.15</v>
      </c>
      <c r="S39" s="32">
        <v>3108747986193.1235</v>
      </c>
      <c r="T39" s="33">
        <v>14594.7</v>
      </c>
      <c r="AA39" s="1">
        <v>5546717</v>
      </c>
      <c r="AB39" s="1">
        <v>137.11218037096731</v>
      </c>
      <c r="AE39" s="1">
        <v>1753.4</v>
      </c>
      <c r="AF39" s="1">
        <v>41.873619380225541</v>
      </c>
      <c r="AJ39" s="1">
        <v>1733.49</v>
      </c>
      <c r="AK39" s="1">
        <v>41.63520145261699</v>
      </c>
    </row>
    <row r="40" spans="1:37" x14ac:dyDescent="0.45">
      <c r="A40" s="35">
        <v>3972.89</v>
      </c>
      <c r="B40" s="1">
        <v>7.9391980360077881</v>
      </c>
      <c r="C40" s="1">
        <v>5.0199049025725246</v>
      </c>
      <c r="D40" s="35">
        <v>3972.89</v>
      </c>
      <c r="S40" s="32">
        <v>3179376241861.1836</v>
      </c>
      <c r="T40" s="33">
        <v>14704.4</v>
      </c>
      <c r="AA40" s="1">
        <v>5707241</v>
      </c>
      <c r="AB40" s="1">
        <v>137.56446314822236</v>
      </c>
      <c r="AE40" s="1">
        <v>1988.9</v>
      </c>
      <c r="AF40" s="1">
        <v>44.59708510654032</v>
      </c>
      <c r="AJ40" s="1">
        <v>1707.01</v>
      </c>
      <c r="AK40" s="1">
        <v>41.315977538961846</v>
      </c>
    </row>
    <row r="41" spans="1:37" x14ac:dyDescent="0.45">
      <c r="A41" s="35">
        <v>4181.17</v>
      </c>
      <c r="B41" s="1">
        <v>8.041266516114888</v>
      </c>
      <c r="C41" s="1">
        <v>5.0435020263479196</v>
      </c>
      <c r="D41" s="35">
        <v>4181.17</v>
      </c>
      <c r="S41" s="32">
        <v>3243632284117.9517</v>
      </c>
      <c r="T41" s="33">
        <v>14802.8</v>
      </c>
      <c r="AA41" s="1">
        <v>5615077</v>
      </c>
      <c r="AB41" s="1">
        <v>137.30628626550276</v>
      </c>
      <c r="AE41" s="1">
        <v>1458.2</v>
      </c>
      <c r="AF41" s="1">
        <v>38.186385008272254</v>
      </c>
      <c r="AJ41" s="1">
        <v>1768.59</v>
      </c>
      <c r="AK41" s="1">
        <v>42.05460735757736</v>
      </c>
    </row>
    <row r="42" spans="1:37" x14ac:dyDescent="0.45">
      <c r="A42" s="35">
        <v>4204.1099999999997</v>
      </c>
      <c r="B42" s="1">
        <v>8.0522735031061856</v>
      </c>
      <c r="C42" s="1">
        <v>5.046026773864944</v>
      </c>
      <c r="D42" s="35">
        <v>4204.1099999999997</v>
      </c>
      <c r="S42" s="32">
        <v>3299165190228.0317</v>
      </c>
      <c r="T42" s="33">
        <v>14886.8</v>
      </c>
      <c r="AA42" s="1">
        <v>5588061</v>
      </c>
      <c r="AB42" s="1">
        <v>137.22984464701389</v>
      </c>
      <c r="AE42" s="1">
        <v>1392.7</v>
      </c>
      <c r="AF42" s="1">
        <v>37.318896017969237</v>
      </c>
      <c r="AJ42" s="1">
        <v>1906.36</v>
      </c>
      <c r="AK42" s="1">
        <v>43.661882689595508</v>
      </c>
    </row>
    <row r="43" spans="1:37" x14ac:dyDescent="0.45">
      <c r="A43" s="35">
        <v>4297.5</v>
      </c>
      <c r="B43" s="1">
        <v>8.0966239970889387</v>
      </c>
      <c r="C43" s="1">
        <v>5.0561609514066941</v>
      </c>
      <c r="D43" s="35">
        <v>4297.5</v>
      </c>
      <c r="S43" s="32">
        <v>3357749474422.7837</v>
      </c>
      <c r="T43" s="33">
        <v>14974.4</v>
      </c>
      <c r="AA43" s="1">
        <v>5555394</v>
      </c>
      <c r="AB43" s="1">
        <v>137.1369437966712</v>
      </c>
      <c r="AE43" s="1">
        <v>1439.9</v>
      </c>
      <c r="AF43" s="1">
        <v>37.946014283452747</v>
      </c>
      <c r="AJ43" s="1">
        <v>1769.8</v>
      </c>
      <c r="AK43" s="1">
        <v>42.068990955334307</v>
      </c>
    </row>
    <row r="44" spans="1:37" x14ac:dyDescent="0.45">
      <c r="A44" s="35">
        <v>4395.26</v>
      </c>
      <c r="B44" s="1">
        <v>8.1422820563460157</v>
      </c>
      <c r="C44" s="1">
        <v>5.0665295501145895</v>
      </c>
      <c r="D44" s="35">
        <v>4395.26</v>
      </c>
      <c r="S44" s="32">
        <v>3406824508823</v>
      </c>
      <c r="T44" s="33">
        <v>15047</v>
      </c>
      <c r="AA44" s="1">
        <v>5539375</v>
      </c>
      <c r="AB44" s="1">
        <v>137.09119819617831</v>
      </c>
      <c r="AE44" s="1">
        <v>1421.8</v>
      </c>
      <c r="AF44" s="1">
        <v>37.706763319065189</v>
      </c>
      <c r="AJ44" s="1">
        <v>1813.58</v>
      </c>
      <c r="AK44" s="1">
        <v>42.586147982648065</v>
      </c>
    </row>
    <row r="45" spans="1:37" x14ac:dyDescent="0.45">
      <c r="A45" s="35">
        <v>4522.68</v>
      </c>
      <c r="B45" s="1">
        <v>8.2006629976041427</v>
      </c>
      <c r="C45" s="1">
        <v>5.0796935398684324</v>
      </c>
      <c r="D45" s="35">
        <v>4522.68</v>
      </c>
      <c r="S45" s="32">
        <v>3500798916116.3213</v>
      </c>
      <c r="T45" s="33">
        <v>15184.1</v>
      </c>
      <c r="AA45" s="1">
        <v>5523469</v>
      </c>
      <c r="AB45" s="1">
        <v>137.04565092355824</v>
      </c>
      <c r="AE45" s="1">
        <v>1530.9</v>
      </c>
      <c r="AF45" s="1">
        <v>39.126717214711483</v>
      </c>
      <c r="AJ45" s="1">
        <v>1813.43</v>
      </c>
      <c r="AK45" s="1">
        <v>42.584386810191361</v>
      </c>
    </row>
    <row r="46" spans="1:37" x14ac:dyDescent="0.45">
      <c r="A46" s="35">
        <v>4307.54</v>
      </c>
      <c r="B46" s="1">
        <v>8.1013487780268054</v>
      </c>
      <c r="C46" s="1">
        <v>5.0572369288956249</v>
      </c>
      <c r="D46" s="35">
        <v>4307.54</v>
      </c>
      <c r="S46" s="32">
        <v>3578768654336</v>
      </c>
      <c r="T46" s="33">
        <v>15296</v>
      </c>
      <c r="AA46" s="1">
        <v>5532317</v>
      </c>
      <c r="AB46" s="1">
        <v>137.07100275327042</v>
      </c>
      <c r="AE46" s="1">
        <v>1453.6</v>
      </c>
      <c r="AF46" s="1">
        <v>38.126106541318904</v>
      </c>
      <c r="AJ46" s="1">
        <v>1756.66</v>
      </c>
      <c r="AK46" s="1">
        <v>41.912527960026466</v>
      </c>
    </row>
    <row r="47" spans="1:37" x14ac:dyDescent="0.45">
      <c r="A47" s="35">
        <v>4605.38</v>
      </c>
      <c r="B47" s="1">
        <v>8.237897190876101</v>
      </c>
      <c r="C47" s="1">
        <v>5.0880349236926676</v>
      </c>
      <c r="D47" s="35">
        <v>4605.38</v>
      </c>
      <c r="S47" s="32">
        <v>3615038494046.875</v>
      </c>
      <c r="T47" s="33">
        <v>15347.5</v>
      </c>
      <c r="AA47" s="1">
        <v>5487720</v>
      </c>
      <c r="AB47" s="1">
        <v>136.94282679958641</v>
      </c>
      <c r="AE47" s="1">
        <v>1379.6</v>
      </c>
      <c r="AF47" s="1">
        <v>37.142967032804471</v>
      </c>
      <c r="AJ47" s="1">
        <v>1782.81</v>
      </c>
      <c r="AK47" s="1">
        <v>42.223334780663642</v>
      </c>
    </row>
    <row r="48" spans="1:37" x14ac:dyDescent="0.45">
      <c r="A48" s="35">
        <v>4567</v>
      </c>
      <c r="B48" s="1">
        <v>8.2206801856958176</v>
      </c>
      <c r="C48" s="1">
        <v>5.0841831116480956</v>
      </c>
      <c r="D48" s="35">
        <v>4567</v>
      </c>
      <c r="S48" s="32">
        <v>3671579057644.5112</v>
      </c>
      <c r="T48" s="33">
        <v>15427.1</v>
      </c>
      <c r="AA48" s="1">
        <v>5457290</v>
      </c>
      <c r="AB48" s="1">
        <v>136.85479962307184</v>
      </c>
      <c r="AE48" s="1">
        <v>1497</v>
      </c>
      <c r="AF48" s="1">
        <v>38.691084244306204</v>
      </c>
      <c r="AJ48" s="1">
        <v>1773.78</v>
      </c>
      <c r="AK48" s="1">
        <v>42.116267640900944</v>
      </c>
    </row>
    <row r="49" spans="1:37" x14ac:dyDescent="0.45">
      <c r="A49" s="35">
        <v>4766.18</v>
      </c>
      <c r="B49" s="1">
        <v>8.3088823573039203</v>
      </c>
      <c r="C49" s="1">
        <v>5.1038217985734731</v>
      </c>
      <c r="D49" s="35">
        <v>4766.18</v>
      </c>
      <c r="S49" s="32">
        <v>3719120075252.5039</v>
      </c>
      <c r="T49" s="33">
        <v>15493.4</v>
      </c>
      <c r="AA49" s="1">
        <v>5485938</v>
      </c>
      <c r="AB49" s="1">
        <v>136.93768465439209</v>
      </c>
      <c r="AE49" s="1">
        <v>1299.5</v>
      </c>
      <c r="AF49" s="1">
        <v>36.04857833535187</v>
      </c>
      <c r="AJ49" s="1">
        <v>1828.39</v>
      </c>
      <c r="AK49" s="1">
        <v>42.759677267257295</v>
      </c>
    </row>
    <row r="50" spans="1:37" x14ac:dyDescent="0.45">
      <c r="A50" s="35">
        <v>4515.55</v>
      </c>
      <c r="B50" s="1">
        <v>8.1974290010503914</v>
      </c>
      <c r="C50" s="1">
        <v>5.0789670562642266</v>
      </c>
      <c r="D50" s="35">
        <v>4515.55</v>
      </c>
      <c r="S50" s="32">
        <v>4121396307937</v>
      </c>
      <c r="T50" s="33">
        <v>16033</v>
      </c>
      <c r="AA50" s="1">
        <v>5402623</v>
      </c>
      <c r="AB50" s="1">
        <v>136.69548388555114</v>
      </c>
      <c r="AE50" s="1">
        <v>1108</v>
      </c>
      <c r="AF50" s="1">
        <v>33.286633954186478</v>
      </c>
      <c r="AJ50" s="1">
        <v>1796.47</v>
      </c>
      <c r="AK50" s="1">
        <v>42.384785005942874</v>
      </c>
    </row>
    <row r="51" spans="1:37" x14ac:dyDescent="0.45">
      <c r="A51" s="35">
        <v>4373.9399999999996</v>
      </c>
      <c r="B51" s="1">
        <v>8.1323901433944119</v>
      </c>
      <c r="C51" s="1">
        <v>5.0642886731375416</v>
      </c>
      <c r="D51" s="35">
        <v>4373.9399999999996</v>
      </c>
      <c r="S51" s="32">
        <v>4969832847035.0762</v>
      </c>
      <c r="T51" s="33">
        <v>17065.3</v>
      </c>
      <c r="AA51" s="1">
        <v>5421654</v>
      </c>
      <c r="AB51" s="1">
        <v>136.75111867050194</v>
      </c>
      <c r="AE51" s="1">
        <v>1113.3</v>
      </c>
      <c r="AF51" s="1">
        <v>33.366150512158278</v>
      </c>
      <c r="AJ51" s="1">
        <v>1907.9</v>
      </c>
      <c r="AK51" s="1">
        <v>43.679514649318165</v>
      </c>
    </row>
    <row r="52" spans="1:37" x14ac:dyDescent="0.45">
      <c r="A52" s="35">
        <v>4530.41</v>
      </c>
      <c r="B52" s="1">
        <v>8.2041648226147625</v>
      </c>
      <c r="C52" s="1">
        <v>5.080479828967273</v>
      </c>
      <c r="D52" s="35">
        <v>4530.41</v>
      </c>
      <c r="S52" s="32">
        <v>5767021628028.29</v>
      </c>
      <c r="T52" s="33">
        <v>17932.900000000001</v>
      </c>
      <c r="AA52" s="1">
        <v>5478233</v>
      </c>
      <c r="AB52" s="1">
        <v>136.91543282413573</v>
      </c>
      <c r="AE52" s="1">
        <v>1239.3</v>
      </c>
      <c r="AF52" s="1">
        <v>35.203692988094303</v>
      </c>
      <c r="AJ52" s="1">
        <v>1937.23</v>
      </c>
      <c r="AK52" s="1">
        <v>44.013975053385032</v>
      </c>
    </row>
    <row r="53" spans="1:37" x14ac:dyDescent="0.45">
      <c r="A53" s="35">
        <v>4131.93</v>
      </c>
      <c r="B53" s="1">
        <v>8.0174865282193881</v>
      </c>
      <c r="C53" s="1">
        <v>5.0380342834576091</v>
      </c>
      <c r="D53" s="35">
        <v>4131.93</v>
      </c>
      <c r="S53" s="32">
        <v>6012980050484.1064</v>
      </c>
      <c r="T53" s="33">
        <v>18184.3</v>
      </c>
      <c r="AA53" s="1">
        <v>5484148</v>
      </c>
      <c r="AB53" s="1">
        <v>136.93251782859178</v>
      </c>
      <c r="AE53" s="1">
        <v>891.7</v>
      </c>
      <c r="AF53" s="1">
        <v>29.861346252304166</v>
      </c>
      <c r="AJ53" s="1">
        <v>1896.4</v>
      </c>
      <c r="AK53" s="1">
        <v>43.547675024046924</v>
      </c>
    </row>
    <row r="54" spans="1:37" x14ac:dyDescent="0.45">
      <c r="A54" s="35">
        <v>4132.1499999999996</v>
      </c>
      <c r="B54" s="1">
        <v>8.0175932466185085</v>
      </c>
      <c r="C54" s="1">
        <v>5.038058861597162</v>
      </c>
      <c r="D54" s="35">
        <v>4132.1499999999996</v>
      </c>
      <c r="S54" s="32">
        <v>6164121160845.8652</v>
      </c>
      <c r="T54" s="33">
        <v>18335.400000000001</v>
      </c>
      <c r="AA54" s="1">
        <v>5518684</v>
      </c>
      <c r="AB54" s="1">
        <v>137.03192459062632</v>
      </c>
      <c r="AE54" s="1">
        <v>958</v>
      </c>
      <c r="AF54" s="1">
        <v>30.951575081084322</v>
      </c>
      <c r="AJ54" s="1">
        <v>1837.09</v>
      </c>
      <c r="AK54" s="1">
        <v>42.861287894789164</v>
      </c>
    </row>
    <row r="55" spans="1:37" x14ac:dyDescent="0.45">
      <c r="A55" s="35">
        <v>3785.38</v>
      </c>
      <c r="B55" s="1">
        <v>7.8438155187352736</v>
      </c>
      <c r="C55" s="1">
        <v>4.9975458865896902</v>
      </c>
      <c r="D55" s="35">
        <v>3785.38</v>
      </c>
      <c r="S55" s="32">
        <v>6240886541692.9287</v>
      </c>
      <c r="T55" s="33">
        <v>18411.2</v>
      </c>
      <c r="AA55" s="1">
        <v>5579913</v>
      </c>
      <c r="AB55" s="1">
        <v>137.20672108966605</v>
      </c>
      <c r="AE55" s="1">
        <v>1187.4000000000001</v>
      </c>
      <c r="AF55" s="1">
        <v>34.458670897177683</v>
      </c>
      <c r="AJ55" s="1">
        <v>1806.89</v>
      </c>
      <c r="AK55" s="1">
        <v>42.50752874491765</v>
      </c>
    </row>
    <row r="56" spans="1:37" x14ac:dyDescent="0.45">
      <c r="A56" s="35">
        <v>4130.29</v>
      </c>
      <c r="B56" s="1">
        <v>8.0166908567401993</v>
      </c>
      <c r="C56" s="1">
        <v>5.0378510221757828</v>
      </c>
      <c r="D56" s="35">
        <v>4130.29</v>
      </c>
      <c r="S56" s="32">
        <v>6437451048765.625</v>
      </c>
      <c r="T56" s="33">
        <v>18602.5</v>
      </c>
      <c r="AA56" s="1">
        <v>5561622</v>
      </c>
      <c r="AB56" s="1">
        <v>137.15469536873979</v>
      </c>
      <c r="AE56" s="1">
        <v>998.6</v>
      </c>
      <c r="AF56" s="1">
        <v>31.60063290505429</v>
      </c>
      <c r="AJ56" s="1">
        <v>1765.22</v>
      </c>
      <c r="AK56" s="1">
        <v>42.014521299188928</v>
      </c>
    </row>
    <row r="57" spans="1:37" x14ac:dyDescent="0.45">
      <c r="A57" s="35">
        <v>3955</v>
      </c>
      <c r="B57" s="1">
        <v>7.9302453136154938</v>
      </c>
      <c r="C57" s="1">
        <v>5.0178190234932369</v>
      </c>
      <c r="D57" s="35">
        <v>3955</v>
      </c>
      <c r="S57" s="32">
        <v>6599815749438.9746</v>
      </c>
      <c r="T57" s="33">
        <v>18757.599999999999</v>
      </c>
      <c r="AA57" s="1">
        <v>5582532</v>
      </c>
      <c r="AB57" s="1">
        <v>137.21415715385086</v>
      </c>
      <c r="AE57" s="1">
        <v>1138.5999999999999</v>
      </c>
      <c r="AF57" s="1">
        <v>33.743147452482852</v>
      </c>
      <c r="AJ57" s="1">
        <v>1710.7</v>
      </c>
      <c r="AK57" s="1">
        <v>41.360609279844994</v>
      </c>
    </row>
    <row r="58" spans="1:37" x14ac:dyDescent="0.45">
      <c r="A58" s="35">
        <v>3585.62</v>
      </c>
      <c r="B58" s="1">
        <v>7.7382198702394582</v>
      </c>
      <c r="C58" s="1">
        <v>4.9724363902640061</v>
      </c>
      <c r="D58" s="35">
        <v>3585.62</v>
      </c>
      <c r="S58" s="32">
        <v>6855751512973</v>
      </c>
      <c r="T58" s="33">
        <v>18997</v>
      </c>
      <c r="AA58" s="1">
        <v>5647796</v>
      </c>
      <c r="AB58" s="1">
        <v>137.39839858356547</v>
      </c>
      <c r="AE58" s="1">
        <v>1061.5</v>
      </c>
      <c r="AF58" s="1">
        <v>32.580669115289822</v>
      </c>
      <c r="AJ58" s="1">
        <v>1659.67</v>
      </c>
      <c r="AK58" s="1">
        <v>40.739047607915431</v>
      </c>
    </row>
    <row r="59" spans="1:37" x14ac:dyDescent="0.45">
      <c r="A59" s="35">
        <v>3871.98</v>
      </c>
      <c r="B59" s="1">
        <v>7.8882974106027488</v>
      </c>
      <c r="C59" s="1">
        <v>5.0080105715700984</v>
      </c>
      <c r="D59" s="35">
        <v>3871.98</v>
      </c>
      <c r="S59" s="32">
        <v>6985067678746.8936</v>
      </c>
      <c r="T59" s="33">
        <v>19115.7</v>
      </c>
      <c r="AA59" s="1">
        <v>5652921</v>
      </c>
      <c r="AB59" s="1">
        <v>137.41278087448262</v>
      </c>
      <c r="AE59" s="1">
        <v>1055.9000000000001</v>
      </c>
      <c r="AF59" s="1">
        <v>32.494614938478655</v>
      </c>
      <c r="AJ59" s="1">
        <v>1633.12</v>
      </c>
      <c r="AK59" s="1">
        <v>40.41187944157015</v>
      </c>
    </row>
    <row r="60" spans="1:37" x14ac:dyDescent="0.45">
      <c r="A60" s="35">
        <v>4080.11</v>
      </c>
      <c r="B60" s="1">
        <v>7.992229898049847</v>
      </c>
      <c r="C60" s="1">
        <v>5.0322071985133752</v>
      </c>
      <c r="D60" s="35">
        <v>4080.11</v>
      </c>
      <c r="S60" s="32">
        <v>7277698976939</v>
      </c>
      <c r="T60" s="33">
        <v>19379</v>
      </c>
      <c r="AA60" s="1">
        <v>5694493</v>
      </c>
      <c r="AB60" s="1">
        <v>137.52898925532131</v>
      </c>
      <c r="AE60" s="1">
        <v>1103</v>
      </c>
      <c r="AF60" s="1">
        <v>33.211443810831227</v>
      </c>
      <c r="AJ60" s="1">
        <v>1768.45</v>
      </c>
      <c r="AK60" s="1">
        <v>42.052942822114126</v>
      </c>
    </row>
    <row r="61" spans="1:37" x14ac:dyDescent="0.45">
      <c r="A61" s="35">
        <v>3839.5</v>
      </c>
      <c r="B61" s="1">
        <v>7.8717024238935167</v>
      </c>
      <c r="C61" s="1">
        <v>5.0041141934276121</v>
      </c>
      <c r="D61" s="35">
        <v>3839.5</v>
      </c>
      <c r="S61" s="32">
        <v>7577812474746.6309</v>
      </c>
      <c r="T61" s="33">
        <v>19641.8</v>
      </c>
      <c r="AA61" s="1">
        <v>5756765</v>
      </c>
      <c r="AB61" s="1">
        <v>137.70156397592481</v>
      </c>
      <c r="AE61" s="1">
        <v>1250.2</v>
      </c>
      <c r="AF61" s="1">
        <v>35.358167373324086</v>
      </c>
      <c r="AJ61" s="1">
        <v>1824.4</v>
      </c>
      <c r="AK61" s="1">
        <v>42.712995680471771</v>
      </c>
    </row>
    <row r="62" spans="1:37" x14ac:dyDescent="0.45">
      <c r="A62" s="35">
        <v>4076.6</v>
      </c>
      <c r="B62" s="1">
        <v>7.9905104725110263</v>
      </c>
      <c r="C62" s="1">
        <v>5.031809755577382</v>
      </c>
      <c r="D62" s="35">
        <v>4076.6</v>
      </c>
      <c r="S62" s="32">
        <v>7848802655679.1689</v>
      </c>
      <c r="T62" s="33">
        <v>19873.2</v>
      </c>
      <c r="AA62" s="1">
        <v>5701242</v>
      </c>
      <c r="AB62" s="1">
        <v>137.54777909170897</v>
      </c>
      <c r="AE62" s="1">
        <v>1278.5999999999999</v>
      </c>
      <c r="AF62" s="1">
        <v>35.757516692298417</v>
      </c>
      <c r="AJ62" s="1">
        <v>1927.88</v>
      </c>
      <c r="AK62" s="1">
        <v>43.90763031638123</v>
      </c>
    </row>
    <row r="63" spans="1:37" x14ac:dyDescent="0.45">
      <c r="A63" s="35">
        <v>3970.15</v>
      </c>
      <c r="B63" s="1">
        <v>7.9378288166914404</v>
      </c>
      <c r="C63" s="1">
        <v>5.0195860604121068</v>
      </c>
      <c r="D63" s="35">
        <v>3970.15</v>
      </c>
      <c r="S63" s="32">
        <v>8214163152439.6104</v>
      </c>
      <c r="T63" s="33">
        <v>20176.900000000001</v>
      </c>
      <c r="AA63" s="1">
        <v>5750441</v>
      </c>
      <c r="AB63" s="1">
        <v>137.68411927061288</v>
      </c>
      <c r="AE63" s="1">
        <v>1208.5999999999999</v>
      </c>
      <c r="AF63" s="1">
        <v>34.7649248525004</v>
      </c>
      <c r="AJ63" s="1">
        <v>1827.15</v>
      </c>
      <c r="AK63" s="1">
        <v>42.74517516632725</v>
      </c>
    </row>
    <row r="64" spans="1:37" x14ac:dyDescent="0.45">
      <c r="A64" s="35">
        <v>4109.3100000000004</v>
      </c>
      <c r="B64" s="1">
        <v>8.0064911189210246</v>
      </c>
      <c r="C64" s="1">
        <v>5.0354999938591254</v>
      </c>
      <c r="D64" s="35">
        <v>4109.3100000000004</v>
      </c>
      <c r="S64" s="32">
        <v>8565295679740.8662</v>
      </c>
      <c r="T64" s="33">
        <v>20460.400000000001</v>
      </c>
      <c r="AA64" s="1">
        <v>5850754</v>
      </c>
      <c r="AB64" s="1">
        <v>137.95871027645691</v>
      </c>
      <c r="AE64" s="1">
        <v>1516.2</v>
      </c>
      <c r="AF64" s="1">
        <v>38.938412910646477</v>
      </c>
      <c r="AJ64" s="1">
        <v>1967.9</v>
      </c>
      <c r="AK64" s="1">
        <v>44.361018924276301</v>
      </c>
    </row>
    <row r="65" spans="1:37" x14ac:dyDescent="0.45">
      <c r="A65" s="35">
        <v>4169.4799999999996</v>
      </c>
      <c r="B65" s="1">
        <v>8.0356400333662901</v>
      </c>
      <c r="C65" s="1">
        <v>5.0422099547038686</v>
      </c>
      <c r="D65" s="35">
        <v>4169.4799999999996</v>
      </c>
      <c r="S65" s="32">
        <v>8587166648718.9512</v>
      </c>
      <c r="T65" s="33">
        <v>20477.8</v>
      </c>
      <c r="AA65" s="1">
        <v>5971706</v>
      </c>
      <c r="AB65" s="1">
        <v>138.28391674179957</v>
      </c>
      <c r="AE65" s="1">
        <v>1036.2</v>
      </c>
      <c r="AF65" s="1">
        <v>32.190060577762196</v>
      </c>
      <c r="AJ65" s="1">
        <v>1989.65</v>
      </c>
      <c r="AK65" s="1">
        <v>44.605492935287693</v>
      </c>
    </row>
    <row r="66" spans="1:37" x14ac:dyDescent="0.45">
      <c r="A66" s="35">
        <v>4179.83</v>
      </c>
      <c r="B66" s="1">
        <v>8.0406221634356747</v>
      </c>
      <c r="C66" s="1">
        <v>5.0433541075552615</v>
      </c>
      <c r="D66" s="35">
        <v>4179.83</v>
      </c>
      <c r="S66" s="32">
        <v>8784278130328.0361</v>
      </c>
      <c r="T66" s="33">
        <v>20633.3</v>
      </c>
      <c r="AA66" s="1">
        <v>5996764</v>
      </c>
      <c r="AB66" s="1">
        <v>138.35050838569728</v>
      </c>
      <c r="AE66" s="1">
        <v>1294.4000000000001</v>
      </c>
      <c r="AF66" s="1">
        <v>35.977770914830174</v>
      </c>
      <c r="AJ66" s="1">
        <v>1962.3</v>
      </c>
      <c r="AK66" s="1">
        <v>44.297855478566902</v>
      </c>
    </row>
    <row r="67" spans="1:37" x14ac:dyDescent="0.45">
      <c r="A67" s="35">
        <v>4450.38</v>
      </c>
      <c r="B67" s="1">
        <v>8.167690523045529</v>
      </c>
      <c r="C67" s="1">
        <v>5.0722716298371662</v>
      </c>
      <c r="D67" s="35">
        <v>4450.38</v>
      </c>
      <c r="S67" s="32">
        <v>9052101379761.9316</v>
      </c>
      <c r="T67" s="33">
        <v>20840.900000000001</v>
      </c>
      <c r="AA67" s="1">
        <v>6160022</v>
      </c>
      <c r="AB67" s="1">
        <v>138.7780083401309</v>
      </c>
      <c r="AE67" s="1">
        <v>1276.3</v>
      </c>
      <c r="AF67" s="1">
        <v>35.725341146026864</v>
      </c>
      <c r="AJ67" s="1">
        <v>1919.57</v>
      </c>
      <c r="AK67" s="1">
        <v>43.812897644415166</v>
      </c>
    </row>
    <row r="68" spans="1:37" x14ac:dyDescent="0.45">
      <c r="A68" s="35">
        <v>4588.96</v>
      </c>
      <c r="B68" s="1">
        <v>8.23054451297069</v>
      </c>
      <c r="C68" s="1">
        <v>5.0863910691471821</v>
      </c>
      <c r="D68" s="35">
        <v>4588.96</v>
      </c>
      <c r="S68" s="32">
        <v>9235885736141</v>
      </c>
      <c r="T68" s="33">
        <v>20981</v>
      </c>
      <c r="AA68" s="1">
        <v>6142067</v>
      </c>
      <c r="AB68" s="1">
        <v>138.73152200198098</v>
      </c>
      <c r="AE68" s="1">
        <v>1165</v>
      </c>
      <c r="AF68" s="1">
        <v>34.132096331752024</v>
      </c>
      <c r="AJ68" s="1">
        <v>1964.19</v>
      </c>
      <c r="AK68" s="1">
        <v>44.319183205469841</v>
      </c>
    </row>
    <row r="69" spans="1:37" x14ac:dyDescent="0.45">
      <c r="A69" s="35">
        <v>4507.66</v>
      </c>
      <c r="B69" s="1">
        <v>8.1938458197535731</v>
      </c>
      <c r="C69" s="1">
        <v>5.078161759444856</v>
      </c>
      <c r="D69" s="35">
        <v>4507.66</v>
      </c>
      <c r="S69" s="32">
        <v>9475102860933.0137</v>
      </c>
      <c r="T69" s="33">
        <v>21160.6</v>
      </c>
      <c r="AA69" s="1">
        <v>6160208</v>
      </c>
      <c r="AB69" s="1">
        <v>138.778489229466</v>
      </c>
      <c r="AE69" s="1">
        <v>1233.5999999999999</v>
      </c>
      <c r="AF69" s="1">
        <v>35.122642269624308</v>
      </c>
      <c r="AJ69" s="1">
        <v>1939.74</v>
      </c>
      <c r="AK69" s="1">
        <v>44.042479494233746</v>
      </c>
    </row>
    <row r="70" spans="1:37" x14ac:dyDescent="0.45">
      <c r="A70" s="35">
        <v>4288.05</v>
      </c>
      <c r="B70" s="1">
        <v>8.0921692983637143</v>
      </c>
      <c r="C70" s="1">
        <v>5.0551458394696613</v>
      </c>
      <c r="D70" s="35">
        <v>4288.05</v>
      </c>
      <c r="S70" s="32">
        <v>9711995559713.875</v>
      </c>
      <c r="T70" s="33">
        <v>21335.5</v>
      </c>
      <c r="AA70" s="1">
        <v>6257749</v>
      </c>
      <c r="AB70" s="1">
        <v>139.02879483604696</v>
      </c>
      <c r="AE70" s="1">
        <v>1455</v>
      </c>
      <c r="AF70" s="1">
        <v>38.144462245521304</v>
      </c>
      <c r="AJ70" s="1">
        <v>1848.31</v>
      </c>
      <c r="AK70" s="1">
        <v>42.991975995527348</v>
      </c>
    </row>
    <row r="71" spans="1:37" x14ac:dyDescent="0.45">
      <c r="A71" s="35">
        <v>4193.8</v>
      </c>
      <c r="B71" s="1">
        <v>8.047332183991827</v>
      </c>
      <c r="C71" s="1">
        <v>5.0448938255980806</v>
      </c>
      <c r="D71" s="35">
        <v>4193.8</v>
      </c>
      <c r="S71" s="32">
        <v>9936295020121.625</v>
      </c>
      <c r="T71" s="33">
        <v>21498.5</v>
      </c>
      <c r="AA71" s="1">
        <v>6315621</v>
      </c>
      <c r="AB71" s="1">
        <v>139.1755586680917</v>
      </c>
      <c r="AE71" s="1">
        <v>1488.2</v>
      </c>
      <c r="AF71" s="1">
        <v>38.577195336104985</v>
      </c>
      <c r="AJ71" s="1">
        <v>1982.7</v>
      </c>
      <c r="AK71" s="1">
        <v>44.527519580591957</v>
      </c>
    </row>
    <row r="72" spans="1:37" x14ac:dyDescent="0.45">
      <c r="A72" s="35">
        <v>4567.8</v>
      </c>
      <c r="B72" s="1">
        <v>8.2210401655616199</v>
      </c>
      <c r="C72" s="1">
        <v>5.0842637386664515</v>
      </c>
      <c r="D72" s="35">
        <v>4567.8</v>
      </c>
      <c r="S72" s="32">
        <v>10147982742399.498</v>
      </c>
      <c r="T72" s="33">
        <v>21650.1</v>
      </c>
      <c r="AA72" s="1">
        <v>6319045</v>
      </c>
      <c r="AB72" s="1">
        <v>139.18420190758457</v>
      </c>
      <c r="AE72" s="1">
        <v>1295.8</v>
      </c>
      <c r="AF72" s="1">
        <v>35.997222115046597</v>
      </c>
      <c r="AJ72" s="1">
        <v>2035.75</v>
      </c>
      <c r="AK72" s="1">
        <v>45.119286341873803</v>
      </c>
    </row>
    <row r="73" spans="1:37" x14ac:dyDescent="0.45">
      <c r="A73" s="35">
        <v>4769.83</v>
      </c>
      <c r="B73" s="1">
        <v>8.3104726620696976</v>
      </c>
      <c r="C73" s="1">
        <v>5.104173757535273</v>
      </c>
      <c r="D73" s="35">
        <v>4769.83</v>
      </c>
      <c r="S73" s="32">
        <v>10253953641107.01</v>
      </c>
      <c r="T73" s="33">
        <v>21725.200000000001</v>
      </c>
      <c r="AA73" s="1">
        <v>6388783</v>
      </c>
      <c r="AB73" s="1">
        <v>139.35928164376966</v>
      </c>
      <c r="AE73" s="1">
        <v>1496.5</v>
      </c>
      <c r="AF73" s="1">
        <v>38.684622267769399</v>
      </c>
      <c r="AJ73" s="1">
        <v>2062.59</v>
      </c>
      <c r="AK73" s="1">
        <v>45.415746168041764</v>
      </c>
    </row>
    <row r="74" spans="1:37" x14ac:dyDescent="0.45">
      <c r="A74" s="35">
        <v>4845.6499999999996</v>
      </c>
      <c r="B74" s="1">
        <v>8.3433028951375636</v>
      </c>
      <c r="C74" s="1">
        <v>5.1114229097280903</v>
      </c>
      <c r="D74" s="35">
        <v>4845.6499999999996</v>
      </c>
      <c r="S74" s="32">
        <v>10341993497038.85</v>
      </c>
      <c r="T74" s="33">
        <v>21787.200000000001</v>
      </c>
      <c r="AA74" s="1">
        <v>6284775</v>
      </c>
      <c r="AB74" s="1">
        <v>139.09749262266524</v>
      </c>
      <c r="AE74" s="1">
        <v>1342.7</v>
      </c>
      <c r="AF74" s="1">
        <v>36.64287106655263</v>
      </c>
      <c r="AJ74" s="1">
        <v>2037.19</v>
      </c>
      <c r="AK74" s="1">
        <v>45.135241220137509</v>
      </c>
    </row>
    <row r="75" spans="1:37" x14ac:dyDescent="0.45">
      <c r="A75" s="35">
        <v>5096.2700000000004</v>
      </c>
      <c r="B75" s="1">
        <v>8.4491516902660138</v>
      </c>
      <c r="C75" s="1">
        <v>5.134580954833261</v>
      </c>
      <c r="D75" s="35">
        <v>5096.2700000000004</v>
      </c>
      <c r="S75" s="32">
        <v>10316666177291.387</v>
      </c>
      <c r="T75" s="33">
        <v>21769.4</v>
      </c>
      <c r="AA75" s="1">
        <v>6350584</v>
      </c>
      <c r="AB75" s="1">
        <v>139.26360771335166</v>
      </c>
      <c r="AE75" s="1">
        <v>1388.8</v>
      </c>
      <c r="AF75" s="1">
        <v>37.266607036326768</v>
      </c>
      <c r="AJ75" s="1">
        <v>2043.24</v>
      </c>
      <c r="AK75" s="1">
        <v>45.202212335238634</v>
      </c>
    </row>
    <row r="76" spans="1:37" x14ac:dyDescent="0.45">
      <c r="A76" s="35">
        <v>5254.35</v>
      </c>
      <c r="B76" s="1">
        <v>8.5139236176612307</v>
      </c>
      <c r="C76" s="1">
        <v>5.1485935973408932</v>
      </c>
      <c r="D76" s="35">
        <v>5254.35</v>
      </c>
      <c r="S76" s="32">
        <v>10246450921131.602</v>
      </c>
      <c r="T76" s="33">
        <v>21719.9</v>
      </c>
      <c r="AA76" s="1">
        <v>6426672</v>
      </c>
      <c r="AB76" s="1">
        <v>139.45364418263048</v>
      </c>
      <c r="AE76" s="1">
        <v>1256.0999999999999</v>
      </c>
      <c r="AF76" s="1">
        <v>35.441501096877936</v>
      </c>
      <c r="AJ76" s="1">
        <v>2232.38</v>
      </c>
      <c r="AK76" s="1">
        <v>47.24806874360052</v>
      </c>
    </row>
    <row r="77" spans="1:37" x14ac:dyDescent="0.45">
      <c r="A77" s="35">
        <v>5035.6899999999996</v>
      </c>
      <c r="B77" s="1">
        <v>8.4239299487328267</v>
      </c>
      <c r="C77" s="1">
        <v>5.1290922128849514</v>
      </c>
      <c r="D77" s="35">
        <v>5035.6899999999996</v>
      </c>
      <c r="S77" s="32">
        <v>10149951522390.875</v>
      </c>
      <c r="T77" s="33">
        <v>21651.5</v>
      </c>
      <c r="AA77" s="1">
        <v>6454414</v>
      </c>
      <c r="AB77" s="1">
        <v>139.52240129569054</v>
      </c>
      <c r="AE77" s="1">
        <v>1178.8</v>
      </c>
      <c r="AF77" s="1">
        <v>34.33365695640358</v>
      </c>
      <c r="AJ77" s="1">
        <v>2285.5700000000002</v>
      </c>
      <c r="AK77" s="1">
        <v>47.807635373442182</v>
      </c>
    </row>
    <row r="78" spans="1:37" x14ac:dyDescent="0.45">
      <c r="A78" s="35">
        <v>5277.51</v>
      </c>
      <c r="B78" s="1">
        <v>8.5232900179002797</v>
      </c>
      <c r="C78" s="1">
        <v>5.150610104095902</v>
      </c>
      <c r="D78" s="35">
        <v>5277.51</v>
      </c>
      <c r="S78" s="32">
        <v>10151920557003.891</v>
      </c>
      <c r="T78" s="33">
        <v>21652.9</v>
      </c>
      <c r="AA78" s="1">
        <v>6563473</v>
      </c>
      <c r="AB78" s="1">
        <v>139.79000643239485</v>
      </c>
      <c r="AE78" s="1">
        <v>1633.1</v>
      </c>
      <c r="AF78" s="1">
        <v>40.411631988822229</v>
      </c>
      <c r="AJ78" s="1">
        <v>2326.9699999999998</v>
      </c>
      <c r="AK78" s="1">
        <v>48.238677427972668</v>
      </c>
    </row>
    <row r="79" spans="1:37" x14ac:dyDescent="0.45">
      <c r="A79" s="35">
        <v>5460.48</v>
      </c>
      <c r="B79" s="1">
        <v>8.5962236318068843</v>
      </c>
      <c r="C79" s="1">
        <v>5.1662283988117883</v>
      </c>
      <c r="D79" s="35">
        <v>5460.48</v>
      </c>
      <c r="S79" s="32">
        <v>10131539320111.105</v>
      </c>
      <c r="T79" s="33">
        <v>21638.400000000001</v>
      </c>
      <c r="AA79" s="1">
        <v>6637662</v>
      </c>
      <c r="AB79" s="1">
        <v>139.96964669289576</v>
      </c>
      <c r="AE79" s="1">
        <v>1646.7</v>
      </c>
      <c r="AF79" s="1">
        <v>40.579551500725088</v>
      </c>
      <c r="AJ79" s="1">
        <v>2325.71</v>
      </c>
      <c r="AK79" s="1">
        <v>48.225615600010748</v>
      </c>
    </row>
    <row r="80" spans="1:37" x14ac:dyDescent="0.45">
      <c r="A80" s="35">
        <v>5522.3</v>
      </c>
      <c r="B80" s="1">
        <v>8.6204512266879156</v>
      </c>
      <c r="C80" s="1">
        <v>5.171384061696739</v>
      </c>
      <c r="D80" s="35">
        <v>5522.3</v>
      </c>
      <c r="S80" s="32">
        <v>9989355648835.8633</v>
      </c>
      <c r="T80" s="33">
        <v>21536.7</v>
      </c>
      <c r="AA80" s="1">
        <v>6659948</v>
      </c>
      <c r="AB80" s="1">
        <v>140.02323746479544</v>
      </c>
      <c r="AE80" s="1">
        <v>1416.5</v>
      </c>
      <c r="AF80" s="1">
        <v>37.636418533117627</v>
      </c>
      <c r="AJ80" s="1">
        <v>2448.1</v>
      </c>
      <c r="AK80" s="1">
        <v>49.478278062196139</v>
      </c>
    </row>
    <row r="81" spans="1:37" x14ac:dyDescent="0.45">
      <c r="A81" s="35">
        <v>5648.4</v>
      </c>
      <c r="B81" s="1">
        <v>8.6692466856460104</v>
      </c>
      <c r="C81" s="1">
        <v>5.1817191528549822</v>
      </c>
      <c r="D81" s="35">
        <v>5648.4</v>
      </c>
      <c r="S81" s="32">
        <v>9885357033223.1133</v>
      </c>
      <c r="T81" s="33">
        <v>21461.7</v>
      </c>
      <c r="AA81" s="1">
        <v>6710456</v>
      </c>
      <c r="AB81" s="1">
        <v>140.14406571451181</v>
      </c>
      <c r="AE81" s="1">
        <v>1423.7</v>
      </c>
      <c r="AF81" s="1">
        <v>37.731949326797313</v>
      </c>
      <c r="AJ81" s="1">
        <v>2503.0300000000002</v>
      </c>
      <c r="AK81" s="1">
        <v>50.030290824659417</v>
      </c>
    </row>
    <row r="82" spans="1:37" x14ac:dyDescent="0.45">
      <c r="A82" s="24"/>
      <c r="B82" s="24"/>
      <c r="D82" s="24"/>
      <c r="S82" s="32">
        <v>9809551878238.7637</v>
      </c>
      <c r="T82" s="33">
        <v>21406.7</v>
      </c>
      <c r="AA82" s="1">
        <v>6804766</v>
      </c>
      <c r="AB82" s="1">
        <v>140.36738609269653</v>
      </c>
      <c r="AE82" s="1">
        <v>1320.2</v>
      </c>
      <c r="AF82" s="1">
        <v>36.334556554332679</v>
      </c>
    </row>
    <row r="83" spans="1:37" x14ac:dyDescent="0.45">
      <c r="A83" s="24"/>
      <c r="B83" s="24"/>
      <c r="D83" s="24"/>
      <c r="S83" s="32">
        <v>9651216553805.4316</v>
      </c>
      <c r="T83" s="33">
        <v>21290.9</v>
      </c>
      <c r="AA83" s="1">
        <v>6863237</v>
      </c>
      <c r="AB83" s="1">
        <v>140.50437065445752</v>
      </c>
      <c r="AE83" s="1">
        <v>1545.3</v>
      </c>
      <c r="AF83" s="1">
        <v>39.310303992719263</v>
      </c>
    </row>
    <row r="84" spans="1:37" x14ac:dyDescent="0.45">
      <c r="A84" s="24"/>
      <c r="B84" s="24"/>
      <c r="D84" s="24"/>
      <c r="S84" s="32">
        <v>9636265301118.4004</v>
      </c>
      <c r="T84" s="33">
        <v>21279.9</v>
      </c>
      <c r="AA84" s="1">
        <v>6931419</v>
      </c>
      <c r="AB84" s="1">
        <v>140.66271331367301</v>
      </c>
      <c r="AE84" s="1">
        <v>1312.9</v>
      </c>
      <c r="AF84" s="1">
        <v>36.23396196940103</v>
      </c>
    </row>
    <row r="85" spans="1:37" x14ac:dyDescent="0.45">
      <c r="A85" s="24"/>
      <c r="B85" s="24"/>
      <c r="D85" s="24"/>
      <c r="S85" s="32">
        <v>9587171123737.4531</v>
      </c>
      <c r="T85" s="33">
        <v>21243.7</v>
      </c>
      <c r="AA85" s="1">
        <v>7046415</v>
      </c>
      <c r="AB85" s="1">
        <v>140.9264536313498</v>
      </c>
      <c r="AE85" s="1">
        <v>1706.8</v>
      </c>
      <c r="AF85" s="1">
        <v>41.313436071089512</v>
      </c>
    </row>
    <row r="86" spans="1:37" x14ac:dyDescent="0.45">
      <c r="A86" s="24"/>
      <c r="B86" s="24"/>
      <c r="D86" s="24"/>
      <c r="S86" s="32">
        <v>9191584360348.4258</v>
      </c>
      <c r="T86" s="33">
        <v>20947.400000000001</v>
      </c>
      <c r="AA86" s="1">
        <v>7010482</v>
      </c>
      <c r="AB86" s="1">
        <v>140.84448401208093</v>
      </c>
      <c r="AE86" s="1">
        <v>1131.3</v>
      </c>
      <c r="AF86" s="1">
        <v>33.634803403617511</v>
      </c>
    </row>
    <row r="87" spans="1:37" x14ac:dyDescent="0.45">
      <c r="A87" s="24"/>
      <c r="B87" s="24"/>
      <c r="D87" s="24"/>
      <c r="S87" s="32">
        <v>8948905203991.5449</v>
      </c>
      <c r="T87" s="33">
        <v>20761.400000000001</v>
      </c>
      <c r="AA87" s="1">
        <v>7048499</v>
      </c>
      <c r="AB87" s="1">
        <v>140.93119542222541</v>
      </c>
      <c r="AE87" s="1">
        <v>1050.8</v>
      </c>
      <c r="AF87" s="1">
        <v>32.416045409642429</v>
      </c>
    </row>
    <row r="88" spans="1:37" x14ac:dyDescent="0.45">
      <c r="A88" s="24"/>
      <c r="B88" s="24"/>
      <c r="D88" s="24"/>
      <c r="S88" s="32">
        <v>9037385130318.334</v>
      </c>
      <c r="T88" s="33">
        <v>20829.599999999999</v>
      </c>
      <c r="AA88" s="1">
        <v>7189795</v>
      </c>
      <c r="AB88" s="1">
        <v>141.24962507420622</v>
      </c>
      <c r="AE88" s="1">
        <v>1077.4000000000001</v>
      </c>
      <c r="AF88" s="1">
        <v>32.823771873445622</v>
      </c>
    </row>
    <row r="89" spans="1:37" x14ac:dyDescent="0.45">
      <c r="A89" s="24"/>
      <c r="B89" s="24"/>
      <c r="D89" s="24"/>
      <c r="S89" s="32">
        <v>8998133270463.7852</v>
      </c>
      <c r="T89" s="33">
        <v>20799.400000000001</v>
      </c>
      <c r="AA89" s="1">
        <v>7247471</v>
      </c>
      <c r="AB89" s="1">
        <v>141.37790064090623</v>
      </c>
      <c r="AE89" s="1">
        <v>688.1</v>
      </c>
      <c r="AF89" s="1">
        <v>26.231660260075039</v>
      </c>
    </row>
    <row r="90" spans="1:37" x14ac:dyDescent="0.45">
      <c r="A90" s="24"/>
      <c r="B90" s="24"/>
      <c r="D90" s="24"/>
      <c r="S90" s="32">
        <v>8987754502467.9453</v>
      </c>
      <c r="T90" s="33">
        <v>20791.400000000001</v>
      </c>
      <c r="AE90" s="1">
        <v>1054.2</v>
      </c>
      <c r="AF90" s="1">
        <v>32.468446220908078</v>
      </c>
    </row>
    <row r="91" spans="1:37" x14ac:dyDescent="0.45">
      <c r="A91" s="24"/>
      <c r="B91" s="24"/>
      <c r="D91" s="24"/>
      <c r="S91" s="32">
        <v>8969740378609.375</v>
      </c>
      <c r="T91" s="33">
        <v>20777.5</v>
      </c>
      <c r="AE91" s="1">
        <v>714.1</v>
      </c>
      <c r="AF91" s="1">
        <v>26.722649569232466</v>
      </c>
    </row>
    <row r="92" spans="1:37" x14ac:dyDescent="0.45">
      <c r="A92" s="24"/>
      <c r="B92" s="24"/>
      <c r="D92" s="24"/>
      <c r="S92" s="32">
        <v>8931330463779.3516</v>
      </c>
      <c r="T92" s="33">
        <v>20747.8</v>
      </c>
      <c r="AE92" s="1">
        <v>1400.5</v>
      </c>
      <c r="AF92" s="1">
        <v>37.423254802328458</v>
      </c>
    </row>
    <row r="93" spans="1:37" x14ac:dyDescent="0.45">
      <c r="A93" s="24"/>
      <c r="B93" s="24"/>
      <c r="D93" s="24"/>
      <c r="S93" s="32">
        <v>8912102216272.291</v>
      </c>
      <c r="T93" s="33">
        <v>20732.900000000001</v>
      </c>
      <c r="AE93" s="1">
        <v>842.9</v>
      </c>
      <c r="AF93" s="1">
        <v>29.032740139366798</v>
      </c>
    </row>
    <row r="94" spans="1:37" x14ac:dyDescent="0.45">
      <c r="A94" s="24"/>
      <c r="B94" s="24"/>
      <c r="D94" s="24"/>
      <c r="S94" s="32">
        <v>8929522606713.3457</v>
      </c>
      <c r="T94" s="33">
        <v>20746.400000000001</v>
      </c>
      <c r="AE94" s="1">
        <v>803</v>
      </c>
      <c r="AF94" s="1">
        <v>28.337254630609507</v>
      </c>
    </row>
    <row r="95" spans="1:37" x14ac:dyDescent="0.45">
      <c r="A95" s="24"/>
      <c r="B95" s="24"/>
      <c r="D95" s="24"/>
      <c r="S95" s="32">
        <v>8970128918274.9512</v>
      </c>
      <c r="T95" s="33">
        <v>20777.8</v>
      </c>
      <c r="AE95" s="1">
        <v>860</v>
      </c>
      <c r="AF95" s="1">
        <v>29.32575659723036</v>
      </c>
    </row>
    <row r="96" spans="1:37" x14ac:dyDescent="0.45">
      <c r="A96" s="24"/>
      <c r="B96" s="24"/>
      <c r="D96" s="24"/>
      <c r="S96" s="32">
        <v>9055750352109.4531</v>
      </c>
      <c r="T96" s="33">
        <v>20843.7</v>
      </c>
      <c r="AE96" s="1">
        <v>1033.7</v>
      </c>
      <c r="AF96" s="1">
        <v>32.151205265121867</v>
      </c>
    </row>
    <row r="97" spans="1:32" x14ac:dyDescent="0.45">
      <c r="A97" s="24"/>
      <c r="B97" s="24"/>
      <c r="D97" s="24"/>
      <c r="S97" s="32">
        <v>9164624956812.1113</v>
      </c>
      <c r="T97" s="33">
        <v>20926.900000000001</v>
      </c>
      <c r="AE97" s="1">
        <v>1133.3</v>
      </c>
      <c r="AF97" s="1">
        <v>33.664521383795133</v>
      </c>
    </row>
    <row r="98" spans="1:32" x14ac:dyDescent="0.45">
      <c r="A98" s="24"/>
      <c r="B98" s="24"/>
      <c r="D98" s="24"/>
      <c r="S98" s="32">
        <v>9225588829871.1699</v>
      </c>
      <c r="T98" s="33">
        <v>20973.200000000001</v>
      </c>
      <c r="AE98" s="1">
        <v>815.3</v>
      </c>
      <c r="AF98" s="1">
        <v>28.553458634638289</v>
      </c>
    </row>
    <row r="99" spans="1:32" x14ac:dyDescent="0.45">
      <c r="A99" s="24"/>
      <c r="B99" s="24"/>
      <c r="D99" s="24"/>
      <c r="S99" s="32">
        <v>9206599268785.4707</v>
      </c>
      <c r="T99" s="33">
        <v>20958.8</v>
      </c>
      <c r="AE99" s="1">
        <v>805.2</v>
      </c>
      <c r="AF99" s="1">
        <v>28.376046236218322</v>
      </c>
    </row>
    <row r="100" spans="1:32" x14ac:dyDescent="0.45">
      <c r="A100" s="24"/>
      <c r="B100" s="24"/>
      <c r="D100" s="24"/>
      <c r="S100" s="32">
        <v>9287352656510.6016</v>
      </c>
      <c r="T100" s="33">
        <v>21019.9</v>
      </c>
      <c r="AE100" s="1">
        <v>617.4</v>
      </c>
      <c r="AF100" s="1">
        <v>24.847535089018386</v>
      </c>
    </row>
    <row r="101" spans="1:32" x14ac:dyDescent="0.45">
      <c r="A101" s="24"/>
      <c r="B101" s="24"/>
      <c r="D101" s="24"/>
      <c r="S101" s="32">
        <v>9350856157558.7344</v>
      </c>
      <c r="T101" s="33">
        <v>21067.7</v>
      </c>
      <c r="AE101" s="1">
        <v>562.1</v>
      </c>
      <c r="AF101" s="1">
        <v>23.708648211148606</v>
      </c>
    </row>
    <row r="102" spans="1:32" x14ac:dyDescent="0.45">
      <c r="A102" s="24"/>
      <c r="B102" s="24"/>
      <c r="D102" s="24"/>
      <c r="S102" s="32">
        <v>9386453456912.3867</v>
      </c>
      <c r="T102" s="33">
        <v>21094.400000000001</v>
      </c>
      <c r="AE102" s="1">
        <v>560.9</v>
      </c>
      <c r="AF102" s="1">
        <v>23.683327468917874</v>
      </c>
    </row>
    <row r="103" spans="1:32" x14ac:dyDescent="0.45">
      <c r="A103" s="24"/>
      <c r="B103" s="24"/>
      <c r="D103" s="24"/>
      <c r="S103" s="32">
        <v>9508994677440.7109</v>
      </c>
      <c r="T103" s="33">
        <v>21185.8</v>
      </c>
      <c r="AE103" s="1">
        <v>567.4</v>
      </c>
      <c r="AF103" s="1">
        <v>23.820159529272679</v>
      </c>
    </row>
    <row r="104" spans="1:32" x14ac:dyDescent="0.45">
      <c r="A104" s="24"/>
      <c r="B104" s="24"/>
      <c r="D104" s="24"/>
      <c r="AE104" s="1">
        <v>660.4</v>
      </c>
      <c r="AF104" s="1">
        <v>25.698248967585322</v>
      </c>
    </row>
    <row r="105" spans="1:32" x14ac:dyDescent="0.45">
      <c r="A105" s="24"/>
      <c r="B105" s="24"/>
      <c r="D105" s="24"/>
      <c r="AE105" s="1">
        <v>599.6</v>
      </c>
      <c r="AF105" s="1">
        <v>24.486731100741071</v>
      </c>
    </row>
    <row r="106" spans="1:32" x14ac:dyDescent="0.45">
      <c r="A106" s="24"/>
      <c r="B106" s="24"/>
      <c r="D106" s="24"/>
      <c r="AE106" s="1">
        <v>667.3</v>
      </c>
      <c r="AF106" s="1">
        <v>25.832150510555639</v>
      </c>
    </row>
    <row r="107" spans="1:32" x14ac:dyDescent="0.45">
      <c r="A107" s="24"/>
      <c r="B107" s="24"/>
      <c r="D107" s="24"/>
      <c r="AE107" s="1">
        <v>614.5</v>
      </c>
      <c r="AF107" s="1">
        <v>24.789110512481081</v>
      </c>
    </row>
    <row r="108" spans="1:32" x14ac:dyDescent="0.45">
      <c r="A108" s="24"/>
      <c r="B108" s="24"/>
      <c r="D108" s="24"/>
      <c r="AE108" s="1">
        <v>762.2</v>
      </c>
      <c r="AF108" s="1">
        <v>27.607969863791144</v>
      </c>
    </row>
    <row r="109" spans="1:32" x14ac:dyDescent="0.45">
      <c r="A109" s="24"/>
      <c r="B109" s="24"/>
      <c r="D109" s="24"/>
      <c r="AE109" s="1">
        <v>1018.8</v>
      </c>
      <c r="AF109" s="1">
        <v>31.918646587848926</v>
      </c>
    </row>
    <row r="110" spans="1:32" x14ac:dyDescent="0.45">
      <c r="A110" s="24"/>
      <c r="B110" s="24"/>
      <c r="D110" s="24"/>
      <c r="AE110" s="1">
        <v>883.8</v>
      </c>
      <c r="AF110" s="1">
        <v>29.728773940409987</v>
      </c>
    </row>
    <row r="111" spans="1:32" x14ac:dyDescent="0.45">
      <c r="A111" s="24"/>
      <c r="B111" s="24"/>
      <c r="D111" s="24"/>
      <c r="AE111" s="1">
        <v>860.6</v>
      </c>
      <c r="AF111" s="1">
        <v>29.335984728657056</v>
      </c>
    </row>
    <row r="112" spans="1:32" x14ac:dyDescent="0.45">
      <c r="A112" s="24"/>
      <c r="B112" s="24"/>
      <c r="D112" s="24"/>
      <c r="AE112" s="1">
        <v>951.5</v>
      </c>
      <c r="AF112" s="1">
        <v>30.846393630374362</v>
      </c>
    </row>
    <row r="113" spans="1:32" x14ac:dyDescent="0.45">
      <c r="A113" s="24"/>
      <c r="B113" s="24"/>
      <c r="D113" s="24"/>
      <c r="AE113" s="1">
        <v>941.7</v>
      </c>
      <c r="AF113" s="1">
        <v>30.687130853176875</v>
      </c>
    </row>
    <row r="114" spans="1:32" x14ac:dyDescent="0.45">
      <c r="A114" s="24"/>
      <c r="B114" s="24"/>
      <c r="D114" s="24"/>
      <c r="AE114" s="1">
        <v>940.6</v>
      </c>
      <c r="AF114" s="1">
        <v>30.669202793682135</v>
      </c>
    </row>
    <row r="115" spans="1:32" x14ac:dyDescent="0.45">
      <c r="A115" s="24"/>
      <c r="B115" s="24"/>
      <c r="D115" s="24"/>
      <c r="AE115" s="1">
        <v>1239.3</v>
      </c>
      <c r="AF115" s="1">
        <v>35.203692988094303</v>
      </c>
    </row>
    <row r="116" spans="1:32" x14ac:dyDescent="0.45">
      <c r="A116" s="24"/>
      <c r="B116" s="24"/>
      <c r="D116" s="24"/>
      <c r="AE116" s="1">
        <v>978.8</v>
      </c>
      <c r="AF116" s="1">
        <v>31.285779517218362</v>
      </c>
    </row>
    <row r="117" spans="1:32" x14ac:dyDescent="0.45">
      <c r="A117" s="24"/>
      <c r="B117" s="24"/>
      <c r="D117" s="24"/>
      <c r="AE117" s="1">
        <v>1044.5999999999999</v>
      </c>
      <c r="AF117" s="1">
        <v>32.320272276080843</v>
      </c>
    </row>
    <row r="118" spans="1:32" x14ac:dyDescent="0.45">
      <c r="A118" s="24"/>
      <c r="B118" s="24"/>
      <c r="D118" s="24"/>
      <c r="AE118" s="1">
        <v>934.8</v>
      </c>
      <c r="AF118" s="1">
        <v>30.574499178236753</v>
      </c>
    </row>
    <row r="119" spans="1:32" x14ac:dyDescent="0.45">
      <c r="A119" s="24"/>
      <c r="B119" s="24"/>
      <c r="D119" s="24"/>
      <c r="AE119" s="1">
        <v>1064.3</v>
      </c>
      <c r="AF119" s="1">
        <v>32.623611081546443</v>
      </c>
    </row>
    <row r="120" spans="1:32" x14ac:dyDescent="0.45">
      <c r="A120" s="24"/>
      <c r="B120" s="24"/>
      <c r="D120" s="24"/>
      <c r="AE120" s="1">
        <v>1339.5</v>
      </c>
      <c r="AF120" s="1">
        <v>36.599180318690202</v>
      </c>
    </row>
    <row r="121" spans="1:32" x14ac:dyDescent="0.45">
      <c r="A121" s="24"/>
      <c r="B121" s="24"/>
      <c r="D121" s="24"/>
      <c r="AE121" s="1">
        <v>1068</v>
      </c>
      <c r="AF121" s="1">
        <v>32.680269276736382</v>
      </c>
    </row>
    <row r="122" spans="1:32" x14ac:dyDescent="0.45">
      <c r="A122" s="24"/>
      <c r="B122" s="24"/>
      <c r="D122" s="24"/>
      <c r="AE122" s="1">
        <v>903.5</v>
      </c>
      <c r="AF122" s="1">
        <v>30.058276730378275</v>
      </c>
    </row>
    <row r="123" spans="1:32" x14ac:dyDescent="0.45">
      <c r="A123" s="24"/>
      <c r="B123" s="24"/>
      <c r="D123" s="24"/>
      <c r="AE123" s="1">
        <v>1029.5999999999999</v>
      </c>
      <c r="AF123" s="1">
        <v>32.087380697090246</v>
      </c>
    </row>
    <row r="124" spans="1:32" x14ac:dyDescent="0.45">
      <c r="A124" s="24"/>
      <c r="B124" s="24"/>
      <c r="D124" s="24"/>
      <c r="AE124" s="1">
        <v>1493.3</v>
      </c>
      <c r="AF124" s="1">
        <v>38.643240029790462</v>
      </c>
    </row>
    <row r="125" spans="1:32" x14ac:dyDescent="0.45">
      <c r="A125" s="24"/>
      <c r="B125" s="24"/>
      <c r="D125" s="24"/>
      <c r="AE125" s="1">
        <v>1466.6</v>
      </c>
      <c r="AF125" s="1">
        <v>38.296213912082742</v>
      </c>
    </row>
    <row r="126" spans="1:32" x14ac:dyDescent="0.45">
      <c r="A126" s="24"/>
      <c r="B126" s="24"/>
      <c r="D126" s="24"/>
      <c r="AE126" s="1">
        <v>1498.1</v>
      </c>
      <c r="AF126" s="1">
        <v>38.705296795141614</v>
      </c>
    </row>
    <row r="127" spans="1:32" x14ac:dyDescent="0.45">
      <c r="A127" s="24"/>
      <c r="B127" s="24"/>
      <c r="D127" s="24"/>
      <c r="AE127" s="1">
        <v>1551.8</v>
      </c>
      <c r="AF127" s="1">
        <v>39.392892759989081</v>
      </c>
    </row>
    <row r="128" spans="1:32" x14ac:dyDescent="0.45">
      <c r="A128" s="24"/>
      <c r="B128" s="24"/>
      <c r="D128" s="24"/>
      <c r="AE128" s="1">
        <v>1287.5999999999999</v>
      </c>
      <c r="AF128" s="1">
        <v>35.88314367499035</v>
      </c>
    </row>
    <row r="129" spans="1:32" x14ac:dyDescent="0.45">
      <c r="A129" s="24"/>
      <c r="B129" s="24"/>
      <c r="D129" s="24"/>
      <c r="AE129" s="1">
        <v>1662.9</v>
      </c>
      <c r="AF129" s="1">
        <v>40.778670895457104</v>
      </c>
    </row>
    <row r="130" spans="1:32" x14ac:dyDescent="0.45">
      <c r="A130" s="24"/>
      <c r="B130" s="24"/>
      <c r="D130" s="24"/>
      <c r="AE130" s="1">
        <v>1259</v>
      </c>
      <c r="AF130" s="1">
        <v>35.482389998420345</v>
      </c>
    </row>
    <row r="131" spans="1:32" x14ac:dyDescent="0.45">
      <c r="A131" s="24"/>
      <c r="B131" s="24"/>
      <c r="D131" s="24"/>
      <c r="AE131" s="1">
        <v>1286.3</v>
      </c>
      <c r="AF131" s="1">
        <v>35.865024745565144</v>
      </c>
    </row>
    <row r="132" spans="1:32" x14ac:dyDescent="0.45">
      <c r="A132" s="24"/>
      <c r="B132" s="24"/>
      <c r="D132" s="24"/>
      <c r="AE132" s="1">
        <v>1101.9000000000001</v>
      </c>
      <c r="AF132" s="1">
        <v>33.194879123141874</v>
      </c>
    </row>
    <row r="133" spans="1:32" x14ac:dyDescent="0.45">
      <c r="A133" s="24"/>
      <c r="B133" s="24"/>
      <c r="D133" s="24"/>
      <c r="AE133" s="1">
        <v>1457.8</v>
      </c>
      <c r="AF133" s="1">
        <v>38.181147180251145</v>
      </c>
    </row>
    <row r="134" spans="1:32" x14ac:dyDescent="0.45">
      <c r="A134" s="24"/>
      <c r="B134" s="24"/>
      <c r="D134" s="24"/>
      <c r="AE134" s="1">
        <v>1487.9</v>
      </c>
      <c r="AF134" s="1">
        <v>38.573306832575298</v>
      </c>
    </row>
    <row r="135" spans="1:32" x14ac:dyDescent="0.45">
      <c r="A135" s="24"/>
      <c r="B135" s="24"/>
      <c r="D135" s="24"/>
      <c r="AE135" s="1">
        <v>1186.5</v>
      </c>
      <c r="AF135" s="1">
        <v>34.445609299299669</v>
      </c>
    </row>
    <row r="136" spans="1:32" x14ac:dyDescent="0.45">
      <c r="A136" s="24"/>
      <c r="B136" s="24"/>
      <c r="D136" s="24"/>
      <c r="AE136" s="1">
        <v>1338.2</v>
      </c>
      <c r="AF136" s="1">
        <v>36.581416046949307</v>
      </c>
    </row>
    <row r="137" spans="1:32" x14ac:dyDescent="0.45">
      <c r="A137" s="24"/>
      <c r="B137" s="24"/>
      <c r="D137" s="24"/>
      <c r="AE137" s="1">
        <v>1258.7</v>
      </c>
      <c r="AF137" s="1">
        <v>35.478162297390774</v>
      </c>
    </row>
    <row r="138" spans="1:32" x14ac:dyDescent="0.45">
      <c r="A138" s="24"/>
      <c r="B138" s="24"/>
      <c r="D138" s="24"/>
      <c r="AE138" s="1">
        <v>1308.5999999999999</v>
      </c>
      <c r="AF138" s="1">
        <v>36.174576707958863</v>
      </c>
    </row>
    <row r="139" spans="1:32" x14ac:dyDescent="0.45">
      <c r="A139" s="24"/>
      <c r="B139" s="24"/>
      <c r="D139" s="24"/>
      <c r="AE139" s="1">
        <v>1259.7</v>
      </c>
      <c r="AF139" s="1">
        <v>35.492252675760099</v>
      </c>
    </row>
    <row r="140" spans="1:32" x14ac:dyDescent="0.45">
      <c r="A140" s="24"/>
      <c r="B140" s="24"/>
      <c r="D140" s="24"/>
      <c r="AE140" s="1">
        <v>1226.8</v>
      </c>
      <c r="AF140" s="1">
        <v>35.025704846583743</v>
      </c>
    </row>
    <row r="141" spans="1:32" x14ac:dyDescent="0.45">
      <c r="A141" s="24"/>
      <c r="B141" s="24"/>
      <c r="D141" s="24"/>
      <c r="AE141" s="1">
        <v>1318.8</v>
      </c>
      <c r="AF141" s="1">
        <v>36.315286037700432</v>
      </c>
    </row>
    <row r="142" spans="1:32" x14ac:dyDescent="0.45">
      <c r="A142" s="24"/>
      <c r="B142" s="24"/>
      <c r="D142" s="24"/>
      <c r="AE142" s="1">
        <v>1405.1</v>
      </c>
      <c r="AF142" s="1">
        <v>37.484663530569406</v>
      </c>
    </row>
    <row r="143" spans="1:32" x14ac:dyDescent="0.45">
      <c r="A143" s="24"/>
      <c r="B143" s="24"/>
      <c r="D143" s="24"/>
      <c r="AE143" s="1">
        <v>1370.4</v>
      </c>
      <c r="AF143" s="1">
        <v>37.018914084559533</v>
      </c>
    </row>
    <row r="144" spans="1:32" x14ac:dyDescent="0.45">
      <c r="A144" s="24"/>
      <c r="B144" s="24"/>
      <c r="D144" s="24"/>
      <c r="AE144" s="1">
        <v>1282.2</v>
      </c>
      <c r="AF144" s="1">
        <v>35.807820374884592</v>
      </c>
    </row>
    <row r="145" spans="1:32" x14ac:dyDescent="0.45">
      <c r="A145" s="24"/>
      <c r="B145" s="24"/>
      <c r="D145" s="24"/>
      <c r="AE145" s="1">
        <v>1478.9</v>
      </c>
      <c r="AF145" s="1">
        <v>38.456468896662891</v>
      </c>
    </row>
    <row r="146" spans="1:32" x14ac:dyDescent="0.45">
      <c r="A146" s="24"/>
      <c r="B146" s="24"/>
      <c r="D146" s="24"/>
      <c r="AE146" s="1">
        <v>1397.6</v>
      </c>
      <c r="AF146" s="1">
        <v>37.384488762052101</v>
      </c>
    </row>
    <row r="147" spans="1:32" x14ac:dyDescent="0.45">
      <c r="A147" s="24"/>
      <c r="B147" s="24"/>
      <c r="D147" s="24"/>
      <c r="AE147" s="1">
        <v>1216.9000000000001</v>
      </c>
      <c r="AF147" s="1">
        <v>34.88409379645686</v>
      </c>
    </row>
    <row r="148" spans="1:32" x14ac:dyDescent="0.45">
      <c r="A148" s="24"/>
      <c r="B148" s="24"/>
      <c r="D148" s="24"/>
      <c r="AE148" s="1">
        <v>1285.2</v>
      </c>
      <c r="AF148" s="1">
        <v>35.849686191095174</v>
      </c>
    </row>
    <row r="149" spans="1:32" x14ac:dyDescent="0.45">
      <c r="A149" s="24"/>
      <c r="B149" s="24"/>
      <c r="D149" s="24"/>
      <c r="AE149" s="1">
        <v>1350</v>
      </c>
      <c r="AF149" s="1">
        <v>36.742346141747674</v>
      </c>
    </row>
    <row r="150" spans="1:32" x14ac:dyDescent="0.45">
      <c r="A150" s="24"/>
      <c r="B150" s="24"/>
      <c r="D150" s="24"/>
      <c r="AE150" s="1">
        <v>1419.1</v>
      </c>
      <c r="AF150" s="1">
        <v>37.670943709973606</v>
      </c>
    </row>
    <row r="151" spans="1:32" x14ac:dyDescent="0.45">
      <c r="A151" s="24"/>
      <c r="B151" s="24"/>
      <c r="D151" s="24"/>
      <c r="AE151" s="1">
        <v>1231.2</v>
      </c>
      <c r="AF151" s="1">
        <v>35.088459641312269</v>
      </c>
    </row>
    <row r="152" spans="1:32" x14ac:dyDescent="0.45">
      <c r="A152" s="24"/>
      <c r="B152" s="24"/>
      <c r="D152" s="24"/>
      <c r="AE152" s="1">
        <v>1422.9</v>
      </c>
      <c r="AF152" s="1">
        <v>37.721346741599774</v>
      </c>
    </row>
    <row r="153" spans="1:32" x14ac:dyDescent="0.45">
      <c r="A153" s="24"/>
      <c r="B153" s="24"/>
      <c r="D153" s="24"/>
      <c r="AE153" s="1">
        <v>1203.5999999999999</v>
      </c>
      <c r="AF153" s="1">
        <v>34.69293876280878</v>
      </c>
    </row>
    <row r="154" spans="1:32" x14ac:dyDescent="0.45">
      <c r="A154" s="24"/>
      <c r="B154" s="24"/>
      <c r="D154" s="24"/>
      <c r="AE154" s="1">
        <v>1150.9000000000001</v>
      </c>
      <c r="AF154" s="1">
        <v>33.92491709643518</v>
      </c>
    </row>
    <row r="155" spans="1:32" x14ac:dyDescent="0.45">
      <c r="A155" s="24"/>
      <c r="B155" s="24"/>
      <c r="D155" s="24"/>
    </row>
    <row r="156" spans="1:32" x14ac:dyDescent="0.45">
      <c r="A156" s="24"/>
      <c r="B156" s="24"/>
      <c r="D156" s="24"/>
    </row>
    <row r="157" spans="1:32" x14ac:dyDescent="0.45">
      <c r="A157" s="24"/>
      <c r="B157" s="24"/>
      <c r="D157" s="24"/>
    </row>
    <row r="158" spans="1:32" x14ac:dyDescent="0.45">
      <c r="A158" s="24"/>
      <c r="B158" s="24"/>
      <c r="D158" s="24"/>
    </row>
    <row r="159" spans="1:32" x14ac:dyDescent="0.45">
      <c r="A159" s="24"/>
      <c r="B159" s="24"/>
      <c r="D159" s="24"/>
    </row>
    <row r="160" spans="1:32" x14ac:dyDescent="0.45">
      <c r="A160" s="24"/>
      <c r="B160" s="24"/>
      <c r="D160" s="24"/>
    </row>
    <row r="161" spans="1:4" x14ac:dyDescent="0.45">
      <c r="A161" s="24"/>
      <c r="B161" s="24"/>
      <c r="D161" s="24"/>
    </row>
    <row r="162" spans="1:4" x14ac:dyDescent="0.45">
      <c r="A162" s="24"/>
      <c r="B162" s="24"/>
      <c r="D162" s="24"/>
    </row>
    <row r="163" spans="1:4" x14ac:dyDescent="0.45">
      <c r="A163" s="24"/>
      <c r="B163" s="24"/>
      <c r="D163" s="24"/>
    </row>
    <row r="164" spans="1:4" x14ac:dyDescent="0.45">
      <c r="A164" s="24"/>
      <c r="B164" s="24"/>
      <c r="D164" s="24"/>
    </row>
    <row r="165" spans="1:4" x14ac:dyDescent="0.45">
      <c r="A165" s="24"/>
      <c r="B165" s="24"/>
      <c r="D165" s="24"/>
    </row>
    <row r="166" spans="1:4" x14ac:dyDescent="0.45">
      <c r="A166" s="24"/>
      <c r="B166" s="24"/>
      <c r="D166" s="24"/>
    </row>
    <row r="167" spans="1:4" x14ac:dyDescent="0.45">
      <c r="A167" s="24"/>
      <c r="B167" s="24"/>
      <c r="D167" s="24"/>
    </row>
    <row r="168" spans="1:4" x14ac:dyDescent="0.45">
      <c r="A168" s="24"/>
      <c r="B168" s="24"/>
      <c r="D168" s="24"/>
    </row>
    <row r="169" spans="1:4" x14ac:dyDescent="0.45">
      <c r="A169" s="24"/>
      <c r="B169" s="24"/>
      <c r="D169" s="24"/>
    </row>
    <row r="170" spans="1:4" x14ac:dyDescent="0.45">
      <c r="A170" s="24"/>
      <c r="B170" s="24"/>
      <c r="D170" s="24"/>
    </row>
    <row r="171" spans="1:4" x14ac:dyDescent="0.45">
      <c r="A171" s="24"/>
      <c r="B171" s="24"/>
      <c r="D171" s="24"/>
    </row>
    <row r="172" spans="1:4" x14ac:dyDescent="0.45">
      <c r="A172" s="24"/>
      <c r="B172" s="24"/>
      <c r="D172" s="24"/>
    </row>
    <row r="173" spans="1:4" x14ac:dyDescent="0.45">
      <c r="A173" s="24"/>
      <c r="B173" s="24"/>
      <c r="D173" s="24"/>
    </row>
    <row r="174" spans="1:4" x14ac:dyDescent="0.45">
      <c r="A174" s="24"/>
      <c r="B174" s="24"/>
      <c r="D174" s="24"/>
    </row>
    <row r="175" spans="1:4" x14ac:dyDescent="0.45">
      <c r="A175" s="24"/>
      <c r="B175" s="24"/>
      <c r="D175" s="24"/>
    </row>
    <row r="176" spans="1:4" x14ac:dyDescent="0.45">
      <c r="A176" s="24"/>
      <c r="B176" s="24"/>
      <c r="D176" s="24"/>
    </row>
    <row r="177" spans="1:4" x14ac:dyDescent="0.45">
      <c r="A177" s="24"/>
      <c r="B177" s="24"/>
      <c r="D177" s="24"/>
    </row>
    <row r="178" spans="1:4" x14ac:dyDescent="0.45">
      <c r="A178" s="24"/>
      <c r="B178" s="24"/>
      <c r="D178" s="24"/>
    </row>
    <row r="179" spans="1:4" x14ac:dyDescent="0.45">
      <c r="A179" s="24"/>
      <c r="B179" s="24"/>
      <c r="D179" s="24"/>
    </row>
    <row r="180" spans="1:4" x14ac:dyDescent="0.45">
      <c r="A180" s="24"/>
      <c r="B180" s="24"/>
      <c r="D180" s="24"/>
    </row>
    <row r="181" spans="1:4" x14ac:dyDescent="0.45">
      <c r="A181" s="24"/>
      <c r="B181" s="24"/>
      <c r="D181" s="24"/>
    </row>
    <row r="182" spans="1:4" x14ac:dyDescent="0.45">
      <c r="A182" s="24"/>
      <c r="B182" s="24"/>
      <c r="D182" s="24"/>
    </row>
    <row r="183" spans="1:4" x14ac:dyDescent="0.45">
      <c r="A183" s="24"/>
      <c r="B183" s="24"/>
      <c r="D183" s="24"/>
    </row>
    <row r="184" spans="1:4" x14ac:dyDescent="0.45">
      <c r="A184" s="24"/>
      <c r="B184" s="24"/>
      <c r="D184" s="24"/>
    </row>
    <row r="185" spans="1:4" x14ac:dyDescent="0.45">
      <c r="A185" s="24"/>
      <c r="B185" s="24"/>
      <c r="D185" s="24"/>
    </row>
    <row r="186" spans="1:4" x14ac:dyDescent="0.45">
      <c r="A186" s="24"/>
      <c r="B186" s="24"/>
      <c r="D186" s="24"/>
    </row>
    <row r="187" spans="1:4" x14ac:dyDescent="0.45">
      <c r="A187" s="24"/>
      <c r="B187" s="24"/>
      <c r="D187" s="24"/>
    </row>
    <row r="188" spans="1:4" x14ac:dyDescent="0.45">
      <c r="A188" s="24"/>
      <c r="B188" s="24"/>
      <c r="D188" s="24"/>
    </row>
    <row r="189" spans="1:4" x14ac:dyDescent="0.45">
      <c r="A189" s="24"/>
      <c r="B189" s="24"/>
      <c r="D189" s="24"/>
    </row>
    <row r="190" spans="1:4" x14ac:dyDescent="0.45">
      <c r="A190" s="24"/>
      <c r="B190" s="24"/>
      <c r="D190" s="24"/>
    </row>
    <row r="191" spans="1:4" x14ac:dyDescent="0.45">
      <c r="A191" s="24"/>
      <c r="B191" s="24"/>
      <c r="D191" s="24"/>
    </row>
    <row r="192" spans="1:4" x14ac:dyDescent="0.45">
      <c r="A192" s="24"/>
      <c r="B192" s="24"/>
      <c r="D192" s="24"/>
    </row>
    <row r="193" spans="1:4" x14ac:dyDescent="0.45">
      <c r="A193" s="24"/>
      <c r="B193" s="24"/>
      <c r="D193" s="24"/>
    </row>
    <row r="194" spans="1:4" x14ac:dyDescent="0.45">
      <c r="A194" s="24"/>
      <c r="B194" s="24"/>
      <c r="D194" s="24"/>
    </row>
    <row r="195" spans="1:4" x14ac:dyDescent="0.45">
      <c r="A195" s="24"/>
      <c r="B195" s="24"/>
      <c r="D195" s="24"/>
    </row>
    <row r="196" spans="1:4" x14ac:dyDescent="0.45">
      <c r="A196" s="24"/>
      <c r="B196" s="24"/>
      <c r="D196" s="24"/>
    </row>
    <row r="197" spans="1:4" x14ac:dyDescent="0.45">
      <c r="A197" s="24"/>
      <c r="B197" s="24"/>
      <c r="D197" s="24"/>
    </row>
    <row r="198" spans="1:4" x14ac:dyDescent="0.45">
      <c r="A198" s="24"/>
      <c r="B198" s="24"/>
      <c r="D198" s="24"/>
    </row>
    <row r="199" spans="1:4" x14ac:dyDescent="0.45">
      <c r="A199" s="24"/>
      <c r="B199" s="24"/>
      <c r="D199" s="24"/>
    </row>
    <row r="200" spans="1:4" x14ac:dyDescent="0.45">
      <c r="A200" s="24"/>
      <c r="B200" s="24"/>
      <c r="D200" s="24"/>
    </row>
    <row r="201" spans="1:4" x14ac:dyDescent="0.45">
      <c r="A201" s="24"/>
      <c r="B201" s="24"/>
      <c r="D201" s="24"/>
    </row>
    <row r="202" spans="1:4" x14ac:dyDescent="0.45">
      <c r="A202" s="24"/>
      <c r="B202" s="24"/>
      <c r="D202" s="24"/>
    </row>
    <row r="203" spans="1:4" x14ac:dyDescent="0.45">
      <c r="A203" s="24"/>
      <c r="B203" s="24"/>
      <c r="D203" s="24"/>
    </row>
    <row r="204" spans="1:4" x14ac:dyDescent="0.45">
      <c r="A204" s="24"/>
      <c r="B204" s="24"/>
      <c r="D204" s="24"/>
    </row>
    <row r="205" spans="1:4" x14ac:dyDescent="0.45">
      <c r="A205" s="24"/>
      <c r="B205" s="24"/>
      <c r="D205" s="24"/>
    </row>
    <row r="206" spans="1:4" x14ac:dyDescent="0.45">
      <c r="A206" s="24"/>
      <c r="B206" s="24"/>
      <c r="D206" s="24"/>
    </row>
    <row r="207" spans="1:4" x14ac:dyDescent="0.45">
      <c r="A207" s="24"/>
      <c r="B207" s="24"/>
      <c r="D207" s="24"/>
    </row>
    <row r="208" spans="1:4" x14ac:dyDescent="0.45">
      <c r="A208" s="24"/>
      <c r="B208" s="24"/>
      <c r="D208" s="24"/>
    </row>
    <row r="209" spans="1:4" x14ac:dyDescent="0.45">
      <c r="A209" s="24"/>
      <c r="B209" s="24"/>
      <c r="D209" s="24"/>
    </row>
    <row r="210" spans="1:4" x14ac:dyDescent="0.45">
      <c r="A210" s="24"/>
      <c r="B210" s="24"/>
      <c r="D210" s="24"/>
    </row>
    <row r="211" spans="1:4" x14ac:dyDescent="0.45">
      <c r="A211" s="24"/>
      <c r="B211" s="24"/>
      <c r="D211" s="24"/>
    </row>
    <row r="212" spans="1:4" x14ac:dyDescent="0.45">
      <c r="A212" s="24"/>
      <c r="B212" s="24"/>
      <c r="D212" s="24"/>
    </row>
    <row r="213" spans="1:4" x14ac:dyDescent="0.45">
      <c r="A213" s="24"/>
      <c r="B213" s="24"/>
      <c r="D213" s="24"/>
    </row>
    <row r="214" spans="1:4" x14ac:dyDescent="0.45">
      <c r="A214" s="24"/>
      <c r="B214" s="24"/>
      <c r="D214" s="24"/>
    </row>
    <row r="215" spans="1:4" x14ac:dyDescent="0.45">
      <c r="A215" s="24"/>
      <c r="B215" s="24"/>
      <c r="D215" s="24"/>
    </row>
    <row r="216" spans="1:4" x14ac:dyDescent="0.45">
      <c r="A216" s="24"/>
      <c r="B216" s="24"/>
      <c r="D216" s="24"/>
    </row>
    <row r="217" spans="1:4" x14ac:dyDescent="0.45">
      <c r="A217" s="24"/>
      <c r="B217" s="24"/>
      <c r="D217" s="24"/>
    </row>
    <row r="218" spans="1:4" x14ac:dyDescent="0.45">
      <c r="A218" s="24"/>
      <c r="B218" s="24"/>
      <c r="D218" s="24"/>
    </row>
    <row r="219" spans="1:4" x14ac:dyDescent="0.45">
      <c r="A219" s="24"/>
      <c r="B219" s="24"/>
      <c r="D219" s="24"/>
    </row>
    <row r="220" spans="1:4" x14ac:dyDescent="0.45">
      <c r="A220" s="24"/>
      <c r="B220" s="24"/>
      <c r="D220" s="24"/>
    </row>
    <row r="221" spans="1:4" x14ac:dyDescent="0.45">
      <c r="A221" s="24"/>
      <c r="B221" s="24"/>
      <c r="D221" s="24"/>
    </row>
    <row r="222" spans="1:4" x14ac:dyDescent="0.45">
      <c r="A222" s="24"/>
      <c r="B222" s="24"/>
      <c r="D222" s="24"/>
    </row>
    <row r="223" spans="1:4" x14ac:dyDescent="0.45">
      <c r="A223" s="24"/>
      <c r="B223" s="24"/>
      <c r="D223" s="24"/>
    </row>
    <row r="224" spans="1:4" x14ac:dyDescent="0.45">
      <c r="A224" s="24"/>
      <c r="B224" s="24"/>
      <c r="D224" s="24"/>
    </row>
    <row r="225" spans="1:4" x14ac:dyDescent="0.45">
      <c r="A225" s="24"/>
      <c r="B225" s="24"/>
      <c r="D225" s="24"/>
    </row>
    <row r="226" spans="1:4" x14ac:dyDescent="0.45">
      <c r="A226" s="24"/>
      <c r="B226" s="24"/>
      <c r="D226" s="24"/>
    </row>
    <row r="227" spans="1:4" x14ac:dyDescent="0.45">
      <c r="A227" s="24"/>
      <c r="B227" s="24"/>
      <c r="D227" s="24"/>
    </row>
    <row r="228" spans="1:4" x14ac:dyDescent="0.45">
      <c r="A228" s="24"/>
      <c r="B228" s="24"/>
      <c r="D228" s="24"/>
    </row>
    <row r="229" spans="1:4" x14ac:dyDescent="0.45">
      <c r="A229" s="24"/>
      <c r="B229" s="24"/>
      <c r="D229" s="24"/>
    </row>
    <row r="230" spans="1:4" x14ac:dyDescent="0.45">
      <c r="A230" s="24"/>
      <c r="B230" s="24"/>
      <c r="D230" s="24"/>
    </row>
    <row r="231" spans="1:4" x14ac:dyDescent="0.45">
      <c r="A231" s="24"/>
      <c r="B231" s="24"/>
      <c r="D231" s="24"/>
    </row>
    <row r="232" spans="1:4" x14ac:dyDescent="0.45">
      <c r="A232" s="24"/>
      <c r="B232" s="24"/>
      <c r="D232" s="24"/>
    </row>
    <row r="233" spans="1:4" x14ac:dyDescent="0.45">
      <c r="A233" s="24"/>
      <c r="B233" s="24"/>
      <c r="D233" s="24"/>
    </row>
    <row r="234" spans="1:4" x14ac:dyDescent="0.45">
      <c r="A234" s="24"/>
      <c r="B234" s="24"/>
      <c r="D234" s="24"/>
    </row>
    <row r="235" spans="1:4" x14ac:dyDescent="0.45">
      <c r="A235" s="24"/>
      <c r="B235" s="24"/>
      <c r="D235" s="24"/>
    </row>
    <row r="236" spans="1:4" x14ac:dyDescent="0.45">
      <c r="A236" s="24"/>
      <c r="B236" s="24"/>
      <c r="D236" s="24"/>
    </row>
    <row r="237" spans="1:4" x14ac:dyDescent="0.45">
      <c r="A237" s="24"/>
      <c r="B237" s="24"/>
      <c r="D237" s="24"/>
    </row>
    <row r="238" spans="1:4" x14ac:dyDescent="0.45">
      <c r="A238" s="24"/>
      <c r="B238" s="24"/>
      <c r="D238" s="24"/>
    </row>
    <row r="239" spans="1:4" x14ac:dyDescent="0.45">
      <c r="A239" s="24"/>
      <c r="B239" s="24"/>
      <c r="D239" s="24"/>
    </row>
    <row r="240" spans="1:4" x14ac:dyDescent="0.45">
      <c r="A240" s="24"/>
      <c r="B240" s="24"/>
      <c r="D240" s="24"/>
    </row>
    <row r="241" spans="1:4" x14ac:dyDescent="0.45">
      <c r="A241" s="24"/>
      <c r="B241" s="24"/>
      <c r="D241" s="24"/>
    </row>
    <row r="242" spans="1:4" x14ac:dyDescent="0.45">
      <c r="A242" s="24"/>
      <c r="B242" s="24"/>
      <c r="D242" s="24"/>
    </row>
    <row r="243" spans="1:4" x14ac:dyDescent="0.45">
      <c r="A243" s="24"/>
      <c r="B243" s="24"/>
      <c r="D243" s="24"/>
    </row>
    <row r="244" spans="1:4" x14ac:dyDescent="0.45">
      <c r="A244" s="24"/>
      <c r="B244" s="24"/>
      <c r="D244" s="24"/>
    </row>
    <row r="245" spans="1:4" x14ac:dyDescent="0.45">
      <c r="A245" s="24"/>
      <c r="B245" s="24"/>
      <c r="D245" s="24"/>
    </row>
    <row r="246" spans="1:4" x14ac:dyDescent="0.45">
      <c r="A246" s="24"/>
      <c r="B246" s="24"/>
      <c r="D246" s="24"/>
    </row>
    <row r="247" spans="1:4" x14ac:dyDescent="0.45">
      <c r="A247" s="24"/>
      <c r="B247" s="24"/>
      <c r="D247" s="24"/>
    </row>
    <row r="248" spans="1:4" x14ac:dyDescent="0.45">
      <c r="A248" s="24"/>
      <c r="B248" s="24"/>
      <c r="D248" s="24"/>
    </row>
    <row r="249" spans="1:4" x14ac:dyDescent="0.45">
      <c r="A249" s="24"/>
      <c r="B249" s="24"/>
      <c r="D249" s="24"/>
    </row>
    <row r="250" spans="1:4" x14ac:dyDescent="0.45">
      <c r="A250" s="24"/>
      <c r="B250" s="24"/>
      <c r="D250" s="24"/>
    </row>
    <row r="251" spans="1:4" x14ac:dyDescent="0.45">
      <c r="A251" s="24"/>
      <c r="B251" s="24"/>
      <c r="D251" s="24"/>
    </row>
    <row r="252" spans="1:4" x14ac:dyDescent="0.45">
      <c r="A252" s="24"/>
      <c r="B252" s="24"/>
      <c r="D252" s="24"/>
    </row>
    <row r="253" spans="1:4" x14ac:dyDescent="0.45">
      <c r="A253" s="24"/>
      <c r="B253" s="24"/>
      <c r="D253" s="24"/>
    </row>
    <row r="254" spans="1:4" x14ac:dyDescent="0.45">
      <c r="A254" s="24"/>
      <c r="B254" s="24"/>
      <c r="D254" s="24"/>
    </row>
    <row r="255" spans="1:4" x14ac:dyDescent="0.45">
      <c r="A255" s="24"/>
      <c r="B255" s="24"/>
      <c r="D255" s="24"/>
    </row>
    <row r="256" spans="1:4" x14ac:dyDescent="0.45">
      <c r="A256" s="24"/>
      <c r="B256" s="24"/>
      <c r="D256" s="24"/>
    </row>
    <row r="257" spans="1:4" x14ac:dyDescent="0.45">
      <c r="A257" s="24"/>
      <c r="B257" s="24"/>
      <c r="D257" s="24"/>
    </row>
    <row r="258" spans="1:4" x14ac:dyDescent="0.45">
      <c r="A258" s="24"/>
      <c r="B258" s="24"/>
      <c r="D258" s="24"/>
    </row>
    <row r="259" spans="1:4" x14ac:dyDescent="0.45">
      <c r="A259" s="24"/>
      <c r="B259" s="24"/>
      <c r="D259" s="24"/>
    </row>
    <row r="260" spans="1:4" x14ac:dyDescent="0.45">
      <c r="A260" s="24"/>
      <c r="B260" s="24"/>
      <c r="D260" s="24"/>
    </row>
    <row r="261" spans="1:4" x14ac:dyDescent="0.45">
      <c r="A261" s="24"/>
      <c r="B261" s="24"/>
      <c r="D261" s="24"/>
    </row>
    <row r="262" spans="1:4" x14ac:dyDescent="0.45">
      <c r="A262" s="24"/>
      <c r="B262" s="24"/>
      <c r="D262" s="24"/>
    </row>
    <row r="263" spans="1:4" x14ac:dyDescent="0.45">
      <c r="A263" s="24"/>
      <c r="B263" s="24"/>
      <c r="D263" s="24"/>
    </row>
    <row r="264" spans="1:4" x14ac:dyDescent="0.45">
      <c r="A264" s="24"/>
      <c r="B264" s="24"/>
      <c r="D264" s="24"/>
    </row>
    <row r="265" spans="1:4" x14ac:dyDescent="0.45">
      <c r="A265" s="24"/>
      <c r="B265" s="24"/>
      <c r="D265" s="24"/>
    </row>
    <row r="266" spans="1:4" x14ac:dyDescent="0.45">
      <c r="A266" s="24"/>
      <c r="B266" s="24"/>
      <c r="D266" s="24"/>
    </row>
    <row r="267" spans="1:4" x14ac:dyDescent="0.45">
      <c r="A267" s="24"/>
      <c r="B267" s="24"/>
      <c r="D267" s="24"/>
    </row>
    <row r="268" spans="1:4" x14ac:dyDescent="0.45">
      <c r="A268" s="24"/>
      <c r="B268" s="24"/>
      <c r="D268" s="24"/>
    </row>
    <row r="269" spans="1:4" x14ac:dyDescent="0.45">
      <c r="A269" s="24"/>
      <c r="B269" s="24"/>
      <c r="D269" s="24"/>
    </row>
    <row r="270" spans="1:4" x14ac:dyDescent="0.45">
      <c r="A270" s="24"/>
      <c r="B270" s="24"/>
      <c r="D270" s="24"/>
    </row>
    <row r="271" spans="1:4" x14ac:dyDescent="0.45">
      <c r="A271" s="24"/>
      <c r="B271" s="24"/>
      <c r="D271" s="24"/>
    </row>
    <row r="272" spans="1:4" x14ac:dyDescent="0.45">
      <c r="A272" s="24"/>
      <c r="B272" s="24"/>
      <c r="D272" s="24"/>
    </row>
    <row r="273" spans="1:4" x14ac:dyDescent="0.45">
      <c r="A273" s="24"/>
      <c r="B273" s="24"/>
      <c r="D273" s="24"/>
    </row>
    <row r="274" spans="1:4" x14ac:dyDescent="0.45">
      <c r="A274" s="24"/>
      <c r="B274" s="24"/>
      <c r="D274" s="24"/>
    </row>
    <row r="275" spans="1:4" x14ac:dyDescent="0.45">
      <c r="A275" s="24"/>
      <c r="B275" s="24"/>
      <c r="D275" s="24"/>
    </row>
    <row r="276" spans="1:4" x14ac:dyDescent="0.45">
      <c r="A276" s="24"/>
      <c r="B276" s="24"/>
      <c r="D276" s="24"/>
    </row>
    <row r="277" spans="1:4" x14ac:dyDescent="0.45">
      <c r="A277" s="24"/>
      <c r="B277" s="24"/>
      <c r="D277" s="24"/>
    </row>
    <row r="278" spans="1:4" x14ac:dyDescent="0.45">
      <c r="A278" s="24"/>
      <c r="B278" s="24"/>
      <c r="D278" s="24"/>
    </row>
    <row r="279" spans="1:4" x14ac:dyDescent="0.45">
      <c r="A279" s="24"/>
      <c r="B279" s="24"/>
      <c r="D279" s="24"/>
    </row>
    <row r="280" spans="1:4" x14ac:dyDescent="0.45">
      <c r="A280" s="24"/>
      <c r="B280" s="24"/>
      <c r="D280" s="24"/>
    </row>
    <row r="281" spans="1:4" x14ac:dyDescent="0.45">
      <c r="A281" s="24"/>
      <c r="B281" s="24"/>
      <c r="D281" s="24"/>
    </row>
    <row r="282" spans="1:4" x14ac:dyDescent="0.45">
      <c r="A282" s="24"/>
      <c r="B282" s="24"/>
      <c r="D282" s="24"/>
    </row>
    <row r="283" spans="1:4" x14ac:dyDescent="0.45">
      <c r="A283" s="24"/>
      <c r="B283" s="24"/>
      <c r="D283" s="24"/>
    </row>
    <row r="284" spans="1:4" x14ac:dyDescent="0.45">
      <c r="A284" s="24"/>
      <c r="B284" s="24"/>
      <c r="D284" s="24"/>
    </row>
    <row r="285" spans="1:4" x14ac:dyDescent="0.45">
      <c r="A285" s="24"/>
      <c r="B285" s="24"/>
      <c r="D285" s="24"/>
    </row>
    <row r="286" spans="1:4" x14ac:dyDescent="0.45">
      <c r="A286" s="24"/>
      <c r="B286" s="24"/>
      <c r="D286" s="24"/>
    </row>
    <row r="287" spans="1:4" x14ac:dyDescent="0.45">
      <c r="A287" s="24"/>
      <c r="B287" s="24"/>
      <c r="D287" s="24"/>
    </row>
    <row r="288" spans="1:4" x14ac:dyDescent="0.45">
      <c r="A288" s="24"/>
      <c r="B288" s="24"/>
      <c r="D288" s="24"/>
    </row>
    <row r="289" spans="1:4" x14ac:dyDescent="0.45">
      <c r="A289" s="24"/>
      <c r="B289" s="24"/>
      <c r="D289" s="24"/>
    </row>
    <row r="290" spans="1:4" x14ac:dyDescent="0.45">
      <c r="A290" s="24"/>
      <c r="B290" s="24"/>
      <c r="D290" s="24"/>
    </row>
    <row r="291" spans="1:4" x14ac:dyDescent="0.45">
      <c r="A291" s="24"/>
      <c r="B291" s="24"/>
      <c r="D291" s="24"/>
    </row>
    <row r="292" spans="1:4" x14ac:dyDescent="0.45">
      <c r="A292" s="24"/>
      <c r="B292" s="24"/>
      <c r="D292" s="24"/>
    </row>
    <row r="293" spans="1:4" x14ac:dyDescent="0.45">
      <c r="A293" s="24"/>
      <c r="B293" s="24"/>
      <c r="D293" s="24"/>
    </row>
    <row r="294" spans="1:4" x14ac:dyDescent="0.45">
      <c r="A294" s="24"/>
      <c r="B294" s="24"/>
      <c r="D294" s="24"/>
    </row>
    <row r="295" spans="1:4" x14ac:dyDescent="0.45">
      <c r="A295" s="24"/>
      <c r="B295" s="24"/>
      <c r="D295" s="24"/>
    </row>
    <row r="296" spans="1:4" x14ac:dyDescent="0.45">
      <c r="A296" s="24"/>
      <c r="B296" s="24"/>
      <c r="D296" s="24"/>
    </row>
    <row r="297" spans="1:4" x14ac:dyDescent="0.45">
      <c r="A297" s="24"/>
      <c r="B297" s="24"/>
      <c r="D297" s="24"/>
    </row>
    <row r="298" spans="1:4" x14ac:dyDescent="0.45">
      <c r="A298" s="24"/>
      <c r="B298" s="24"/>
      <c r="D298" s="24"/>
    </row>
    <row r="299" spans="1:4" x14ac:dyDescent="0.45">
      <c r="A299" s="24"/>
      <c r="B299" s="24"/>
      <c r="D299" s="24"/>
    </row>
    <row r="300" spans="1:4" x14ac:dyDescent="0.45">
      <c r="A300" s="24"/>
      <c r="B300" s="24"/>
      <c r="D300" s="24"/>
    </row>
    <row r="301" spans="1:4" x14ac:dyDescent="0.45">
      <c r="A301" s="24"/>
      <c r="B301" s="24"/>
      <c r="D301" s="24"/>
    </row>
    <row r="302" spans="1:4" x14ac:dyDescent="0.45">
      <c r="A302" s="24"/>
      <c r="B302" s="24"/>
      <c r="D302" s="24"/>
    </row>
    <row r="303" spans="1:4" x14ac:dyDescent="0.45">
      <c r="A303" s="24"/>
      <c r="B303" s="24"/>
      <c r="D303" s="24"/>
    </row>
    <row r="304" spans="1:4" x14ac:dyDescent="0.45">
      <c r="A304" s="24"/>
      <c r="B304" s="24"/>
      <c r="D304" s="24"/>
    </row>
    <row r="305" spans="1:4" x14ac:dyDescent="0.45">
      <c r="A305" s="24"/>
      <c r="B305" s="24"/>
      <c r="D305" s="24"/>
    </row>
    <row r="306" spans="1:4" x14ac:dyDescent="0.45">
      <c r="A306" s="24"/>
      <c r="B306" s="24"/>
      <c r="D306" s="24"/>
    </row>
    <row r="307" spans="1:4" x14ac:dyDescent="0.45">
      <c r="A307" s="24"/>
      <c r="B307" s="24"/>
      <c r="D307" s="24"/>
    </row>
    <row r="308" spans="1:4" x14ac:dyDescent="0.45">
      <c r="A308" s="24"/>
      <c r="B308" s="24"/>
      <c r="D308" s="24"/>
    </row>
    <row r="309" spans="1:4" x14ac:dyDescent="0.45">
      <c r="A309" s="24"/>
      <c r="B309" s="24"/>
      <c r="D309" s="24"/>
    </row>
    <row r="310" spans="1:4" x14ac:dyDescent="0.45">
      <c r="A310" s="24"/>
      <c r="B310" s="24"/>
      <c r="D310" s="24"/>
    </row>
    <row r="311" spans="1:4" x14ac:dyDescent="0.45">
      <c r="A311" s="24"/>
      <c r="B311" s="24"/>
      <c r="D311" s="24"/>
    </row>
    <row r="312" spans="1:4" x14ac:dyDescent="0.45">
      <c r="A312" s="24"/>
      <c r="B312" s="24"/>
      <c r="D312" s="24"/>
    </row>
    <row r="313" spans="1:4" x14ac:dyDescent="0.45">
      <c r="A313" s="24"/>
      <c r="B313" s="24"/>
      <c r="D313" s="24"/>
    </row>
    <row r="314" spans="1:4" x14ac:dyDescent="0.45">
      <c r="A314" s="24"/>
      <c r="B314" s="24"/>
      <c r="D314" s="24"/>
    </row>
    <row r="315" spans="1:4" x14ac:dyDescent="0.45">
      <c r="A315" s="24"/>
      <c r="B315" s="24"/>
      <c r="D315" s="24"/>
    </row>
    <row r="316" spans="1:4" x14ac:dyDescent="0.45">
      <c r="A316" s="24"/>
      <c r="B316" s="24"/>
      <c r="D316" s="24"/>
    </row>
    <row r="317" spans="1:4" x14ac:dyDescent="0.45">
      <c r="A317" s="24"/>
      <c r="B317" s="24"/>
      <c r="D317" s="24"/>
    </row>
    <row r="318" spans="1:4" x14ac:dyDescent="0.45">
      <c r="A318" s="24"/>
      <c r="B318" s="24"/>
      <c r="D318" s="24"/>
    </row>
    <row r="319" spans="1:4" x14ac:dyDescent="0.45">
      <c r="A319" s="24"/>
      <c r="B319" s="24"/>
      <c r="D319" s="24"/>
    </row>
    <row r="320" spans="1:4" x14ac:dyDescent="0.45">
      <c r="A320" s="24"/>
      <c r="B320" s="24"/>
      <c r="D320" s="24"/>
    </row>
    <row r="321" spans="1:4" x14ac:dyDescent="0.45">
      <c r="A321" s="24"/>
      <c r="B321" s="24"/>
      <c r="D321" s="24"/>
    </row>
    <row r="322" spans="1:4" x14ac:dyDescent="0.45">
      <c r="A322" s="24"/>
      <c r="B322" s="24"/>
      <c r="D322" s="24"/>
    </row>
    <row r="323" spans="1:4" x14ac:dyDescent="0.45">
      <c r="A323" s="24"/>
      <c r="B323" s="24"/>
      <c r="D323" s="24"/>
    </row>
    <row r="324" spans="1:4" x14ac:dyDescent="0.45">
      <c r="A324" s="24"/>
      <c r="B324" s="24"/>
      <c r="D324" s="24"/>
    </row>
    <row r="325" spans="1:4" x14ac:dyDescent="0.45">
      <c r="A325" s="24"/>
      <c r="B325" s="24"/>
      <c r="D325" s="24"/>
    </row>
    <row r="326" spans="1:4" x14ac:dyDescent="0.45">
      <c r="A326" s="24"/>
      <c r="B326" s="24"/>
      <c r="D326" s="24"/>
    </row>
    <row r="327" spans="1:4" x14ac:dyDescent="0.45">
      <c r="A327" s="24"/>
      <c r="B327" s="24"/>
      <c r="D327" s="24"/>
    </row>
    <row r="328" spans="1:4" x14ac:dyDescent="0.45">
      <c r="A328" s="24"/>
      <c r="B328" s="24"/>
      <c r="D328" s="24"/>
    </row>
    <row r="329" spans="1:4" x14ac:dyDescent="0.45">
      <c r="A329" s="24"/>
      <c r="B329" s="24"/>
      <c r="D329" s="24"/>
    </row>
    <row r="330" spans="1:4" x14ac:dyDescent="0.45">
      <c r="A330" s="24"/>
      <c r="B330" s="24"/>
      <c r="D330" s="24"/>
    </row>
    <row r="331" spans="1:4" x14ac:dyDescent="0.45">
      <c r="A331" s="24"/>
      <c r="B331" s="24"/>
      <c r="D331" s="24"/>
    </row>
    <row r="332" spans="1:4" x14ac:dyDescent="0.45">
      <c r="A332" s="24"/>
      <c r="B332" s="24"/>
      <c r="D332" s="24"/>
    </row>
    <row r="333" spans="1:4" x14ac:dyDescent="0.45">
      <c r="A333" s="24"/>
      <c r="B333" s="24"/>
      <c r="D333" s="24"/>
    </row>
    <row r="334" spans="1:4" x14ac:dyDescent="0.45">
      <c r="A334" s="24"/>
      <c r="B334" s="24"/>
      <c r="D334" s="24"/>
    </row>
    <row r="335" spans="1:4" x14ac:dyDescent="0.45">
      <c r="A335" s="24"/>
      <c r="B335" s="24"/>
      <c r="D335" s="24"/>
    </row>
    <row r="336" spans="1:4" x14ac:dyDescent="0.45">
      <c r="A336" s="24"/>
      <c r="B336" s="24"/>
      <c r="D336" s="24"/>
    </row>
    <row r="337" spans="1:4" x14ac:dyDescent="0.45">
      <c r="A337" s="24"/>
      <c r="B337" s="24"/>
      <c r="D337" s="24"/>
    </row>
    <row r="338" spans="1:4" x14ac:dyDescent="0.45">
      <c r="A338" s="24"/>
      <c r="B338" s="24"/>
      <c r="D338" s="24"/>
    </row>
    <row r="339" spans="1:4" x14ac:dyDescent="0.45">
      <c r="A339" s="24"/>
      <c r="B339" s="24"/>
      <c r="D339" s="24"/>
    </row>
    <row r="340" spans="1:4" x14ac:dyDescent="0.45">
      <c r="A340" s="24"/>
      <c r="B340" s="24"/>
      <c r="D340" s="24"/>
    </row>
    <row r="341" spans="1:4" x14ac:dyDescent="0.45">
      <c r="A341" s="24"/>
      <c r="B341" s="24"/>
      <c r="D341" s="24"/>
    </row>
    <row r="342" spans="1:4" x14ac:dyDescent="0.45">
      <c r="A342" s="24"/>
      <c r="B342" s="24"/>
      <c r="D342" s="24"/>
    </row>
    <row r="343" spans="1:4" x14ac:dyDescent="0.45">
      <c r="A343" s="24"/>
      <c r="B343" s="24"/>
      <c r="D343" s="24"/>
    </row>
    <row r="344" spans="1:4" x14ac:dyDescent="0.45">
      <c r="A344" s="24"/>
      <c r="B344" s="24"/>
      <c r="D344" s="24"/>
    </row>
    <row r="345" spans="1:4" x14ac:dyDescent="0.45">
      <c r="A345" s="24"/>
      <c r="B345" s="24"/>
      <c r="D345" s="24"/>
    </row>
    <row r="346" spans="1:4" x14ac:dyDescent="0.45">
      <c r="A346" s="24"/>
      <c r="B346" s="24"/>
      <c r="D346" s="24"/>
    </row>
    <row r="347" spans="1:4" x14ac:dyDescent="0.45">
      <c r="A347" s="24"/>
      <c r="B347" s="24"/>
      <c r="D347" s="24"/>
    </row>
    <row r="348" spans="1:4" x14ac:dyDescent="0.45">
      <c r="A348" s="24"/>
      <c r="B348" s="24"/>
      <c r="D348" s="24"/>
    </row>
    <row r="349" spans="1:4" x14ac:dyDescent="0.45">
      <c r="A349" s="24"/>
      <c r="B349" s="24"/>
      <c r="D349" s="24"/>
    </row>
    <row r="350" spans="1:4" x14ac:dyDescent="0.45">
      <c r="A350" s="24"/>
      <c r="B350" s="24"/>
      <c r="D350" s="24"/>
    </row>
    <row r="351" spans="1:4" x14ac:dyDescent="0.45">
      <c r="A351" s="24"/>
      <c r="B351" s="24"/>
      <c r="D351" s="24"/>
    </row>
    <row r="352" spans="1:4" x14ac:dyDescent="0.45">
      <c r="A352" s="24"/>
      <c r="B352" s="24"/>
      <c r="D352" s="24"/>
    </row>
    <row r="353" spans="1:4" x14ac:dyDescent="0.45">
      <c r="A353" s="24"/>
      <c r="B353" s="24"/>
      <c r="D353" s="24"/>
    </row>
    <row r="354" spans="1:4" x14ac:dyDescent="0.45">
      <c r="A354" s="24"/>
      <c r="B354" s="24"/>
      <c r="D354" s="24"/>
    </row>
    <row r="355" spans="1:4" x14ac:dyDescent="0.45">
      <c r="A355" s="24"/>
      <c r="B355" s="24"/>
      <c r="D355" s="24"/>
    </row>
    <row r="356" spans="1:4" x14ac:dyDescent="0.45">
      <c r="A356" s="24"/>
      <c r="B356" s="24"/>
      <c r="D356" s="24"/>
    </row>
    <row r="357" spans="1:4" x14ac:dyDescent="0.45">
      <c r="A357" s="24"/>
      <c r="B357" s="24"/>
      <c r="D357" s="24"/>
    </row>
    <row r="358" spans="1:4" x14ac:dyDescent="0.45">
      <c r="A358" s="24"/>
      <c r="B358" s="24"/>
      <c r="D358" s="24"/>
    </row>
    <row r="359" spans="1:4" x14ac:dyDescent="0.45">
      <c r="A359" s="24"/>
      <c r="B359" s="24"/>
      <c r="D359" s="24"/>
    </row>
    <row r="360" spans="1:4" x14ac:dyDescent="0.45">
      <c r="A360" s="24"/>
      <c r="B360" s="24"/>
      <c r="D360" s="24"/>
    </row>
    <row r="361" spans="1:4" x14ac:dyDescent="0.45">
      <c r="A361" s="24"/>
      <c r="B361" s="24"/>
      <c r="D361" s="24"/>
    </row>
    <row r="362" spans="1:4" x14ac:dyDescent="0.45">
      <c r="A362" s="24"/>
      <c r="B362" s="24"/>
      <c r="D362" s="24"/>
    </row>
    <row r="363" spans="1:4" x14ac:dyDescent="0.45">
      <c r="A363" s="24"/>
      <c r="B363" s="24"/>
      <c r="D363" s="24"/>
    </row>
    <row r="364" spans="1:4" x14ac:dyDescent="0.45">
      <c r="A364" s="24"/>
      <c r="B364" s="24"/>
      <c r="D364" s="24"/>
    </row>
    <row r="365" spans="1:4" x14ac:dyDescent="0.45">
      <c r="A365" s="24"/>
      <c r="B365" s="24"/>
      <c r="D365" s="24"/>
    </row>
    <row r="366" spans="1:4" x14ac:dyDescent="0.45">
      <c r="A366" s="24"/>
      <c r="B366" s="24"/>
      <c r="D366" s="24"/>
    </row>
    <row r="367" spans="1:4" x14ac:dyDescent="0.45">
      <c r="A367" s="24"/>
      <c r="B367" s="24"/>
      <c r="D367" s="24"/>
    </row>
    <row r="368" spans="1:4" x14ac:dyDescent="0.45">
      <c r="A368" s="24"/>
      <c r="B368" s="24"/>
      <c r="D368" s="24"/>
    </row>
    <row r="369" spans="1:4" x14ac:dyDescent="0.45">
      <c r="A369" s="24"/>
      <c r="B369" s="24"/>
      <c r="D369" s="24"/>
    </row>
    <row r="370" spans="1:4" x14ac:dyDescent="0.45">
      <c r="A370" s="24"/>
      <c r="B370" s="24"/>
      <c r="D370" s="24"/>
    </row>
    <row r="371" spans="1:4" x14ac:dyDescent="0.45">
      <c r="A371" s="24"/>
      <c r="B371" s="24"/>
      <c r="D371" s="24"/>
    </row>
    <row r="372" spans="1:4" x14ac:dyDescent="0.45">
      <c r="A372" s="24"/>
      <c r="B372" s="24"/>
      <c r="D372" s="24"/>
    </row>
    <row r="373" spans="1:4" x14ac:dyDescent="0.45">
      <c r="A373" s="24"/>
      <c r="B373" s="24"/>
      <c r="D373" s="24"/>
    </row>
    <row r="374" spans="1:4" x14ac:dyDescent="0.45">
      <c r="A374" s="24"/>
      <c r="B374" s="24"/>
      <c r="D374" s="24"/>
    </row>
    <row r="375" spans="1:4" x14ac:dyDescent="0.45">
      <c r="A375" s="24"/>
      <c r="B375" s="24"/>
      <c r="D375" s="24"/>
    </row>
    <row r="376" spans="1:4" x14ac:dyDescent="0.45">
      <c r="A376" s="24"/>
      <c r="B376" s="24"/>
      <c r="D376" s="24"/>
    </row>
    <row r="377" spans="1:4" x14ac:dyDescent="0.45">
      <c r="A377" s="24"/>
      <c r="B377" s="24"/>
      <c r="D377" s="24"/>
    </row>
    <row r="378" spans="1:4" x14ac:dyDescent="0.45">
      <c r="A378" s="24"/>
      <c r="B378" s="24"/>
      <c r="D378" s="24"/>
    </row>
    <row r="379" spans="1:4" x14ac:dyDescent="0.45">
      <c r="A379" s="24"/>
      <c r="B379" s="24"/>
      <c r="D379" s="24"/>
    </row>
    <row r="380" spans="1:4" x14ac:dyDescent="0.45">
      <c r="A380" s="24"/>
      <c r="B380" s="24"/>
      <c r="D380" s="24"/>
    </row>
    <row r="381" spans="1:4" x14ac:dyDescent="0.45">
      <c r="A381" s="24"/>
      <c r="B381" s="24"/>
      <c r="D381" s="24"/>
    </row>
    <row r="382" spans="1:4" x14ac:dyDescent="0.45">
      <c r="A382" s="24"/>
      <c r="B382" s="24"/>
      <c r="D382" s="24"/>
    </row>
    <row r="383" spans="1:4" x14ac:dyDescent="0.45">
      <c r="A383" s="24"/>
      <c r="B383" s="24"/>
      <c r="D383" s="24"/>
    </row>
    <row r="384" spans="1:4" x14ac:dyDescent="0.45">
      <c r="A384" s="24"/>
      <c r="B384" s="24"/>
      <c r="D384" s="24"/>
    </row>
    <row r="385" spans="1:4" x14ac:dyDescent="0.45">
      <c r="A385" s="24"/>
      <c r="B385" s="24"/>
      <c r="D385" s="24"/>
    </row>
    <row r="386" spans="1:4" x14ac:dyDescent="0.45">
      <c r="A386" s="24"/>
      <c r="B386" s="24"/>
      <c r="D386" s="24"/>
    </row>
    <row r="387" spans="1:4" x14ac:dyDescent="0.45">
      <c r="A387" s="24"/>
      <c r="B387" s="24"/>
      <c r="D387" s="24"/>
    </row>
    <row r="388" spans="1:4" x14ac:dyDescent="0.45">
      <c r="A388" s="24"/>
      <c r="B388" s="24"/>
      <c r="D388" s="24"/>
    </row>
    <row r="389" spans="1:4" x14ac:dyDescent="0.45">
      <c r="A389" s="24"/>
      <c r="B389" s="24"/>
      <c r="D389" s="24"/>
    </row>
    <row r="390" spans="1:4" x14ac:dyDescent="0.45">
      <c r="A390" s="24"/>
      <c r="B390" s="24"/>
      <c r="D390" s="24"/>
    </row>
    <row r="391" spans="1:4" x14ac:dyDescent="0.45">
      <c r="A391" s="24"/>
      <c r="B391" s="24"/>
      <c r="D391" s="24"/>
    </row>
    <row r="392" spans="1:4" x14ac:dyDescent="0.45">
      <c r="A392" s="24"/>
      <c r="B392" s="24"/>
      <c r="D392" s="24"/>
    </row>
    <row r="393" spans="1:4" x14ac:dyDescent="0.45">
      <c r="A393" s="24"/>
      <c r="B393" s="24"/>
      <c r="D393" s="24"/>
    </row>
    <row r="394" spans="1:4" x14ac:dyDescent="0.45">
      <c r="A394" s="24"/>
      <c r="B394" s="24"/>
      <c r="D394" s="24"/>
    </row>
    <row r="395" spans="1:4" x14ac:dyDescent="0.45">
      <c r="A395" s="24"/>
      <c r="B395" s="24"/>
      <c r="D395" s="24"/>
    </row>
    <row r="396" spans="1:4" x14ac:dyDescent="0.45">
      <c r="A396" s="24"/>
      <c r="B396" s="24"/>
      <c r="D396" s="24"/>
    </row>
    <row r="397" spans="1:4" x14ac:dyDescent="0.45">
      <c r="A397" s="24"/>
      <c r="B397" s="24"/>
      <c r="D397" s="24"/>
    </row>
    <row r="398" spans="1:4" x14ac:dyDescent="0.45">
      <c r="A398" s="24"/>
      <c r="B398" s="24"/>
      <c r="D398" s="24"/>
    </row>
    <row r="399" spans="1:4" x14ac:dyDescent="0.45">
      <c r="A399" s="24"/>
      <c r="B399" s="24"/>
      <c r="D399" s="24"/>
    </row>
    <row r="400" spans="1:4" x14ac:dyDescent="0.45">
      <c r="A400" s="24"/>
      <c r="B400" s="24"/>
      <c r="D400" s="24"/>
    </row>
    <row r="401" spans="1:4" x14ac:dyDescent="0.45">
      <c r="A401" s="24"/>
      <c r="B401" s="24"/>
      <c r="D401" s="24"/>
    </row>
    <row r="402" spans="1:4" x14ac:dyDescent="0.45">
      <c r="A402" s="24"/>
      <c r="B402" s="24"/>
      <c r="D402" s="24"/>
    </row>
    <row r="403" spans="1:4" x14ac:dyDescent="0.45">
      <c r="A403" s="24"/>
      <c r="B403" s="24"/>
      <c r="D403" s="24"/>
    </row>
    <row r="404" spans="1:4" x14ac:dyDescent="0.45">
      <c r="A404" s="24"/>
      <c r="B404" s="24"/>
      <c r="D404" s="24"/>
    </row>
    <row r="405" spans="1:4" x14ac:dyDescent="0.45">
      <c r="A405" s="24"/>
      <c r="B405" s="24"/>
      <c r="D405" s="24"/>
    </row>
    <row r="406" spans="1:4" x14ac:dyDescent="0.45">
      <c r="A406" s="24"/>
      <c r="B406" s="24"/>
      <c r="D406" s="24"/>
    </row>
    <row r="407" spans="1:4" x14ac:dyDescent="0.45">
      <c r="A407" s="24"/>
      <c r="B407" s="24"/>
      <c r="D407" s="24"/>
    </row>
    <row r="408" spans="1:4" x14ac:dyDescent="0.45">
      <c r="A408" s="24"/>
      <c r="B408" s="24"/>
      <c r="D408" s="24"/>
    </row>
    <row r="409" spans="1:4" x14ac:dyDescent="0.45">
      <c r="A409" s="24"/>
      <c r="B409" s="24"/>
      <c r="D409" s="24"/>
    </row>
    <row r="410" spans="1:4" x14ac:dyDescent="0.45">
      <c r="A410" s="24"/>
      <c r="B410" s="24"/>
      <c r="D410" s="24"/>
    </row>
    <row r="411" spans="1:4" x14ac:dyDescent="0.45">
      <c r="A411" s="24"/>
      <c r="B411" s="24"/>
      <c r="D411" s="24"/>
    </row>
    <row r="412" spans="1:4" x14ac:dyDescent="0.45">
      <c r="A412" s="24"/>
      <c r="B412" s="24"/>
      <c r="D412" s="24"/>
    </row>
    <row r="413" spans="1:4" x14ac:dyDescent="0.45">
      <c r="A413" s="24"/>
      <c r="B413" s="24"/>
      <c r="D413" s="24"/>
    </row>
    <row r="414" spans="1:4" x14ac:dyDescent="0.45">
      <c r="A414" s="24"/>
      <c r="B414" s="24"/>
      <c r="D414" s="24"/>
    </row>
    <row r="415" spans="1:4" x14ac:dyDescent="0.45">
      <c r="A415" s="24"/>
      <c r="B415" s="24"/>
      <c r="D415" s="24"/>
    </row>
    <row r="416" spans="1:4" x14ac:dyDescent="0.45">
      <c r="A416" s="24"/>
      <c r="B416" s="24"/>
      <c r="D416" s="24"/>
    </row>
    <row r="417" spans="1:4" x14ac:dyDescent="0.45">
      <c r="A417" s="24"/>
      <c r="B417" s="24"/>
      <c r="D417" s="24"/>
    </row>
    <row r="418" spans="1:4" x14ac:dyDescent="0.45">
      <c r="A418" s="24"/>
      <c r="B418" s="24"/>
      <c r="D418" s="24"/>
    </row>
    <row r="419" spans="1:4" x14ac:dyDescent="0.45">
      <c r="A419" s="24"/>
      <c r="B419" s="24"/>
      <c r="D419" s="24"/>
    </row>
    <row r="420" spans="1:4" x14ac:dyDescent="0.45">
      <c r="A420" s="24"/>
      <c r="B420" s="24"/>
      <c r="D420" s="24"/>
    </row>
    <row r="421" spans="1:4" x14ac:dyDescent="0.45">
      <c r="A421" s="24"/>
      <c r="B421" s="24"/>
      <c r="D421" s="24"/>
    </row>
    <row r="422" spans="1:4" x14ac:dyDescent="0.45">
      <c r="A422" s="24"/>
      <c r="B422" s="24"/>
      <c r="D422" s="24"/>
    </row>
    <row r="423" spans="1:4" x14ac:dyDescent="0.45">
      <c r="A423" s="24"/>
      <c r="B423" s="24"/>
      <c r="D423" s="24"/>
    </row>
    <row r="424" spans="1:4" x14ac:dyDescent="0.45">
      <c r="A424" s="24"/>
      <c r="B424" s="24"/>
      <c r="D424" s="24"/>
    </row>
    <row r="425" spans="1:4" x14ac:dyDescent="0.45">
      <c r="A425" s="24"/>
      <c r="B425" s="24"/>
      <c r="D425" s="24"/>
    </row>
    <row r="426" spans="1:4" x14ac:dyDescent="0.45">
      <c r="A426" s="24"/>
      <c r="B426" s="24"/>
      <c r="D426" s="24"/>
    </row>
    <row r="427" spans="1:4" x14ac:dyDescent="0.45">
      <c r="A427" s="24"/>
      <c r="B427" s="24"/>
      <c r="D427" s="24"/>
    </row>
    <row r="428" spans="1:4" x14ac:dyDescent="0.45">
      <c r="A428" s="24"/>
      <c r="B428" s="24"/>
      <c r="D428" s="24"/>
    </row>
    <row r="429" spans="1:4" x14ac:dyDescent="0.45">
      <c r="A429" s="24"/>
      <c r="B429" s="24"/>
      <c r="D429" s="24"/>
    </row>
    <row r="430" spans="1:4" x14ac:dyDescent="0.45">
      <c r="A430" s="24"/>
      <c r="B430" s="24"/>
      <c r="D430" s="24"/>
    </row>
    <row r="431" spans="1:4" x14ac:dyDescent="0.45">
      <c r="A431" s="24"/>
      <c r="B431" s="24"/>
      <c r="D431" s="24"/>
    </row>
    <row r="432" spans="1:4" x14ac:dyDescent="0.45">
      <c r="A432" s="24"/>
      <c r="B432" s="24"/>
      <c r="D432" s="24"/>
    </row>
    <row r="433" spans="1:4" x14ac:dyDescent="0.45">
      <c r="A433" s="24"/>
      <c r="B433" s="24"/>
      <c r="D433" s="24"/>
    </row>
    <row r="434" spans="1:4" x14ac:dyDescent="0.45">
      <c r="A434" s="24"/>
      <c r="B434" s="24"/>
      <c r="D434" s="24"/>
    </row>
    <row r="435" spans="1:4" x14ac:dyDescent="0.45">
      <c r="A435" s="24"/>
      <c r="B435" s="24"/>
      <c r="D435" s="24"/>
    </row>
    <row r="436" spans="1:4" x14ac:dyDescent="0.45">
      <c r="A436" s="24"/>
      <c r="B436" s="24"/>
      <c r="D436" s="24"/>
    </row>
    <row r="437" spans="1:4" x14ac:dyDescent="0.45">
      <c r="A437" s="24"/>
      <c r="B437" s="24"/>
      <c r="D437" s="24"/>
    </row>
    <row r="438" spans="1:4" x14ac:dyDescent="0.45">
      <c r="A438" s="24"/>
      <c r="B438" s="24"/>
      <c r="D438" s="24"/>
    </row>
    <row r="439" spans="1:4" x14ac:dyDescent="0.45">
      <c r="A439" s="24"/>
      <c r="B439" s="24"/>
      <c r="D439" s="24"/>
    </row>
    <row r="440" spans="1:4" x14ac:dyDescent="0.45">
      <c r="A440" s="24"/>
      <c r="B440" s="24"/>
      <c r="D440" s="24"/>
    </row>
    <row r="441" spans="1:4" x14ac:dyDescent="0.45">
      <c r="A441" s="24"/>
      <c r="B441" s="24"/>
      <c r="D441" s="24"/>
    </row>
    <row r="442" spans="1:4" x14ac:dyDescent="0.45">
      <c r="A442" s="24"/>
      <c r="B442" s="24"/>
      <c r="D442" s="24"/>
    </row>
    <row r="443" spans="1:4" x14ac:dyDescent="0.45">
      <c r="A443" s="24"/>
      <c r="B443" s="24"/>
      <c r="D443" s="24"/>
    </row>
    <row r="444" spans="1:4" x14ac:dyDescent="0.45">
      <c r="A444" s="24"/>
      <c r="B444" s="24"/>
      <c r="D444" s="24"/>
    </row>
    <row r="445" spans="1:4" x14ac:dyDescent="0.45">
      <c r="A445" s="24"/>
      <c r="B445" s="24"/>
      <c r="D445" s="24"/>
    </row>
    <row r="446" spans="1:4" x14ac:dyDescent="0.45">
      <c r="A446" s="24"/>
      <c r="B446" s="24"/>
      <c r="D446" s="24"/>
    </row>
    <row r="447" spans="1:4" x14ac:dyDescent="0.45">
      <c r="A447" s="24"/>
      <c r="B447" s="24"/>
      <c r="D447" s="24"/>
    </row>
    <row r="448" spans="1:4" x14ac:dyDescent="0.45">
      <c r="A448" s="24"/>
      <c r="B448" s="24"/>
      <c r="D448" s="24"/>
    </row>
    <row r="449" spans="1:4" x14ac:dyDescent="0.45">
      <c r="A449" s="24"/>
      <c r="B449" s="24"/>
      <c r="D449" s="24"/>
    </row>
    <row r="450" spans="1:4" x14ac:dyDescent="0.45">
      <c r="A450" s="24"/>
      <c r="B450" s="24"/>
      <c r="D450" s="24"/>
    </row>
    <row r="451" spans="1:4" x14ac:dyDescent="0.45">
      <c r="A451" s="24"/>
      <c r="B451" s="24"/>
      <c r="D451" s="24"/>
    </row>
    <row r="452" spans="1:4" x14ac:dyDescent="0.45">
      <c r="A452" s="24"/>
      <c r="B452" s="24"/>
      <c r="D452" s="24"/>
    </row>
    <row r="453" spans="1:4" x14ac:dyDescent="0.45">
      <c r="A453" s="24"/>
      <c r="B453" s="24"/>
      <c r="D453" s="24"/>
    </row>
    <row r="454" spans="1:4" x14ac:dyDescent="0.45">
      <c r="A454" s="24"/>
      <c r="B454" s="24"/>
      <c r="D454" s="24"/>
    </row>
    <row r="455" spans="1:4" x14ac:dyDescent="0.45">
      <c r="A455" s="24"/>
      <c r="B455" s="24"/>
      <c r="D455" s="24"/>
    </row>
    <row r="456" spans="1:4" x14ac:dyDescent="0.45">
      <c r="A456" s="24"/>
      <c r="B456" s="24"/>
      <c r="D456" s="24"/>
    </row>
    <row r="457" spans="1:4" x14ac:dyDescent="0.45">
      <c r="A457" s="24"/>
      <c r="B457" s="24"/>
      <c r="D457" s="24"/>
    </row>
    <row r="458" spans="1:4" x14ac:dyDescent="0.45">
      <c r="A458" s="24"/>
      <c r="B458" s="24"/>
      <c r="D458" s="24"/>
    </row>
    <row r="459" spans="1:4" x14ac:dyDescent="0.45">
      <c r="A459" s="24"/>
      <c r="B459" s="24"/>
      <c r="D459" s="24"/>
    </row>
    <row r="460" spans="1:4" x14ac:dyDescent="0.45">
      <c r="A460" s="24"/>
      <c r="B460" s="24"/>
      <c r="D460" s="24"/>
    </row>
    <row r="461" spans="1:4" x14ac:dyDescent="0.45">
      <c r="A461" s="24"/>
      <c r="B461" s="24"/>
      <c r="D461" s="24"/>
    </row>
    <row r="462" spans="1:4" x14ac:dyDescent="0.45">
      <c r="A462" s="24"/>
      <c r="B462" s="24"/>
      <c r="D462" s="24"/>
    </row>
    <row r="463" spans="1:4" x14ac:dyDescent="0.45">
      <c r="A463" s="24"/>
      <c r="B463" s="24"/>
      <c r="D463" s="24"/>
    </row>
    <row r="464" spans="1:4" x14ac:dyDescent="0.45">
      <c r="A464" s="24"/>
      <c r="B464" s="24"/>
      <c r="D464" s="24"/>
    </row>
    <row r="465" spans="1:4" x14ac:dyDescent="0.45">
      <c r="A465" s="24"/>
      <c r="B465" s="24"/>
      <c r="D465" s="24"/>
    </row>
    <row r="466" spans="1:4" x14ac:dyDescent="0.45">
      <c r="A466" s="24"/>
      <c r="B466" s="24"/>
      <c r="D466" s="24"/>
    </row>
    <row r="467" spans="1:4" x14ac:dyDescent="0.45">
      <c r="A467" s="24"/>
      <c r="B467" s="24"/>
      <c r="D467" s="24"/>
    </row>
    <row r="468" spans="1:4" x14ac:dyDescent="0.45">
      <c r="A468" s="24"/>
      <c r="B468" s="24"/>
      <c r="D468" s="24"/>
    </row>
    <row r="469" spans="1:4" x14ac:dyDescent="0.45">
      <c r="A469" s="24"/>
      <c r="B469" s="24"/>
      <c r="D469" s="24"/>
    </row>
    <row r="470" spans="1:4" x14ac:dyDescent="0.45">
      <c r="A470" s="24"/>
      <c r="B470" s="24"/>
      <c r="D470" s="24"/>
    </row>
    <row r="471" spans="1:4" x14ac:dyDescent="0.45">
      <c r="A471" s="24"/>
      <c r="B471" s="24"/>
      <c r="D471" s="24"/>
    </row>
    <row r="472" spans="1:4" x14ac:dyDescent="0.45">
      <c r="A472" s="24"/>
      <c r="B472" s="24"/>
      <c r="D472" s="24"/>
    </row>
    <row r="473" spans="1:4" x14ac:dyDescent="0.45">
      <c r="A473" s="24"/>
      <c r="B473" s="24"/>
      <c r="D473" s="24"/>
    </row>
    <row r="474" spans="1:4" x14ac:dyDescent="0.45">
      <c r="A474" s="24"/>
      <c r="B474" s="24"/>
      <c r="D474" s="24"/>
    </row>
    <row r="475" spans="1:4" x14ac:dyDescent="0.45">
      <c r="A475" s="24"/>
      <c r="B475" s="24"/>
      <c r="D475" s="24"/>
    </row>
    <row r="476" spans="1:4" x14ac:dyDescent="0.45">
      <c r="A476" s="24"/>
      <c r="B476" s="24"/>
      <c r="D476" s="24"/>
    </row>
    <row r="477" spans="1:4" x14ac:dyDescent="0.45">
      <c r="A477" s="24"/>
      <c r="B477" s="24"/>
      <c r="D477" s="24"/>
    </row>
    <row r="478" spans="1:4" x14ac:dyDescent="0.45">
      <c r="A478" s="24"/>
      <c r="B478" s="24"/>
      <c r="D478" s="24"/>
    </row>
    <row r="479" spans="1:4" x14ac:dyDescent="0.45">
      <c r="A479" s="24"/>
      <c r="B479" s="24"/>
      <c r="D479" s="24"/>
    </row>
    <row r="480" spans="1:4" x14ac:dyDescent="0.45">
      <c r="A480" s="24"/>
      <c r="B480" s="24"/>
      <c r="D480" s="24"/>
    </row>
    <row r="481" spans="1:4" x14ac:dyDescent="0.45">
      <c r="A481" s="24"/>
      <c r="B481" s="24"/>
      <c r="D481" s="24"/>
    </row>
    <row r="482" spans="1:4" x14ac:dyDescent="0.45">
      <c r="A482" s="24"/>
      <c r="B482" s="24"/>
      <c r="D482" s="24"/>
    </row>
    <row r="483" spans="1:4" x14ac:dyDescent="0.45">
      <c r="A483" s="24"/>
      <c r="B483" s="24"/>
      <c r="D483" s="24"/>
    </row>
    <row r="484" spans="1:4" x14ac:dyDescent="0.45">
      <c r="A484" s="24"/>
      <c r="B484" s="24"/>
      <c r="D484" s="24"/>
    </row>
    <row r="485" spans="1:4" x14ac:dyDescent="0.45">
      <c r="A485" s="24"/>
      <c r="B485" s="24"/>
      <c r="D485" s="24"/>
    </row>
    <row r="486" spans="1:4" x14ac:dyDescent="0.45">
      <c r="A486" s="24"/>
      <c r="B486" s="24"/>
      <c r="D486" s="24"/>
    </row>
    <row r="487" spans="1:4" x14ac:dyDescent="0.45">
      <c r="A487" s="24"/>
      <c r="B487" s="24"/>
      <c r="D487" s="24"/>
    </row>
    <row r="488" spans="1:4" x14ac:dyDescent="0.45">
      <c r="A488" s="24"/>
      <c r="B488" s="24"/>
      <c r="D488" s="24"/>
    </row>
    <row r="489" spans="1:4" x14ac:dyDescent="0.45">
      <c r="A489" s="24"/>
      <c r="B489" s="24"/>
      <c r="D489" s="24"/>
    </row>
    <row r="490" spans="1:4" x14ac:dyDescent="0.45">
      <c r="A490" s="24"/>
      <c r="B490" s="24"/>
      <c r="D490" s="24"/>
    </row>
    <row r="491" spans="1:4" x14ac:dyDescent="0.45">
      <c r="A491" s="24"/>
      <c r="B491" s="24"/>
      <c r="D491" s="24"/>
    </row>
    <row r="492" spans="1:4" x14ac:dyDescent="0.45">
      <c r="A492" s="24"/>
      <c r="B492" s="24"/>
      <c r="D492" s="24"/>
    </row>
    <row r="493" spans="1:4" x14ac:dyDescent="0.45">
      <c r="A493" s="24"/>
      <c r="B493" s="24"/>
      <c r="D493" s="24"/>
    </row>
    <row r="494" spans="1:4" x14ac:dyDescent="0.45">
      <c r="A494" s="24"/>
      <c r="B494" s="24"/>
      <c r="D494" s="24"/>
    </row>
    <row r="495" spans="1:4" x14ac:dyDescent="0.45">
      <c r="A495" s="24"/>
      <c r="B495" s="24"/>
      <c r="D495" s="24"/>
    </row>
    <row r="496" spans="1:4" x14ac:dyDescent="0.45">
      <c r="A496" s="24"/>
      <c r="B496" s="24"/>
      <c r="D496" s="24"/>
    </row>
    <row r="497" spans="1:4" x14ac:dyDescent="0.45">
      <c r="A497" s="24"/>
      <c r="B497" s="24"/>
      <c r="D497" s="24"/>
    </row>
    <row r="498" spans="1:4" x14ac:dyDescent="0.45">
      <c r="A498" s="24"/>
      <c r="B498" s="24"/>
      <c r="D498" s="24"/>
    </row>
    <row r="499" spans="1:4" x14ac:dyDescent="0.45">
      <c r="A499" s="24"/>
      <c r="B499" s="24"/>
      <c r="D499" s="24"/>
    </row>
    <row r="500" spans="1:4" x14ac:dyDescent="0.45">
      <c r="A500" s="24"/>
      <c r="B500" s="24"/>
      <c r="D500" s="24"/>
    </row>
    <row r="501" spans="1:4" x14ac:dyDescent="0.45">
      <c r="A501" s="24"/>
      <c r="B501" s="24"/>
      <c r="D501" s="24"/>
    </row>
    <row r="502" spans="1:4" x14ac:dyDescent="0.45">
      <c r="A502" s="24"/>
      <c r="B502" s="24"/>
      <c r="D502" s="24"/>
    </row>
    <row r="503" spans="1:4" x14ac:dyDescent="0.45">
      <c r="A503" s="24"/>
      <c r="B503" s="24"/>
      <c r="D503" s="24"/>
    </row>
    <row r="504" spans="1:4" x14ac:dyDescent="0.45">
      <c r="A504" s="24"/>
      <c r="B504" s="24"/>
      <c r="D504" s="24"/>
    </row>
    <row r="505" spans="1:4" x14ac:dyDescent="0.45">
      <c r="A505" s="24"/>
      <c r="B505" s="24"/>
      <c r="D505" s="24"/>
    </row>
    <row r="506" spans="1:4" x14ac:dyDescent="0.45">
      <c r="A506" s="24"/>
      <c r="B506" s="24"/>
      <c r="D506" s="24"/>
    </row>
    <row r="507" spans="1:4" x14ac:dyDescent="0.45">
      <c r="A507" s="24"/>
      <c r="B507" s="24"/>
      <c r="D507" s="24"/>
    </row>
    <row r="508" spans="1:4" x14ac:dyDescent="0.45">
      <c r="A508" s="24"/>
      <c r="B508" s="24"/>
      <c r="D508" s="24"/>
    </row>
    <row r="509" spans="1:4" x14ac:dyDescent="0.45">
      <c r="A509" s="24"/>
      <c r="B509" s="24"/>
      <c r="D509" s="24"/>
    </row>
    <row r="510" spans="1:4" x14ac:dyDescent="0.45">
      <c r="A510" s="24"/>
      <c r="B510" s="24"/>
      <c r="D510" s="24"/>
    </row>
    <row r="511" spans="1:4" x14ac:dyDescent="0.45">
      <c r="A511" s="24"/>
      <c r="B511" s="24"/>
      <c r="D511" s="24"/>
    </row>
    <row r="512" spans="1:4" x14ac:dyDescent="0.45">
      <c r="A512" s="24"/>
      <c r="B512" s="24"/>
      <c r="D512" s="24"/>
    </row>
    <row r="513" spans="1:4" x14ac:dyDescent="0.45">
      <c r="A513" s="24"/>
      <c r="B513" s="24"/>
      <c r="D513" s="24"/>
    </row>
    <row r="514" spans="1:4" x14ac:dyDescent="0.45">
      <c r="A514" s="24"/>
      <c r="B514" s="24"/>
      <c r="D514" s="24"/>
    </row>
    <row r="515" spans="1:4" x14ac:dyDescent="0.45">
      <c r="A515" s="24"/>
      <c r="B515" s="24"/>
      <c r="D515" s="24"/>
    </row>
    <row r="516" spans="1:4" x14ac:dyDescent="0.45">
      <c r="A516" s="24"/>
      <c r="B516" s="24"/>
      <c r="D516" s="24"/>
    </row>
    <row r="517" spans="1:4" x14ac:dyDescent="0.45">
      <c r="A517" s="24"/>
      <c r="B517" s="24"/>
      <c r="D517" s="24"/>
    </row>
    <row r="518" spans="1:4" x14ac:dyDescent="0.45">
      <c r="A518" s="24"/>
      <c r="B518" s="24"/>
      <c r="D518" s="24"/>
    </row>
    <row r="519" spans="1:4" x14ac:dyDescent="0.45">
      <c r="A519" s="24"/>
      <c r="B519" s="24"/>
      <c r="D519" s="24"/>
    </row>
    <row r="520" spans="1:4" x14ac:dyDescent="0.45">
      <c r="A520" s="24"/>
      <c r="B520" s="24"/>
      <c r="D520" s="24"/>
    </row>
    <row r="521" spans="1:4" x14ac:dyDescent="0.45">
      <c r="A521" s="24"/>
      <c r="B521" s="24"/>
      <c r="D521" s="24"/>
    </row>
    <row r="522" spans="1:4" x14ac:dyDescent="0.45">
      <c r="A522" s="24"/>
      <c r="B522" s="24"/>
      <c r="D522" s="24"/>
    </row>
    <row r="523" spans="1:4" x14ac:dyDescent="0.45">
      <c r="A523" s="24"/>
      <c r="B523" s="24"/>
      <c r="D523" s="24"/>
    </row>
    <row r="524" spans="1:4" x14ac:dyDescent="0.45">
      <c r="A524" s="24"/>
      <c r="B524" s="24"/>
      <c r="D524" s="24"/>
    </row>
    <row r="525" spans="1:4" x14ac:dyDescent="0.45">
      <c r="A525" s="24"/>
      <c r="B525" s="24"/>
      <c r="D525" s="24"/>
    </row>
    <row r="526" spans="1:4" x14ac:dyDescent="0.45">
      <c r="A526" s="24"/>
      <c r="B526" s="24"/>
      <c r="D526" s="24"/>
    </row>
    <row r="527" spans="1:4" x14ac:dyDescent="0.45">
      <c r="A527" s="24"/>
      <c r="B527" s="24"/>
      <c r="D527" s="24"/>
    </row>
    <row r="528" spans="1:4" x14ac:dyDescent="0.45">
      <c r="A528" s="24"/>
      <c r="B528" s="24"/>
      <c r="D528" s="24"/>
    </row>
    <row r="529" spans="1:4" x14ac:dyDescent="0.45">
      <c r="A529" s="24"/>
      <c r="B529" s="24"/>
      <c r="D529" s="24"/>
    </row>
    <row r="530" spans="1:4" x14ac:dyDescent="0.45">
      <c r="A530" s="24"/>
      <c r="B530" s="24"/>
      <c r="D530" s="24"/>
    </row>
    <row r="531" spans="1:4" x14ac:dyDescent="0.45">
      <c r="A531" s="24"/>
      <c r="B531" s="24"/>
      <c r="D531" s="24"/>
    </row>
    <row r="532" spans="1:4" x14ac:dyDescent="0.45">
      <c r="A532" s="24"/>
      <c r="B532" s="24"/>
      <c r="D532" s="24"/>
    </row>
    <row r="533" spans="1:4" x14ac:dyDescent="0.45">
      <c r="A533" s="24"/>
      <c r="B533" s="24"/>
      <c r="D533" s="24"/>
    </row>
    <row r="534" spans="1:4" x14ac:dyDescent="0.45">
      <c r="A534" s="24"/>
      <c r="B534" s="24"/>
      <c r="D534" s="24"/>
    </row>
    <row r="535" spans="1:4" x14ac:dyDescent="0.45">
      <c r="A535" s="24"/>
      <c r="B535" s="24"/>
      <c r="D535" s="24"/>
    </row>
    <row r="536" spans="1:4" x14ac:dyDescent="0.45">
      <c r="A536" s="24"/>
      <c r="B536" s="24"/>
      <c r="D536" s="24"/>
    </row>
    <row r="537" spans="1:4" x14ac:dyDescent="0.45">
      <c r="A537" s="24"/>
      <c r="B537" s="24"/>
      <c r="D537" s="24"/>
    </row>
    <row r="538" spans="1:4" x14ac:dyDescent="0.45">
      <c r="A538" s="24"/>
      <c r="B538" s="24"/>
      <c r="D538" s="24"/>
    </row>
    <row r="539" spans="1:4" x14ac:dyDescent="0.45">
      <c r="A539" s="24"/>
      <c r="B539" s="24"/>
      <c r="D539" s="24"/>
    </row>
    <row r="540" spans="1:4" x14ac:dyDescent="0.45">
      <c r="A540" s="24"/>
      <c r="B540" s="24"/>
      <c r="D540" s="24"/>
    </row>
    <row r="541" spans="1:4" x14ac:dyDescent="0.45">
      <c r="A541" s="24"/>
      <c r="B541" s="24"/>
      <c r="D541" s="24"/>
    </row>
    <row r="542" spans="1:4" x14ac:dyDescent="0.45">
      <c r="A542" s="24"/>
      <c r="B542" s="24"/>
      <c r="D542" s="24"/>
    </row>
    <row r="543" spans="1:4" x14ac:dyDescent="0.45">
      <c r="A543" s="24"/>
      <c r="B543" s="24"/>
      <c r="D543" s="24"/>
    </row>
    <row r="544" spans="1:4" x14ac:dyDescent="0.45">
      <c r="A544" s="24"/>
      <c r="B544" s="24"/>
      <c r="D544" s="24"/>
    </row>
    <row r="545" spans="1:4" x14ac:dyDescent="0.45">
      <c r="A545" s="24"/>
      <c r="B545" s="24"/>
      <c r="D545" s="24"/>
    </row>
    <row r="546" spans="1:4" x14ac:dyDescent="0.45">
      <c r="A546" s="24"/>
      <c r="B546" s="24"/>
      <c r="D546" s="24"/>
    </row>
    <row r="547" spans="1:4" x14ac:dyDescent="0.45">
      <c r="A547" s="24"/>
      <c r="B547" s="24"/>
      <c r="D547" s="24"/>
    </row>
    <row r="548" spans="1:4" x14ac:dyDescent="0.45">
      <c r="A548" s="24"/>
      <c r="B548" s="24"/>
      <c r="D548" s="24"/>
    </row>
    <row r="549" spans="1:4" x14ac:dyDescent="0.45">
      <c r="A549" s="24"/>
      <c r="B549" s="24"/>
      <c r="D549" s="24"/>
    </row>
    <row r="550" spans="1:4" x14ac:dyDescent="0.45">
      <c r="A550" s="24"/>
      <c r="B550" s="24"/>
      <c r="D550" s="24"/>
    </row>
    <row r="551" spans="1:4" x14ac:dyDescent="0.45">
      <c r="A551" s="24"/>
      <c r="B551" s="24"/>
      <c r="D551" s="24"/>
    </row>
    <row r="552" spans="1:4" x14ac:dyDescent="0.45">
      <c r="A552" s="24"/>
      <c r="B552" s="24"/>
      <c r="D552" s="24"/>
    </row>
    <row r="553" spans="1:4" x14ac:dyDescent="0.45">
      <c r="A553" s="24"/>
      <c r="B553" s="24"/>
      <c r="D553" s="24"/>
    </row>
    <row r="554" spans="1:4" x14ac:dyDescent="0.45">
      <c r="A554" s="24"/>
      <c r="B554" s="24"/>
      <c r="D554" s="24"/>
    </row>
    <row r="555" spans="1:4" x14ac:dyDescent="0.45">
      <c r="A555" s="24"/>
      <c r="B555" s="24"/>
      <c r="D555" s="24"/>
    </row>
    <row r="556" spans="1:4" x14ac:dyDescent="0.45">
      <c r="A556" s="24"/>
      <c r="B556" s="24"/>
      <c r="D556" s="24"/>
    </row>
    <row r="557" spans="1:4" x14ac:dyDescent="0.45">
      <c r="A557" s="24"/>
      <c r="B557" s="24"/>
      <c r="D557" s="24"/>
    </row>
    <row r="558" spans="1:4" x14ac:dyDescent="0.45">
      <c r="A558" s="24"/>
      <c r="B558" s="24"/>
      <c r="D558" s="24"/>
    </row>
    <row r="559" spans="1:4" x14ac:dyDescent="0.45">
      <c r="A559" s="24"/>
      <c r="B559" s="24"/>
      <c r="D559" s="24"/>
    </row>
    <row r="560" spans="1:4" x14ac:dyDescent="0.45">
      <c r="A560" s="24"/>
      <c r="B560" s="24"/>
      <c r="D560" s="24"/>
    </row>
    <row r="561" spans="1:4" x14ac:dyDescent="0.45">
      <c r="A561" s="24"/>
      <c r="B561" s="24"/>
      <c r="D561" s="24"/>
    </row>
    <row r="562" spans="1:4" x14ac:dyDescent="0.45">
      <c r="A562" s="24"/>
      <c r="B562" s="24"/>
      <c r="D562" s="24"/>
    </row>
    <row r="563" spans="1:4" x14ac:dyDescent="0.45">
      <c r="A563" s="24"/>
      <c r="B563" s="24"/>
      <c r="D563" s="24"/>
    </row>
    <row r="564" spans="1:4" x14ac:dyDescent="0.45">
      <c r="A564" s="24"/>
      <c r="B564" s="24"/>
      <c r="D564" s="24"/>
    </row>
    <row r="565" spans="1:4" x14ac:dyDescent="0.45">
      <c r="A565" s="24"/>
      <c r="B565" s="24"/>
      <c r="D565" s="24"/>
    </row>
    <row r="566" spans="1:4" x14ac:dyDescent="0.45">
      <c r="A566" s="24"/>
      <c r="B566" s="24"/>
      <c r="D566" s="24"/>
    </row>
    <row r="567" spans="1:4" x14ac:dyDescent="0.45">
      <c r="A567" s="24"/>
      <c r="B567" s="24"/>
      <c r="D567" s="24"/>
    </row>
    <row r="568" spans="1:4" x14ac:dyDescent="0.45">
      <c r="A568" s="24"/>
      <c r="B568" s="24"/>
      <c r="D568" s="24"/>
    </row>
    <row r="569" spans="1:4" x14ac:dyDescent="0.45">
      <c r="A569" s="24"/>
      <c r="B569" s="24"/>
      <c r="D569" s="24"/>
    </row>
    <row r="570" spans="1:4" x14ac:dyDescent="0.45">
      <c r="A570" s="24"/>
      <c r="B570" s="24"/>
      <c r="D570" s="24"/>
    </row>
    <row r="571" spans="1:4" x14ac:dyDescent="0.45">
      <c r="A571" s="24"/>
      <c r="B571" s="24"/>
      <c r="D571" s="24"/>
    </row>
    <row r="572" spans="1:4" x14ac:dyDescent="0.45">
      <c r="A572" s="24"/>
      <c r="B572" s="24"/>
      <c r="D572" s="24"/>
    </row>
    <row r="573" spans="1:4" x14ac:dyDescent="0.45">
      <c r="A573" s="24"/>
      <c r="B573" s="24"/>
      <c r="D573" s="24"/>
    </row>
    <row r="574" spans="1:4" x14ac:dyDescent="0.45">
      <c r="A574" s="24"/>
      <c r="B574" s="24"/>
      <c r="D574" s="24"/>
    </row>
    <row r="575" spans="1:4" x14ac:dyDescent="0.45">
      <c r="A575" s="24"/>
      <c r="B575" s="24"/>
      <c r="D575" s="24"/>
    </row>
    <row r="576" spans="1:4" x14ac:dyDescent="0.45">
      <c r="A576" s="24"/>
      <c r="B576" s="24"/>
      <c r="D576" s="24"/>
    </row>
    <row r="577" spans="1:4" x14ac:dyDescent="0.45">
      <c r="A577" s="24"/>
      <c r="B577" s="24"/>
      <c r="D577" s="24"/>
    </row>
    <row r="578" spans="1:4" x14ac:dyDescent="0.45">
      <c r="A578" s="24"/>
      <c r="B578" s="24"/>
      <c r="D578" s="24"/>
    </row>
    <row r="579" spans="1:4" x14ac:dyDescent="0.45">
      <c r="A579" s="24"/>
      <c r="B579" s="24"/>
      <c r="D579" s="24"/>
    </row>
    <row r="580" spans="1:4" x14ac:dyDescent="0.45">
      <c r="A580" s="24"/>
      <c r="B580" s="24"/>
      <c r="D580" s="24"/>
    </row>
    <row r="581" spans="1:4" x14ac:dyDescent="0.45">
      <c r="A581" s="24"/>
      <c r="B581" s="24"/>
      <c r="D581" s="24"/>
    </row>
    <row r="582" spans="1:4" x14ac:dyDescent="0.45">
      <c r="A582" s="24"/>
      <c r="B582" s="24"/>
      <c r="D582" s="24"/>
    </row>
    <row r="583" spans="1:4" x14ac:dyDescent="0.45">
      <c r="A583" s="24"/>
      <c r="B583" s="24"/>
      <c r="D583" s="24"/>
    </row>
    <row r="584" spans="1:4" x14ac:dyDescent="0.45">
      <c r="A584" s="24"/>
      <c r="B584" s="24"/>
      <c r="D584" s="24"/>
    </row>
    <row r="585" spans="1:4" x14ac:dyDescent="0.45">
      <c r="A585" s="24"/>
      <c r="B585" s="24"/>
      <c r="D585" s="24"/>
    </row>
    <row r="586" spans="1:4" x14ac:dyDescent="0.45">
      <c r="A586" s="24"/>
      <c r="B586" s="24"/>
      <c r="D586" s="24"/>
    </row>
    <row r="587" spans="1:4" x14ac:dyDescent="0.45">
      <c r="A587" s="24"/>
      <c r="B587" s="24"/>
      <c r="D587" s="24"/>
    </row>
    <row r="588" spans="1:4" x14ac:dyDescent="0.45">
      <c r="A588" s="24"/>
      <c r="B588" s="24"/>
      <c r="D588" s="24"/>
    </row>
    <row r="589" spans="1:4" x14ac:dyDescent="0.45">
      <c r="A589" s="24"/>
      <c r="B589" s="24"/>
      <c r="D589" s="24"/>
    </row>
    <row r="590" spans="1:4" x14ac:dyDescent="0.45">
      <c r="A590" s="24"/>
      <c r="B590" s="24"/>
      <c r="D590" s="24"/>
    </row>
    <row r="591" spans="1:4" x14ac:dyDescent="0.45">
      <c r="A591" s="24"/>
      <c r="B591" s="24"/>
      <c r="D591" s="24"/>
    </row>
    <row r="592" spans="1:4" x14ac:dyDescent="0.45">
      <c r="A592" s="24"/>
      <c r="B592" s="24"/>
      <c r="D592" s="24"/>
    </row>
    <row r="593" spans="1:4" x14ac:dyDescent="0.45">
      <c r="A593" s="24"/>
      <c r="B593" s="24"/>
      <c r="D593" s="24"/>
    </row>
    <row r="594" spans="1:4" x14ac:dyDescent="0.45">
      <c r="A594" s="24"/>
      <c r="B594" s="24"/>
      <c r="D594" s="24"/>
    </row>
    <row r="595" spans="1:4" x14ac:dyDescent="0.45">
      <c r="A595" s="24"/>
      <c r="B595" s="24"/>
      <c r="D595" s="24"/>
    </row>
    <row r="596" spans="1:4" x14ac:dyDescent="0.45">
      <c r="A596" s="24"/>
      <c r="B596" s="24"/>
      <c r="D596" s="24"/>
    </row>
    <row r="597" spans="1:4" x14ac:dyDescent="0.45">
      <c r="A597" s="24"/>
      <c r="B597" s="24"/>
      <c r="D597" s="24"/>
    </row>
    <row r="598" spans="1:4" x14ac:dyDescent="0.45">
      <c r="A598" s="24"/>
      <c r="B598" s="24"/>
      <c r="D598" s="24"/>
    </row>
    <row r="599" spans="1:4" x14ac:dyDescent="0.45">
      <c r="A599" s="24"/>
      <c r="B599" s="24"/>
      <c r="D599" s="24"/>
    </row>
    <row r="600" spans="1:4" x14ac:dyDescent="0.45">
      <c r="A600" s="24"/>
      <c r="B600" s="24"/>
      <c r="D600" s="24"/>
    </row>
    <row r="601" spans="1:4" x14ac:dyDescent="0.45">
      <c r="A601" s="24"/>
      <c r="B601" s="24"/>
      <c r="D601" s="24"/>
    </row>
    <row r="602" spans="1:4" x14ac:dyDescent="0.45">
      <c r="A602" s="24"/>
      <c r="B602" s="24"/>
      <c r="D602" s="24"/>
    </row>
    <row r="603" spans="1:4" x14ac:dyDescent="0.45">
      <c r="A603" s="24"/>
      <c r="B603" s="24"/>
      <c r="D603" s="24"/>
    </row>
    <row r="604" spans="1:4" x14ac:dyDescent="0.45">
      <c r="A604" s="24"/>
      <c r="B604" s="24"/>
      <c r="D604" s="24"/>
    </row>
    <row r="605" spans="1:4" x14ac:dyDescent="0.45">
      <c r="A605" s="24"/>
      <c r="B605" s="24"/>
      <c r="D605" s="24"/>
    </row>
    <row r="606" spans="1:4" x14ac:dyDescent="0.45">
      <c r="A606" s="24"/>
      <c r="B606" s="24"/>
      <c r="D606" s="24"/>
    </row>
    <row r="607" spans="1:4" x14ac:dyDescent="0.45">
      <c r="A607" s="24"/>
      <c r="B607" s="24"/>
      <c r="D607" s="24"/>
    </row>
    <row r="608" spans="1:4" x14ac:dyDescent="0.45">
      <c r="A608" s="24"/>
      <c r="B608" s="24"/>
      <c r="D608" s="24"/>
    </row>
    <row r="609" spans="1:4" x14ac:dyDescent="0.45">
      <c r="A609" s="24"/>
      <c r="B609" s="24"/>
      <c r="D609" s="24"/>
    </row>
    <row r="610" spans="1:4" x14ac:dyDescent="0.45">
      <c r="A610" s="24"/>
      <c r="B610" s="24"/>
      <c r="D610" s="24"/>
    </row>
    <row r="611" spans="1:4" x14ac:dyDescent="0.45">
      <c r="A611" s="24"/>
      <c r="B611" s="24"/>
      <c r="D611" s="24"/>
    </row>
    <row r="612" spans="1:4" x14ac:dyDescent="0.45">
      <c r="A612" s="24"/>
      <c r="B612" s="24"/>
      <c r="D612" s="24"/>
    </row>
    <row r="613" spans="1:4" x14ac:dyDescent="0.45">
      <c r="A613" s="24"/>
      <c r="B613" s="24"/>
      <c r="D613" s="24"/>
    </row>
    <row r="614" spans="1:4" x14ac:dyDescent="0.45">
      <c r="A614" s="24"/>
      <c r="B614" s="24"/>
      <c r="D614" s="24"/>
    </row>
    <row r="615" spans="1:4" x14ac:dyDescent="0.45">
      <c r="A615" s="24"/>
      <c r="B615" s="24"/>
      <c r="D615" s="24"/>
    </row>
    <row r="616" spans="1:4" x14ac:dyDescent="0.45">
      <c r="A616" s="24"/>
      <c r="B616" s="24"/>
      <c r="D616" s="24"/>
    </row>
    <row r="617" spans="1:4" x14ac:dyDescent="0.45">
      <c r="A617" s="24"/>
      <c r="B617" s="24"/>
      <c r="D617" s="24"/>
    </row>
    <row r="618" spans="1:4" x14ac:dyDescent="0.45">
      <c r="A618" s="24"/>
      <c r="B618" s="24"/>
      <c r="D618" s="24"/>
    </row>
    <row r="619" spans="1:4" x14ac:dyDescent="0.45">
      <c r="A619" s="24"/>
      <c r="B619" s="24"/>
      <c r="D619" s="24"/>
    </row>
    <row r="620" spans="1:4" x14ac:dyDescent="0.45">
      <c r="A620" s="24"/>
      <c r="B620" s="24"/>
      <c r="D620" s="24"/>
    </row>
    <row r="621" spans="1:4" x14ac:dyDescent="0.45">
      <c r="A621" s="24"/>
      <c r="B621" s="24"/>
      <c r="D621" s="24"/>
    </row>
    <row r="622" spans="1:4" x14ac:dyDescent="0.45">
      <c r="A622" s="24"/>
      <c r="B622" s="24"/>
      <c r="D622" s="24"/>
    </row>
    <row r="623" spans="1:4" x14ac:dyDescent="0.45">
      <c r="A623" s="24"/>
      <c r="B623" s="24"/>
      <c r="D623" s="24"/>
    </row>
    <row r="624" spans="1:4" x14ac:dyDescent="0.45">
      <c r="A624" s="24"/>
      <c r="B624" s="24"/>
      <c r="D624" s="24"/>
    </row>
    <row r="625" spans="1:4" x14ac:dyDescent="0.45">
      <c r="A625" s="24"/>
      <c r="B625" s="24"/>
      <c r="D625" s="24"/>
    </row>
    <row r="626" spans="1:4" x14ac:dyDescent="0.45">
      <c r="A626" s="24"/>
      <c r="B626" s="24"/>
      <c r="D626" s="24"/>
    </row>
    <row r="627" spans="1:4" x14ac:dyDescent="0.45">
      <c r="A627" s="24"/>
      <c r="B627" s="24"/>
      <c r="D627" s="24"/>
    </row>
    <row r="628" spans="1:4" x14ac:dyDescent="0.45">
      <c r="A628" s="24"/>
      <c r="B628" s="24"/>
      <c r="D628" s="24"/>
    </row>
    <row r="629" spans="1:4" x14ac:dyDescent="0.45">
      <c r="A629" s="24"/>
      <c r="B629" s="24"/>
      <c r="D629" s="24"/>
    </row>
    <row r="630" spans="1:4" x14ac:dyDescent="0.45">
      <c r="A630" s="24"/>
      <c r="B630" s="24"/>
      <c r="D630" s="24"/>
    </row>
    <row r="631" spans="1:4" x14ac:dyDescent="0.45">
      <c r="A631" s="24"/>
      <c r="B631" s="24"/>
      <c r="D631" s="24"/>
    </row>
    <row r="632" spans="1:4" x14ac:dyDescent="0.45">
      <c r="A632" s="24"/>
      <c r="B632" s="24"/>
      <c r="D632" s="24"/>
    </row>
    <row r="633" spans="1:4" x14ac:dyDescent="0.45">
      <c r="A633" s="24"/>
      <c r="B633" s="24"/>
      <c r="D633" s="24"/>
    </row>
    <row r="634" spans="1:4" x14ac:dyDescent="0.45">
      <c r="A634" s="24"/>
      <c r="B634" s="24"/>
      <c r="D634" s="24"/>
    </row>
    <row r="635" spans="1:4" x14ac:dyDescent="0.45">
      <c r="A635" s="24"/>
      <c r="B635" s="24"/>
      <c r="D635" s="24"/>
    </row>
    <row r="636" spans="1:4" x14ac:dyDescent="0.45">
      <c r="A636" s="24"/>
      <c r="B636" s="24"/>
      <c r="D636" s="24"/>
    </row>
    <row r="637" spans="1:4" x14ac:dyDescent="0.45">
      <c r="A637" s="24"/>
      <c r="B637" s="24"/>
      <c r="D637" s="24"/>
    </row>
    <row r="638" spans="1:4" x14ac:dyDescent="0.45">
      <c r="A638" s="24"/>
      <c r="B638" s="24"/>
      <c r="D638" s="24"/>
    </row>
    <row r="639" spans="1:4" x14ac:dyDescent="0.45">
      <c r="A639" s="24"/>
      <c r="B639" s="24"/>
      <c r="D639" s="24"/>
    </row>
    <row r="640" spans="1:4" x14ac:dyDescent="0.45">
      <c r="A640" s="24"/>
      <c r="B640" s="24"/>
      <c r="D640" s="24"/>
    </row>
    <row r="641" spans="1:4" x14ac:dyDescent="0.45">
      <c r="A641" s="24"/>
      <c r="B641" s="24"/>
      <c r="D641" s="24"/>
    </row>
    <row r="642" spans="1:4" x14ac:dyDescent="0.45">
      <c r="A642" s="24"/>
      <c r="B642" s="24"/>
      <c r="D642" s="24"/>
    </row>
    <row r="643" spans="1:4" x14ac:dyDescent="0.45">
      <c r="A643" s="24"/>
      <c r="B643" s="24"/>
      <c r="D643" s="24"/>
    </row>
    <row r="644" spans="1:4" x14ac:dyDescent="0.45">
      <c r="A644" s="24"/>
      <c r="B644" s="24"/>
      <c r="D644" s="24"/>
    </row>
    <row r="645" spans="1:4" x14ac:dyDescent="0.45">
      <c r="A645" s="24"/>
      <c r="B645" s="24"/>
      <c r="D645" s="24"/>
    </row>
    <row r="646" spans="1:4" x14ac:dyDescent="0.45">
      <c r="A646" s="24"/>
      <c r="B646" s="24"/>
      <c r="D646" s="24"/>
    </row>
    <row r="647" spans="1:4" x14ac:dyDescent="0.45">
      <c r="A647" s="24"/>
      <c r="B647" s="24"/>
      <c r="D647" s="24"/>
    </row>
    <row r="648" spans="1:4" x14ac:dyDescent="0.45">
      <c r="A648" s="24"/>
      <c r="B648" s="24"/>
      <c r="D648" s="24"/>
    </row>
    <row r="649" spans="1:4" x14ac:dyDescent="0.45">
      <c r="A649" s="24"/>
      <c r="B649" s="24"/>
      <c r="D649" s="24"/>
    </row>
    <row r="650" spans="1:4" x14ac:dyDescent="0.45">
      <c r="A650" s="24"/>
      <c r="B650" s="24"/>
      <c r="D650" s="24"/>
    </row>
    <row r="651" spans="1:4" x14ac:dyDescent="0.45">
      <c r="A651" s="24"/>
      <c r="B651" s="24"/>
      <c r="D651" s="24"/>
    </row>
    <row r="652" spans="1:4" x14ac:dyDescent="0.45">
      <c r="A652" s="24"/>
      <c r="B652" s="24"/>
      <c r="D652" s="24"/>
    </row>
    <row r="653" spans="1:4" x14ac:dyDescent="0.45">
      <c r="A653" s="24"/>
      <c r="B653" s="24"/>
      <c r="D653" s="24"/>
    </row>
    <row r="654" spans="1:4" x14ac:dyDescent="0.45">
      <c r="A654" s="24"/>
      <c r="B654" s="24"/>
      <c r="D654" s="24"/>
    </row>
    <row r="655" spans="1:4" x14ac:dyDescent="0.45">
      <c r="A655" s="24"/>
      <c r="B655" s="24"/>
      <c r="D655" s="24"/>
    </row>
    <row r="656" spans="1:4" x14ac:dyDescent="0.45">
      <c r="A656" s="24"/>
      <c r="B656" s="24"/>
      <c r="D656" s="24"/>
    </row>
    <row r="657" spans="1:4" x14ac:dyDescent="0.45">
      <c r="A657" s="24"/>
      <c r="B657" s="24"/>
      <c r="D657" s="24"/>
    </row>
    <row r="658" spans="1:4" x14ac:dyDescent="0.45">
      <c r="A658" s="24"/>
      <c r="B658" s="24"/>
      <c r="D658" s="24"/>
    </row>
    <row r="659" spans="1:4" x14ac:dyDescent="0.45">
      <c r="A659" s="24"/>
      <c r="B659" s="24"/>
      <c r="D659" s="24"/>
    </row>
    <row r="660" spans="1:4" x14ac:dyDescent="0.45">
      <c r="A660" s="24"/>
      <c r="B660" s="24"/>
      <c r="D660" s="24"/>
    </row>
    <row r="661" spans="1:4" x14ac:dyDescent="0.45">
      <c r="A661" s="24"/>
      <c r="B661" s="24"/>
      <c r="D661" s="24"/>
    </row>
    <row r="662" spans="1:4" x14ac:dyDescent="0.45">
      <c r="A662" s="24"/>
      <c r="B662" s="24"/>
      <c r="D662" s="24"/>
    </row>
    <row r="663" spans="1:4" x14ac:dyDescent="0.45">
      <c r="A663" s="24"/>
      <c r="B663" s="24"/>
      <c r="D663" s="24"/>
    </row>
    <row r="664" spans="1:4" x14ac:dyDescent="0.45">
      <c r="A664" s="24"/>
      <c r="B664" s="24"/>
      <c r="D664" s="24"/>
    </row>
    <row r="665" spans="1:4" x14ac:dyDescent="0.45">
      <c r="A665" s="24"/>
      <c r="B665" s="24"/>
      <c r="D665" s="24"/>
    </row>
    <row r="666" spans="1:4" x14ac:dyDescent="0.45">
      <c r="A666" s="24"/>
      <c r="B666" s="24"/>
      <c r="D666" s="24"/>
    </row>
    <row r="667" spans="1:4" x14ac:dyDescent="0.45">
      <c r="A667" s="24"/>
      <c r="B667" s="24"/>
      <c r="D667" s="24"/>
    </row>
    <row r="668" spans="1:4" x14ac:dyDescent="0.45">
      <c r="A668" s="24"/>
      <c r="B668" s="24"/>
      <c r="D668" s="24"/>
    </row>
    <row r="669" spans="1:4" x14ac:dyDescent="0.45">
      <c r="A669" s="24"/>
      <c r="B669" s="24"/>
      <c r="D669" s="24"/>
    </row>
    <row r="670" spans="1:4" x14ac:dyDescent="0.45">
      <c r="A670" s="24"/>
      <c r="B670" s="24"/>
      <c r="D670" s="24"/>
    </row>
    <row r="671" spans="1:4" x14ac:dyDescent="0.45">
      <c r="A671" s="24"/>
      <c r="B671" s="24"/>
      <c r="D671" s="24"/>
    </row>
    <row r="672" spans="1:4" x14ac:dyDescent="0.45">
      <c r="A672" s="24"/>
      <c r="B672" s="24"/>
      <c r="D672" s="24"/>
    </row>
    <row r="673" spans="1:4" x14ac:dyDescent="0.45">
      <c r="A673" s="24"/>
      <c r="B673" s="24"/>
      <c r="D673" s="24"/>
    </row>
    <row r="674" spans="1:4" x14ac:dyDescent="0.45">
      <c r="A674" s="24"/>
      <c r="B674" s="24"/>
      <c r="D674" s="24"/>
    </row>
    <row r="675" spans="1:4" x14ac:dyDescent="0.45">
      <c r="A675" s="24"/>
      <c r="B675" s="24"/>
      <c r="D675" s="24"/>
    </row>
    <row r="676" spans="1:4" x14ac:dyDescent="0.45">
      <c r="A676" s="24"/>
      <c r="B676" s="24"/>
      <c r="D676" s="24"/>
    </row>
    <row r="677" spans="1:4" x14ac:dyDescent="0.45">
      <c r="A677" s="24"/>
      <c r="B677" s="24"/>
      <c r="D677" s="24"/>
    </row>
    <row r="678" spans="1:4" x14ac:dyDescent="0.45">
      <c r="A678" s="24"/>
      <c r="B678" s="24"/>
      <c r="D678" s="24"/>
    </row>
    <row r="679" spans="1:4" x14ac:dyDescent="0.45">
      <c r="A679" s="24"/>
      <c r="B679" s="24"/>
      <c r="D679" s="24"/>
    </row>
    <row r="680" spans="1:4" x14ac:dyDescent="0.45">
      <c r="A680" s="24"/>
      <c r="B680" s="24"/>
      <c r="D680" s="24"/>
    </row>
    <row r="681" spans="1:4" x14ac:dyDescent="0.45">
      <c r="A681" s="24"/>
      <c r="B681" s="24"/>
      <c r="D681" s="24"/>
    </row>
    <row r="682" spans="1:4" x14ac:dyDescent="0.45">
      <c r="A682" s="24"/>
      <c r="B682" s="24"/>
      <c r="D682" s="24"/>
    </row>
    <row r="683" spans="1:4" x14ac:dyDescent="0.45">
      <c r="A683" s="24"/>
      <c r="B683" s="24"/>
      <c r="D683" s="24"/>
    </row>
    <row r="684" spans="1:4" x14ac:dyDescent="0.45">
      <c r="A684" s="24"/>
      <c r="B684" s="24"/>
      <c r="D684" s="24"/>
    </row>
    <row r="685" spans="1:4" x14ac:dyDescent="0.45">
      <c r="A685" s="24"/>
      <c r="B685" s="24"/>
      <c r="D685" s="24"/>
    </row>
    <row r="686" spans="1:4" x14ac:dyDescent="0.45">
      <c r="A686" s="24"/>
      <c r="B686" s="24"/>
      <c r="D686" s="24"/>
    </row>
    <row r="687" spans="1:4" x14ac:dyDescent="0.45">
      <c r="A687" s="24"/>
      <c r="B687" s="24"/>
      <c r="D687" s="24"/>
    </row>
    <row r="688" spans="1:4" x14ac:dyDescent="0.45">
      <c r="A688" s="24"/>
      <c r="B688" s="24"/>
      <c r="D688" s="24"/>
    </row>
    <row r="689" spans="1:4" x14ac:dyDescent="0.45">
      <c r="A689" s="24"/>
      <c r="B689" s="24"/>
      <c r="D689" s="24"/>
    </row>
    <row r="690" spans="1:4" x14ac:dyDescent="0.45">
      <c r="A690" s="24"/>
      <c r="B690" s="24"/>
      <c r="D690" s="24"/>
    </row>
    <row r="691" spans="1:4" x14ac:dyDescent="0.45">
      <c r="A691" s="24"/>
      <c r="B691" s="24"/>
      <c r="D691" s="24"/>
    </row>
    <row r="692" spans="1:4" x14ac:dyDescent="0.45">
      <c r="A692" s="24"/>
      <c r="B692" s="24"/>
      <c r="D692" s="24"/>
    </row>
    <row r="693" spans="1:4" x14ac:dyDescent="0.45">
      <c r="A693" s="24"/>
      <c r="B693" s="24"/>
      <c r="D693" s="24"/>
    </row>
    <row r="694" spans="1:4" x14ac:dyDescent="0.45">
      <c r="A694" s="24"/>
      <c r="B694" s="24"/>
      <c r="D694" s="24"/>
    </row>
    <row r="695" spans="1:4" x14ac:dyDescent="0.45">
      <c r="A695" s="24"/>
      <c r="B695" s="24"/>
      <c r="D695" s="24"/>
    </row>
    <row r="696" spans="1:4" x14ac:dyDescent="0.45">
      <c r="A696" s="24"/>
      <c r="B696" s="24"/>
      <c r="D696" s="24"/>
    </row>
    <row r="697" spans="1:4" x14ac:dyDescent="0.45">
      <c r="A697" s="24"/>
      <c r="B697" s="24"/>
      <c r="D697" s="24"/>
    </row>
    <row r="698" spans="1:4" x14ac:dyDescent="0.45">
      <c r="A698" s="24"/>
      <c r="B698" s="24"/>
      <c r="D698" s="24"/>
    </row>
    <row r="699" spans="1:4" x14ac:dyDescent="0.45">
      <c r="A699" s="24"/>
      <c r="B699" s="24"/>
      <c r="D699" s="24"/>
    </row>
    <row r="700" spans="1:4" x14ac:dyDescent="0.45">
      <c r="A700" s="24"/>
      <c r="B700" s="24"/>
      <c r="D700" s="24"/>
    </row>
    <row r="701" spans="1:4" x14ac:dyDescent="0.45">
      <c r="A701" s="24"/>
      <c r="B701" s="24"/>
      <c r="D701" s="24"/>
    </row>
    <row r="702" spans="1:4" x14ac:dyDescent="0.45">
      <c r="A702" s="24"/>
      <c r="B702" s="24"/>
      <c r="D702" s="24"/>
    </row>
    <row r="703" spans="1:4" x14ac:dyDescent="0.45">
      <c r="A703" s="24"/>
      <c r="B703" s="24"/>
      <c r="D703" s="24"/>
    </row>
    <row r="704" spans="1:4" x14ac:dyDescent="0.45">
      <c r="A704" s="24"/>
      <c r="B704" s="24"/>
      <c r="D704" s="24"/>
    </row>
    <row r="705" spans="1:4" x14ac:dyDescent="0.45">
      <c r="A705" s="24"/>
      <c r="B705" s="24"/>
      <c r="D705" s="24"/>
    </row>
    <row r="706" spans="1:4" x14ac:dyDescent="0.45">
      <c r="A706" s="24"/>
      <c r="B706" s="24"/>
      <c r="D706" s="24"/>
    </row>
    <row r="707" spans="1:4" x14ac:dyDescent="0.45">
      <c r="A707" s="24"/>
      <c r="B707" s="24"/>
      <c r="D707" s="24"/>
    </row>
    <row r="708" spans="1:4" x14ac:dyDescent="0.45">
      <c r="A708" s="24"/>
      <c r="B708" s="24"/>
      <c r="D708" s="24"/>
    </row>
    <row r="709" spans="1:4" x14ac:dyDescent="0.45">
      <c r="A709" s="24"/>
      <c r="B709" s="24"/>
      <c r="D709" s="24"/>
    </row>
    <row r="710" spans="1:4" x14ac:dyDescent="0.45">
      <c r="A710" s="24"/>
      <c r="B710" s="24"/>
      <c r="D710" s="24"/>
    </row>
    <row r="711" spans="1:4" x14ac:dyDescent="0.45">
      <c r="A711" s="24"/>
      <c r="B711" s="24"/>
      <c r="D711" s="24"/>
    </row>
    <row r="712" spans="1:4" x14ac:dyDescent="0.45">
      <c r="A712" s="24"/>
      <c r="B712" s="24"/>
      <c r="D712" s="24"/>
    </row>
    <row r="713" spans="1:4" x14ac:dyDescent="0.45">
      <c r="A713" s="24"/>
      <c r="B713" s="24"/>
      <c r="D713" s="24"/>
    </row>
    <row r="714" spans="1:4" x14ac:dyDescent="0.45">
      <c r="A714" s="24"/>
      <c r="B714" s="24"/>
      <c r="D714" s="24"/>
    </row>
    <row r="715" spans="1:4" x14ac:dyDescent="0.45">
      <c r="A715" s="24"/>
      <c r="B715" s="24"/>
      <c r="D715" s="24"/>
    </row>
    <row r="716" spans="1:4" x14ac:dyDescent="0.45">
      <c r="A716" s="24"/>
      <c r="B716" s="24"/>
      <c r="D716" s="24"/>
    </row>
    <row r="717" spans="1:4" x14ac:dyDescent="0.45">
      <c r="A717" s="24"/>
      <c r="B717" s="24"/>
      <c r="D717" s="24"/>
    </row>
    <row r="718" spans="1:4" x14ac:dyDescent="0.45">
      <c r="A718" s="24"/>
      <c r="B718" s="24"/>
      <c r="D718" s="24"/>
    </row>
    <row r="719" spans="1:4" x14ac:dyDescent="0.45">
      <c r="A719" s="24"/>
      <c r="B719" s="24"/>
      <c r="D719" s="24"/>
    </row>
    <row r="720" spans="1:4" x14ac:dyDescent="0.45">
      <c r="A720" s="24"/>
      <c r="B720" s="24"/>
      <c r="D720" s="24"/>
    </row>
    <row r="721" spans="1:4" x14ac:dyDescent="0.45">
      <c r="A721" s="24"/>
      <c r="B721" s="24"/>
      <c r="D721" s="24"/>
    </row>
    <row r="722" spans="1:4" x14ac:dyDescent="0.45">
      <c r="A722" s="24"/>
      <c r="B722" s="24"/>
      <c r="D722" s="24"/>
    </row>
    <row r="723" spans="1:4" x14ac:dyDescent="0.45">
      <c r="A723" s="24"/>
      <c r="B723" s="24"/>
      <c r="D723" s="24"/>
    </row>
    <row r="724" spans="1:4" x14ac:dyDescent="0.45">
      <c r="A724" s="24"/>
      <c r="B724" s="24"/>
      <c r="D724" s="24"/>
    </row>
    <row r="725" spans="1:4" x14ac:dyDescent="0.45">
      <c r="A725" s="24"/>
      <c r="B725" s="24"/>
      <c r="D725" s="24"/>
    </row>
    <row r="726" spans="1:4" x14ac:dyDescent="0.45">
      <c r="A726" s="24"/>
      <c r="B726" s="24"/>
      <c r="D726" s="24"/>
    </row>
    <row r="727" spans="1:4" x14ac:dyDescent="0.45">
      <c r="A727" s="24"/>
      <c r="B727" s="24"/>
      <c r="D727" s="24"/>
    </row>
    <row r="728" spans="1:4" x14ac:dyDescent="0.45">
      <c r="A728" s="24"/>
      <c r="B728" s="24"/>
      <c r="D728" s="24"/>
    </row>
    <row r="729" spans="1:4" x14ac:dyDescent="0.45">
      <c r="A729" s="24"/>
      <c r="B729" s="24"/>
      <c r="D729" s="24"/>
    </row>
    <row r="730" spans="1:4" x14ac:dyDescent="0.45">
      <c r="A730" s="24"/>
      <c r="B730" s="24"/>
      <c r="D730" s="24"/>
    </row>
    <row r="731" spans="1:4" x14ac:dyDescent="0.45">
      <c r="A731" s="24"/>
      <c r="B731" s="24"/>
      <c r="D731" s="24"/>
    </row>
    <row r="732" spans="1:4" x14ac:dyDescent="0.45">
      <c r="A732" s="24"/>
      <c r="B732" s="24"/>
      <c r="D732" s="24"/>
    </row>
    <row r="733" spans="1:4" x14ac:dyDescent="0.45">
      <c r="A733" s="24"/>
      <c r="B733" s="24"/>
      <c r="D733" s="24"/>
    </row>
    <row r="734" spans="1:4" x14ac:dyDescent="0.45">
      <c r="A734" s="24"/>
      <c r="B734" s="24"/>
      <c r="D734" s="24"/>
    </row>
    <row r="735" spans="1:4" x14ac:dyDescent="0.45">
      <c r="A735" s="24"/>
      <c r="B735" s="24"/>
      <c r="D735" s="24"/>
    </row>
    <row r="736" spans="1:4" x14ac:dyDescent="0.45">
      <c r="A736" s="24"/>
      <c r="B736" s="24"/>
      <c r="D736" s="24"/>
    </row>
    <row r="737" spans="1:4" x14ac:dyDescent="0.45">
      <c r="A737" s="24"/>
      <c r="B737" s="24"/>
      <c r="D737" s="24"/>
    </row>
    <row r="738" spans="1:4" x14ac:dyDescent="0.45">
      <c r="A738" s="24"/>
      <c r="B738" s="24"/>
      <c r="D738" s="24"/>
    </row>
    <row r="739" spans="1:4" x14ac:dyDescent="0.45">
      <c r="A739" s="24"/>
      <c r="B739" s="24"/>
      <c r="D739" s="24"/>
    </row>
    <row r="740" spans="1:4" x14ac:dyDescent="0.45">
      <c r="A740" s="24"/>
      <c r="B740" s="24"/>
      <c r="D740" s="24"/>
    </row>
    <row r="741" spans="1:4" x14ac:dyDescent="0.45">
      <c r="A741" s="24"/>
      <c r="B741" s="24"/>
      <c r="D741" s="24"/>
    </row>
    <row r="742" spans="1:4" x14ac:dyDescent="0.45">
      <c r="A742" s="24"/>
      <c r="B742" s="24"/>
      <c r="D742" s="24"/>
    </row>
    <row r="743" spans="1:4" x14ac:dyDescent="0.45">
      <c r="A743" s="24"/>
      <c r="B743" s="24"/>
      <c r="D743" s="24"/>
    </row>
    <row r="744" spans="1:4" x14ac:dyDescent="0.45">
      <c r="A744" s="24"/>
      <c r="B744" s="24"/>
      <c r="D744" s="24"/>
    </row>
    <row r="745" spans="1:4" x14ac:dyDescent="0.45">
      <c r="A745" s="24"/>
      <c r="B745" s="24"/>
      <c r="D745" s="24"/>
    </row>
    <row r="746" spans="1:4" x14ac:dyDescent="0.45">
      <c r="A746" s="24"/>
      <c r="B746" s="24"/>
      <c r="D746" s="24"/>
    </row>
    <row r="747" spans="1:4" x14ac:dyDescent="0.45">
      <c r="A747" s="24"/>
      <c r="B747" s="24"/>
      <c r="D747" s="24"/>
    </row>
    <row r="748" spans="1:4" x14ac:dyDescent="0.45">
      <c r="A748" s="24"/>
      <c r="B748" s="24"/>
      <c r="D748" s="24"/>
    </row>
    <row r="749" spans="1:4" x14ac:dyDescent="0.45">
      <c r="A749" s="24"/>
      <c r="B749" s="24"/>
      <c r="D749" s="24"/>
    </row>
    <row r="750" spans="1:4" x14ac:dyDescent="0.45">
      <c r="A750" s="24"/>
      <c r="B750" s="24"/>
      <c r="D750" s="24"/>
    </row>
    <row r="751" spans="1:4" x14ac:dyDescent="0.45">
      <c r="A751" s="24"/>
      <c r="B751" s="24"/>
      <c r="D751" s="24"/>
    </row>
    <row r="752" spans="1:4" x14ac:dyDescent="0.45">
      <c r="A752" s="24"/>
      <c r="B752" s="24"/>
      <c r="D752" s="24"/>
    </row>
    <row r="753" spans="1:4" x14ac:dyDescent="0.45">
      <c r="A753" s="24"/>
      <c r="B753" s="24"/>
      <c r="D753" s="24"/>
    </row>
    <row r="754" spans="1:4" x14ac:dyDescent="0.45">
      <c r="A754" s="24"/>
      <c r="B754" s="24"/>
      <c r="D754" s="24"/>
    </row>
    <row r="755" spans="1:4" x14ac:dyDescent="0.45">
      <c r="A755" s="24"/>
      <c r="B755" s="24"/>
      <c r="D755" s="24"/>
    </row>
    <row r="756" spans="1:4" x14ac:dyDescent="0.45">
      <c r="A756" s="24"/>
      <c r="B756" s="24"/>
      <c r="D756" s="24"/>
    </row>
    <row r="757" spans="1:4" x14ac:dyDescent="0.45">
      <c r="A757" s="24"/>
      <c r="B757" s="24"/>
      <c r="D757" s="24"/>
    </row>
    <row r="758" spans="1:4" x14ac:dyDescent="0.45">
      <c r="A758" s="24"/>
      <c r="B758" s="24"/>
      <c r="D758" s="24"/>
    </row>
    <row r="759" spans="1:4" x14ac:dyDescent="0.45">
      <c r="A759" s="24"/>
      <c r="B759" s="24"/>
      <c r="D759" s="24"/>
    </row>
    <row r="760" spans="1:4" x14ac:dyDescent="0.45">
      <c r="A760" s="24"/>
      <c r="B760" s="24"/>
      <c r="D760" s="24"/>
    </row>
    <row r="761" spans="1:4" x14ac:dyDescent="0.45">
      <c r="A761" s="24"/>
      <c r="B761" s="24"/>
      <c r="D761" s="24"/>
    </row>
    <row r="762" spans="1:4" x14ac:dyDescent="0.45">
      <c r="A762" s="24"/>
      <c r="B762" s="24"/>
      <c r="D762" s="24"/>
    </row>
    <row r="763" spans="1:4" x14ac:dyDescent="0.45">
      <c r="A763" s="24"/>
      <c r="B763" s="24"/>
      <c r="D763" s="24"/>
    </row>
    <row r="764" spans="1:4" x14ac:dyDescent="0.45">
      <c r="A764" s="24"/>
      <c r="B764" s="24"/>
      <c r="D764" s="24"/>
    </row>
    <row r="765" spans="1:4" x14ac:dyDescent="0.45">
      <c r="A765" s="24"/>
      <c r="B765" s="24"/>
      <c r="D765" s="24"/>
    </row>
    <row r="766" spans="1:4" x14ac:dyDescent="0.45">
      <c r="A766" s="24"/>
      <c r="B766" s="24"/>
      <c r="D766" s="24"/>
    </row>
    <row r="767" spans="1:4" x14ac:dyDescent="0.45">
      <c r="A767" s="24"/>
      <c r="B767" s="24"/>
      <c r="D767" s="24"/>
    </row>
    <row r="768" spans="1:4" x14ac:dyDescent="0.45">
      <c r="A768" s="24"/>
      <c r="B768" s="24"/>
      <c r="D768" s="24"/>
    </row>
    <row r="769" spans="1:4" x14ac:dyDescent="0.45">
      <c r="A769" s="24"/>
      <c r="B769" s="24"/>
      <c r="D769" s="24"/>
    </row>
    <row r="770" spans="1:4" x14ac:dyDescent="0.45">
      <c r="A770" s="24"/>
      <c r="B770" s="24"/>
      <c r="D770" s="24"/>
    </row>
    <row r="771" spans="1:4" x14ac:dyDescent="0.45">
      <c r="A771" s="24"/>
      <c r="B771" s="24"/>
      <c r="D771" s="24"/>
    </row>
    <row r="772" spans="1:4" x14ac:dyDescent="0.45">
      <c r="A772" s="24"/>
      <c r="B772" s="24"/>
      <c r="D772" s="24"/>
    </row>
    <row r="773" spans="1:4" x14ac:dyDescent="0.45">
      <c r="A773" s="24"/>
      <c r="B773" s="24"/>
      <c r="D773" s="24"/>
    </row>
    <row r="774" spans="1:4" x14ac:dyDescent="0.45">
      <c r="A774" s="24"/>
      <c r="B774" s="24"/>
      <c r="D774" s="24"/>
    </row>
    <row r="775" spans="1:4" x14ac:dyDescent="0.45">
      <c r="A775" s="24"/>
      <c r="B775" s="24"/>
      <c r="D775" s="24"/>
    </row>
    <row r="776" spans="1:4" x14ac:dyDescent="0.45">
      <c r="A776" s="24"/>
      <c r="B776" s="24"/>
      <c r="D776" s="24"/>
    </row>
    <row r="777" spans="1:4" x14ac:dyDescent="0.45">
      <c r="A777" s="24"/>
      <c r="B777" s="24"/>
      <c r="D777" s="24"/>
    </row>
    <row r="778" spans="1:4" x14ac:dyDescent="0.45">
      <c r="A778" s="24"/>
      <c r="B778" s="24"/>
      <c r="D778" s="24"/>
    </row>
    <row r="779" spans="1:4" x14ac:dyDescent="0.45">
      <c r="A779" s="24"/>
      <c r="B779" s="24"/>
      <c r="D779" s="24"/>
    </row>
    <row r="780" spans="1:4" x14ac:dyDescent="0.45">
      <c r="A780" s="24"/>
      <c r="B780" s="24"/>
      <c r="D780" s="24"/>
    </row>
    <row r="781" spans="1:4" x14ac:dyDescent="0.45">
      <c r="A781" s="24"/>
      <c r="B781" s="24"/>
      <c r="D781" s="24"/>
    </row>
    <row r="782" spans="1:4" x14ac:dyDescent="0.45">
      <c r="A782" s="24"/>
      <c r="B782" s="24"/>
      <c r="D782" s="24"/>
    </row>
    <row r="783" spans="1:4" x14ac:dyDescent="0.45">
      <c r="A783" s="24"/>
      <c r="B783" s="24"/>
      <c r="D783" s="24"/>
    </row>
    <row r="784" spans="1:4" x14ac:dyDescent="0.45">
      <c r="A784" s="24"/>
      <c r="B784" s="24"/>
      <c r="D784" s="24"/>
    </row>
    <row r="785" spans="1:4" x14ac:dyDescent="0.45">
      <c r="A785" s="24"/>
      <c r="B785" s="24"/>
      <c r="D785" s="24"/>
    </row>
    <row r="786" spans="1:4" x14ac:dyDescent="0.45">
      <c r="A786" s="24"/>
      <c r="B786" s="24"/>
      <c r="D786" s="24"/>
    </row>
    <row r="787" spans="1:4" x14ac:dyDescent="0.45">
      <c r="A787" s="24"/>
      <c r="B787" s="24"/>
      <c r="D787" s="24"/>
    </row>
    <row r="788" spans="1:4" x14ac:dyDescent="0.45">
      <c r="A788" s="24"/>
      <c r="B788" s="24"/>
      <c r="D788" s="24"/>
    </row>
    <row r="789" spans="1:4" x14ac:dyDescent="0.45">
      <c r="A789" s="24"/>
      <c r="B789" s="24"/>
      <c r="D789" s="24"/>
    </row>
    <row r="790" spans="1:4" x14ac:dyDescent="0.45">
      <c r="A790" s="24"/>
      <c r="B790" s="24"/>
      <c r="D790" s="24"/>
    </row>
    <row r="791" spans="1:4" x14ac:dyDescent="0.45">
      <c r="A791" s="24"/>
      <c r="B791" s="24"/>
      <c r="D791" s="24"/>
    </row>
    <row r="792" spans="1:4" x14ac:dyDescent="0.45">
      <c r="A792" s="24"/>
      <c r="B792" s="24"/>
      <c r="D792" s="24"/>
    </row>
    <row r="793" spans="1:4" x14ac:dyDescent="0.45">
      <c r="A793" s="24"/>
      <c r="B793" s="24"/>
      <c r="D793" s="24"/>
    </row>
    <row r="794" spans="1:4" x14ac:dyDescent="0.45">
      <c r="A794" s="24"/>
      <c r="B794" s="24"/>
      <c r="D794" s="24"/>
    </row>
    <row r="795" spans="1:4" x14ac:dyDescent="0.45">
      <c r="A795" s="24"/>
      <c r="B795" s="24"/>
      <c r="D795" s="24"/>
    </row>
    <row r="796" spans="1:4" x14ac:dyDescent="0.45">
      <c r="A796" s="24"/>
      <c r="B796" s="24"/>
      <c r="D796" s="24"/>
    </row>
    <row r="797" spans="1:4" x14ac:dyDescent="0.45">
      <c r="A797" s="24"/>
      <c r="B797" s="24"/>
      <c r="D797" s="24"/>
    </row>
    <row r="798" spans="1:4" x14ac:dyDescent="0.45">
      <c r="A798" s="24"/>
      <c r="B798" s="24"/>
      <c r="D798" s="24"/>
    </row>
    <row r="799" spans="1:4" x14ac:dyDescent="0.45">
      <c r="A799" s="24"/>
      <c r="B799" s="24"/>
      <c r="D799" s="24"/>
    </row>
    <row r="800" spans="1:4" x14ac:dyDescent="0.45">
      <c r="A800" s="24"/>
      <c r="B800" s="24"/>
      <c r="D800" s="24"/>
    </row>
    <row r="801" spans="1:4" x14ac:dyDescent="0.45">
      <c r="A801" s="24"/>
      <c r="B801" s="24"/>
      <c r="D801" s="24"/>
    </row>
    <row r="802" spans="1:4" x14ac:dyDescent="0.45">
      <c r="A802" s="24"/>
      <c r="B802" s="24"/>
      <c r="D802" s="24"/>
    </row>
    <row r="803" spans="1:4" x14ac:dyDescent="0.45">
      <c r="A803" s="24"/>
      <c r="B803" s="24"/>
      <c r="D803" s="24"/>
    </row>
    <row r="804" spans="1:4" x14ac:dyDescent="0.45">
      <c r="A804" s="24"/>
      <c r="B804" s="24"/>
      <c r="D804" s="24"/>
    </row>
    <row r="805" spans="1:4" x14ac:dyDescent="0.45">
      <c r="A805" s="24"/>
      <c r="B805" s="24"/>
      <c r="D805" s="24"/>
    </row>
    <row r="806" spans="1:4" x14ac:dyDescent="0.45">
      <c r="A806" s="24"/>
      <c r="B806" s="24"/>
      <c r="D806" s="24"/>
    </row>
    <row r="807" spans="1:4" x14ac:dyDescent="0.45">
      <c r="A807" s="24"/>
      <c r="B807" s="24"/>
      <c r="D807" s="24"/>
    </row>
    <row r="808" spans="1:4" x14ac:dyDescent="0.45">
      <c r="A808" s="24"/>
      <c r="B808" s="24"/>
      <c r="D808" s="24"/>
    </row>
    <row r="809" spans="1:4" x14ac:dyDescent="0.45">
      <c r="A809" s="24"/>
      <c r="B809" s="24"/>
      <c r="D809" s="24"/>
    </row>
    <row r="810" spans="1:4" x14ac:dyDescent="0.45">
      <c r="A810" s="24"/>
      <c r="B810" s="24"/>
      <c r="D810" s="24"/>
    </row>
    <row r="811" spans="1:4" x14ac:dyDescent="0.45">
      <c r="A811" s="24"/>
      <c r="B811" s="24"/>
      <c r="D811" s="24"/>
    </row>
    <row r="812" spans="1:4" x14ac:dyDescent="0.45">
      <c r="A812" s="24"/>
      <c r="B812" s="24"/>
      <c r="D812" s="24"/>
    </row>
    <row r="813" spans="1:4" x14ac:dyDescent="0.45">
      <c r="A813" s="24"/>
      <c r="B813" s="24"/>
      <c r="D813" s="24"/>
    </row>
    <row r="814" spans="1:4" x14ac:dyDescent="0.45">
      <c r="A814" s="24"/>
      <c r="B814" s="24"/>
      <c r="D814" s="24"/>
    </row>
    <row r="815" spans="1:4" x14ac:dyDescent="0.45">
      <c r="A815" s="24"/>
      <c r="B815" s="24"/>
      <c r="D815" s="24"/>
    </row>
    <row r="816" spans="1:4" x14ac:dyDescent="0.45">
      <c r="A816" s="24"/>
      <c r="B816" s="24"/>
      <c r="D816" s="24"/>
    </row>
    <row r="817" spans="1:4" x14ac:dyDescent="0.45">
      <c r="A817" s="24"/>
      <c r="B817" s="24"/>
      <c r="D817" s="24"/>
    </row>
    <row r="818" spans="1:4" x14ac:dyDescent="0.45">
      <c r="A818" s="24"/>
      <c r="B818" s="24"/>
      <c r="D818" s="24"/>
    </row>
    <row r="819" spans="1:4" x14ac:dyDescent="0.45">
      <c r="A819" s="24"/>
      <c r="B819" s="24"/>
      <c r="D819" s="24"/>
    </row>
    <row r="820" spans="1:4" x14ac:dyDescent="0.45">
      <c r="A820" s="24"/>
      <c r="B820" s="24"/>
      <c r="D820" s="24"/>
    </row>
    <row r="821" spans="1:4" x14ac:dyDescent="0.45">
      <c r="A821" s="24"/>
      <c r="B821" s="24"/>
      <c r="D821" s="24"/>
    </row>
    <row r="822" spans="1:4" x14ac:dyDescent="0.45">
      <c r="A822" s="24"/>
      <c r="B822" s="24"/>
      <c r="D822" s="24"/>
    </row>
    <row r="823" spans="1:4" x14ac:dyDescent="0.45">
      <c r="A823" s="24"/>
      <c r="B823" s="24"/>
      <c r="D823" s="24"/>
    </row>
    <row r="824" spans="1:4" x14ac:dyDescent="0.45">
      <c r="A824" s="24"/>
      <c r="B824" s="24"/>
      <c r="D824" s="24"/>
    </row>
    <row r="825" spans="1:4" x14ac:dyDescent="0.45">
      <c r="A825" s="24"/>
      <c r="B825" s="24"/>
      <c r="D825" s="24"/>
    </row>
    <row r="826" spans="1:4" x14ac:dyDescent="0.45">
      <c r="A826" s="24"/>
      <c r="B826" s="24"/>
      <c r="D826" s="24"/>
    </row>
    <row r="827" spans="1:4" x14ac:dyDescent="0.45">
      <c r="A827" s="24"/>
      <c r="B827" s="24"/>
      <c r="D827" s="24"/>
    </row>
    <row r="828" spans="1:4" x14ac:dyDescent="0.45">
      <c r="A828" s="24"/>
      <c r="B828" s="24"/>
      <c r="D828" s="24"/>
    </row>
    <row r="829" spans="1:4" x14ac:dyDescent="0.45">
      <c r="A829" s="24"/>
      <c r="B829" s="24"/>
      <c r="D829" s="24"/>
    </row>
    <row r="830" spans="1:4" x14ac:dyDescent="0.45">
      <c r="A830" s="24"/>
      <c r="B830" s="24"/>
      <c r="D830" s="24"/>
    </row>
    <row r="831" spans="1:4" x14ac:dyDescent="0.45">
      <c r="A831" s="24"/>
      <c r="B831" s="24"/>
      <c r="D831" s="24"/>
    </row>
    <row r="832" spans="1:4" x14ac:dyDescent="0.45">
      <c r="A832" s="24"/>
      <c r="B832" s="24"/>
      <c r="D832" s="24"/>
    </row>
    <row r="833" spans="1:4" x14ac:dyDescent="0.45">
      <c r="A833" s="24"/>
      <c r="B833" s="24"/>
      <c r="D833" s="24"/>
    </row>
    <row r="834" spans="1:4" x14ac:dyDescent="0.45">
      <c r="A834" s="24"/>
      <c r="B834" s="24"/>
      <c r="D834" s="24"/>
    </row>
    <row r="835" spans="1:4" x14ac:dyDescent="0.45">
      <c r="A835" s="24"/>
      <c r="B835" s="24"/>
      <c r="D835" s="24"/>
    </row>
    <row r="836" spans="1:4" x14ac:dyDescent="0.45">
      <c r="A836" s="24"/>
      <c r="B836" s="24"/>
      <c r="D836" s="24"/>
    </row>
    <row r="837" spans="1:4" x14ac:dyDescent="0.45">
      <c r="A837" s="24"/>
      <c r="B837" s="24"/>
      <c r="D837" s="24"/>
    </row>
    <row r="838" spans="1:4" x14ac:dyDescent="0.45">
      <c r="A838" s="24"/>
      <c r="B838" s="24"/>
      <c r="D838" s="24"/>
    </row>
    <row r="839" spans="1:4" x14ac:dyDescent="0.45">
      <c r="A839" s="24"/>
      <c r="B839" s="24"/>
      <c r="D839" s="24"/>
    </row>
    <row r="840" spans="1:4" x14ac:dyDescent="0.45">
      <c r="A840" s="24"/>
      <c r="B840" s="24"/>
      <c r="D840" s="24"/>
    </row>
    <row r="841" spans="1:4" x14ac:dyDescent="0.45">
      <c r="A841" s="24"/>
      <c r="B841" s="24"/>
      <c r="D841" s="24"/>
    </row>
    <row r="842" spans="1:4" x14ac:dyDescent="0.45">
      <c r="A842" s="24"/>
      <c r="B842" s="24"/>
      <c r="D842" s="24"/>
    </row>
    <row r="843" spans="1:4" x14ac:dyDescent="0.45">
      <c r="A843" s="24"/>
      <c r="B843" s="24"/>
      <c r="D843" s="24"/>
    </row>
    <row r="844" spans="1:4" x14ac:dyDescent="0.45">
      <c r="A844" s="24"/>
      <c r="B844" s="24"/>
      <c r="D844" s="24"/>
    </row>
    <row r="845" spans="1:4" x14ac:dyDescent="0.45">
      <c r="A845" s="24"/>
      <c r="B845" s="24"/>
      <c r="D845" s="24"/>
    </row>
    <row r="846" spans="1:4" x14ac:dyDescent="0.45">
      <c r="A846" s="24"/>
      <c r="B846" s="24"/>
      <c r="D846" s="24"/>
    </row>
    <row r="847" spans="1:4" x14ac:dyDescent="0.45">
      <c r="A847" s="24"/>
      <c r="B847" s="24"/>
      <c r="D847" s="24"/>
    </row>
    <row r="848" spans="1:4" x14ac:dyDescent="0.45">
      <c r="A848" s="24"/>
      <c r="B848" s="24"/>
      <c r="D848" s="24"/>
    </row>
    <row r="849" spans="1:4" x14ac:dyDescent="0.45">
      <c r="A849" s="24"/>
      <c r="B849" s="24"/>
      <c r="D849" s="24"/>
    </row>
    <row r="850" spans="1:4" x14ac:dyDescent="0.45">
      <c r="A850" s="24"/>
      <c r="B850" s="24"/>
      <c r="D850" s="24"/>
    </row>
    <row r="851" spans="1:4" x14ac:dyDescent="0.45">
      <c r="A851" s="24"/>
      <c r="B851" s="24"/>
      <c r="D851" s="24"/>
    </row>
    <row r="852" spans="1:4" x14ac:dyDescent="0.45">
      <c r="A852" s="24"/>
      <c r="B852" s="24"/>
      <c r="D852" s="24"/>
    </row>
    <row r="853" spans="1:4" x14ac:dyDescent="0.45">
      <c r="A853" s="24"/>
      <c r="B853" s="24"/>
      <c r="D853" s="24"/>
    </row>
    <row r="854" spans="1:4" x14ac:dyDescent="0.45">
      <c r="A854" s="24"/>
      <c r="B854" s="24"/>
      <c r="D854" s="24"/>
    </row>
    <row r="855" spans="1:4" x14ac:dyDescent="0.45">
      <c r="A855" s="24"/>
      <c r="B855" s="24"/>
      <c r="D855" s="24"/>
    </row>
    <row r="856" spans="1:4" x14ac:dyDescent="0.45">
      <c r="A856" s="24"/>
      <c r="B856" s="24"/>
      <c r="D856" s="24"/>
    </row>
    <row r="857" spans="1:4" x14ac:dyDescent="0.45">
      <c r="A857" s="24"/>
      <c r="B857" s="24"/>
      <c r="D857" s="24"/>
    </row>
    <row r="858" spans="1:4" x14ac:dyDescent="0.45">
      <c r="A858" s="24"/>
      <c r="B858" s="24"/>
      <c r="D858" s="24"/>
    </row>
    <row r="859" spans="1:4" x14ac:dyDescent="0.45">
      <c r="A859" s="24"/>
      <c r="B859" s="24"/>
      <c r="D859" s="24"/>
    </row>
    <row r="860" spans="1:4" x14ac:dyDescent="0.45">
      <c r="A860" s="24"/>
      <c r="B860" s="24"/>
      <c r="D860" s="24"/>
    </row>
    <row r="861" spans="1:4" x14ac:dyDescent="0.45">
      <c r="A861" s="24"/>
      <c r="B861" s="24"/>
      <c r="D861" s="24"/>
    </row>
    <row r="862" spans="1:4" x14ac:dyDescent="0.45">
      <c r="A862" s="24"/>
      <c r="B862" s="24"/>
      <c r="D862" s="24"/>
    </row>
    <row r="863" spans="1:4" x14ac:dyDescent="0.45">
      <c r="A863" s="24"/>
      <c r="B863" s="24"/>
      <c r="D863" s="24"/>
    </row>
    <row r="864" spans="1:4" x14ac:dyDescent="0.45">
      <c r="A864" s="24"/>
      <c r="B864" s="24"/>
      <c r="D864" s="24"/>
    </row>
    <row r="865" spans="1:4" x14ac:dyDescent="0.45">
      <c r="A865" s="24"/>
      <c r="B865" s="24"/>
      <c r="D865" s="24"/>
    </row>
    <row r="866" spans="1:4" x14ac:dyDescent="0.45">
      <c r="A866" s="24"/>
      <c r="B866" s="24"/>
      <c r="D866" s="24"/>
    </row>
    <row r="867" spans="1:4" x14ac:dyDescent="0.45">
      <c r="A867" s="24"/>
      <c r="B867" s="24"/>
      <c r="D867" s="24"/>
    </row>
    <row r="868" spans="1:4" x14ac:dyDescent="0.45">
      <c r="A868" s="24"/>
      <c r="B868" s="24"/>
      <c r="D868" s="24"/>
    </row>
    <row r="869" spans="1:4" x14ac:dyDescent="0.45">
      <c r="A869" s="24"/>
      <c r="B869" s="24"/>
      <c r="D869" s="24"/>
    </row>
    <row r="870" spans="1:4" x14ac:dyDescent="0.45">
      <c r="A870" s="24"/>
      <c r="B870" s="24"/>
      <c r="D870" s="24"/>
    </row>
    <row r="871" spans="1:4" x14ac:dyDescent="0.45">
      <c r="A871" s="24"/>
      <c r="B871" s="24"/>
      <c r="D871" s="24"/>
    </row>
    <row r="872" spans="1:4" x14ac:dyDescent="0.45">
      <c r="A872" s="24"/>
      <c r="B872" s="24"/>
      <c r="D872" s="24"/>
    </row>
    <row r="873" spans="1:4" x14ac:dyDescent="0.45">
      <c r="A873" s="24"/>
      <c r="B873" s="24"/>
      <c r="D873" s="24"/>
    </row>
    <row r="874" spans="1:4" x14ac:dyDescent="0.45">
      <c r="A874" s="24"/>
      <c r="B874" s="24"/>
      <c r="D874" s="24"/>
    </row>
    <row r="875" spans="1:4" x14ac:dyDescent="0.45">
      <c r="A875" s="24"/>
      <c r="B875" s="24"/>
      <c r="D875" s="24"/>
    </row>
    <row r="876" spans="1:4" x14ac:dyDescent="0.45">
      <c r="A876" s="24"/>
      <c r="B876" s="24"/>
      <c r="D876" s="24"/>
    </row>
    <row r="877" spans="1:4" x14ac:dyDescent="0.45">
      <c r="A877" s="24"/>
      <c r="B877" s="24"/>
      <c r="D877" s="24"/>
    </row>
    <row r="878" spans="1:4" x14ac:dyDescent="0.45">
      <c r="A878" s="24"/>
      <c r="B878" s="24"/>
      <c r="D878" s="24"/>
    </row>
    <row r="879" spans="1:4" x14ac:dyDescent="0.45">
      <c r="A879" s="24"/>
      <c r="B879" s="24"/>
      <c r="D879" s="24"/>
    </row>
    <row r="880" spans="1:4" x14ac:dyDescent="0.45">
      <c r="A880" s="24"/>
      <c r="B880" s="24"/>
      <c r="D880" s="24"/>
    </row>
    <row r="881" spans="1:4" x14ac:dyDescent="0.45">
      <c r="A881" s="24"/>
      <c r="B881" s="24"/>
      <c r="D881" s="24"/>
    </row>
    <row r="882" spans="1:4" x14ac:dyDescent="0.45">
      <c r="A882" s="24"/>
      <c r="B882" s="24"/>
      <c r="D882" s="24"/>
    </row>
    <row r="883" spans="1:4" x14ac:dyDescent="0.45">
      <c r="A883" s="24"/>
      <c r="B883" s="24"/>
      <c r="D883" s="24"/>
    </row>
    <row r="884" spans="1:4" x14ac:dyDescent="0.45">
      <c r="A884" s="24"/>
      <c r="B884" s="24"/>
      <c r="D884" s="24"/>
    </row>
    <row r="885" spans="1:4" x14ac:dyDescent="0.45">
      <c r="A885" s="24"/>
      <c r="B885" s="24"/>
      <c r="D885" s="24"/>
    </row>
    <row r="886" spans="1:4" x14ac:dyDescent="0.45">
      <c r="A886" s="24"/>
      <c r="B886" s="24"/>
      <c r="D886" s="24"/>
    </row>
    <row r="887" spans="1:4" x14ac:dyDescent="0.45">
      <c r="A887" s="24"/>
      <c r="B887" s="24"/>
      <c r="D887" s="24"/>
    </row>
    <row r="888" spans="1:4" x14ac:dyDescent="0.45">
      <c r="A888" s="24"/>
      <c r="B888" s="24"/>
      <c r="D888" s="24"/>
    </row>
    <row r="889" spans="1:4" x14ac:dyDescent="0.45">
      <c r="A889" s="24"/>
      <c r="B889" s="24"/>
      <c r="D889" s="24"/>
    </row>
    <row r="890" spans="1:4" x14ac:dyDescent="0.45">
      <c r="A890" s="24"/>
      <c r="B890" s="24"/>
      <c r="D890" s="24"/>
    </row>
    <row r="891" spans="1:4" x14ac:dyDescent="0.45">
      <c r="A891" s="24"/>
      <c r="B891" s="24"/>
      <c r="D891" s="24"/>
    </row>
    <row r="892" spans="1:4" x14ac:dyDescent="0.45">
      <c r="A892" s="24"/>
      <c r="B892" s="24"/>
      <c r="D892" s="24"/>
    </row>
    <row r="893" spans="1:4" x14ac:dyDescent="0.45">
      <c r="A893" s="24"/>
      <c r="B893" s="24"/>
      <c r="D893" s="24"/>
    </row>
    <row r="894" spans="1:4" x14ac:dyDescent="0.45">
      <c r="A894" s="24"/>
      <c r="B894" s="24"/>
      <c r="D894" s="24"/>
    </row>
    <row r="895" spans="1:4" x14ac:dyDescent="0.45">
      <c r="A895" s="24"/>
      <c r="B895" s="24"/>
      <c r="D895" s="24"/>
    </row>
    <row r="896" spans="1:4" x14ac:dyDescent="0.45">
      <c r="A896" s="24"/>
      <c r="B896" s="24"/>
      <c r="D896" s="24"/>
    </row>
    <row r="897" spans="1:4" x14ac:dyDescent="0.45">
      <c r="A897" s="24"/>
      <c r="B897" s="24"/>
      <c r="D897" s="24"/>
    </row>
    <row r="898" spans="1:4" x14ac:dyDescent="0.45">
      <c r="A898" s="24"/>
      <c r="B898" s="24"/>
      <c r="D898" s="24"/>
    </row>
    <row r="899" spans="1:4" x14ac:dyDescent="0.45">
      <c r="A899" s="24"/>
      <c r="B899" s="24"/>
      <c r="D899" s="24"/>
    </row>
    <row r="900" spans="1:4" x14ac:dyDescent="0.45">
      <c r="A900" s="24"/>
      <c r="B900" s="24"/>
      <c r="D900" s="24"/>
    </row>
    <row r="901" spans="1:4" x14ac:dyDescent="0.45">
      <c r="A901" s="24"/>
      <c r="B901" s="24"/>
      <c r="D901" s="24"/>
    </row>
    <row r="902" spans="1:4" x14ac:dyDescent="0.45">
      <c r="A902" s="24"/>
      <c r="B902" s="24"/>
      <c r="D902" s="24"/>
    </row>
    <row r="903" spans="1:4" x14ac:dyDescent="0.45">
      <c r="A903" s="24"/>
      <c r="B903" s="24"/>
      <c r="D903" s="24"/>
    </row>
    <row r="904" spans="1:4" x14ac:dyDescent="0.45">
      <c r="A904" s="24"/>
      <c r="B904" s="24"/>
      <c r="D904" s="24"/>
    </row>
    <row r="905" spans="1:4" x14ac:dyDescent="0.45">
      <c r="A905" s="24"/>
      <c r="B905" s="24"/>
      <c r="D905" s="24"/>
    </row>
    <row r="906" spans="1:4" x14ac:dyDescent="0.45">
      <c r="A906" s="24"/>
      <c r="B906" s="24"/>
      <c r="D906" s="24"/>
    </row>
    <row r="907" spans="1:4" x14ac:dyDescent="0.45">
      <c r="A907" s="24"/>
      <c r="B907" s="24"/>
      <c r="D907" s="24"/>
    </row>
    <row r="908" spans="1:4" x14ac:dyDescent="0.45">
      <c r="A908" s="24"/>
      <c r="B908" s="24"/>
      <c r="D908" s="24"/>
    </row>
    <row r="909" spans="1:4" x14ac:dyDescent="0.45">
      <c r="A909" s="24"/>
      <c r="B909" s="24"/>
      <c r="D909" s="24"/>
    </row>
    <row r="910" spans="1:4" x14ac:dyDescent="0.45">
      <c r="A910" s="24"/>
      <c r="B910" s="24"/>
      <c r="D910" s="24"/>
    </row>
    <row r="911" spans="1:4" x14ac:dyDescent="0.45">
      <c r="A911" s="24"/>
      <c r="B911" s="24"/>
      <c r="D911" s="24"/>
    </row>
    <row r="912" spans="1:4" x14ac:dyDescent="0.45">
      <c r="A912" s="24"/>
      <c r="B912" s="24"/>
      <c r="D912" s="24"/>
    </row>
    <row r="913" spans="1:4" x14ac:dyDescent="0.45">
      <c r="A913" s="24"/>
      <c r="B913" s="24"/>
      <c r="D913" s="24"/>
    </row>
    <row r="914" spans="1:4" x14ac:dyDescent="0.45">
      <c r="A914" s="24"/>
      <c r="B914" s="24"/>
      <c r="D914" s="24"/>
    </row>
    <row r="915" spans="1:4" x14ac:dyDescent="0.45">
      <c r="A915" s="24"/>
      <c r="B915" s="24"/>
      <c r="D915" s="24"/>
    </row>
    <row r="916" spans="1:4" x14ac:dyDescent="0.45">
      <c r="A916" s="24"/>
      <c r="B916" s="24"/>
      <c r="D916" s="24"/>
    </row>
    <row r="917" spans="1:4" x14ac:dyDescent="0.45">
      <c r="A917" s="24"/>
      <c r="B917" s="24"/>
      <c r="D917" s="24"/>
    </row>
    <row r="918" spans="1:4" x14ac:dyDescent="0.45">
      <c r="A918" s="24"/>
      <c r="B918" s="24"/>
      <c r="D918" s="24"/>
    </row>
    <row r="919" spans="1:4" x14ac:dyDescent="0.45">
      <c r="A919" s="24"/>
      <c r="B919" s="24"/>
      <c r="D919" s="24"/>
    </row>
    <row r="920" spans="1:4" x14ac:dyDescent="0.45">
      <c r="A920" s="24"/>
      <c r="B920" s="24"/>
      <c r="D920" s="24"/>
    </row>
    <row r="921" spans="1:4" x14ac:dyDescent="0.45">
      <c r="A921" s="24"/>
      <c r="B921" s="24"/>
      <c r="D921" s="24"/>
    </row>
    <row r="922" spans="1:4" x14ac:dyDescent="0.45">
      <c r="A922" s="24"/>
      <c r="B922" s="24"/>
      <c r="D922" s="24"/>
    </row>
    <row r="923" spans="1:4" x14ac:dyDescent="0.45">
      <c r="A923" s="24"/>
      <c r="B923" s="24"/>
      <c r="D923" s="24"/>
    </row>
    <row r="924" spans="1:4" x14ac:dyDescent="0.45">
      <c r="A924" s="24"/>
      <c r="B924" s="24"/>
      <c r="D924" s="24"/>
    </row>
    <row r="925" spans="1:4" x14ac:dyDescent="0.45">
      <c r="A925" s="24"/>
      <c r="B925" s="24"/>
      <c r="D925" s="24"/>
    </row>
    <row r="926" spans="1:4" x14ac:dyDescent="0.45">
      <c r="A926" s="24"/>
      <c r="B926" s="24"/>
      <c r="D926" s="24"/>
    </row>
    <row r="927" spans="1:4" x14ac:dyDescent="0.45">
      <c r="A927" s="24"/>
      <c r="B927" s="24"/>
      <c r="D927" s="24"/>
    </row>
    <row r="928" spans="1:4" x14ac:dyDescent="0.45">
      <c r="A928" s="24"/>
      <c r="B928" s="24"/>
      <c r="D928" s="24"/>
    </row>
    <row r="929" spans="1:4" x14ac:dyDescent="0.45">
      <c r="A929" s="24"/>
      <c r="B929" s="24"/>
      <c r="D929" s="24"/>
    </row>
    <row r="930" spans="1:4" x14ac:dyDescent="0.45">
      <c r="A930" s="24"/>
      <c r="B930" s="24"/>
      <c r="D930" s="24"/>
    </row>
    <row r="931" spans="1:4" x14ac:dyDescent="0.45">
      <c r="A931" s="24"/>
      <c r="B931" s="24"/>
      <c r="D931" s="24"/>
    </row>
    <row r="932" spans="1:4" x14ac:dyDescent="0.45">
      <c r="A932" s="24"/>
      <c r="B932" s="24"/>
      <c r="D932" s="24"/>
    </row>
    <row r="933" spans="1:4" x14ac:dyDescent="0.45">
      <c r="A933" s="24"/>
      <c r="B933" s="24"/>
      <c r="D933" s="24"/>
    </row>
    <row r="934" spans="1:4" x14ac:dyDescent="0.45">
      <c r="A934" s="24"/>
      <c r="B934" s="24"/>
      <c r="D934" s="24"/>
    </row>
    <row r="935" spans="1:4" x14ac:dyDescent="0.45">
      <c r="A935" s="24"/>
      <c r="B935" s="24"/>
      <c r="D935" s="24"/>
    </row>
    <row r="936" spans="1:4" x14ac:dyDescent="0.45">
      <c r="A936" s="24"/>
      <c r="B936" s="24"/>
      <c r="D936" s="24"/>
    </row>
    <row r="937" spans="1:4" x14ac:dyDescent="0.45">
      <c r="A937" s="24"/>
      <c r="B937" s="24"/>
      <c r="D937" s="24"/>
    </row>
    <row r="938" spans="1:4" x14ac:dyDescent="0.45">
      <c r="A938" s="24"/>
      <c r="B938" s="24"/>
      <c r="D938" s="24"/>
    </row>
    <row r="939" spans="1:4" x14ac:dyDescent="0.45">
      <c r="A939" s="24"/>
      <c r="B939" s="24"/>
      <c r="D939" s="24"/>
    </row>
    <row r="940" spans="1:4" x14ac:dyDescent="0.45">
      <c r="A940" s="24"/>
      <c r="B940" s="24"/>
      <c r="D940" s="24"/>
    </row>
    <row r="941" spans="1:4" x14ac:dyDescent="0.45">
      <c r="A941" s="24"/>
      <c r="B941" s="24"/>
      <c r="D941" s="24"/>
    </row>
    <row r="942" spans="1:4" x14ac:dyDescent="0.45">
      <c r="A942" s="24"/>
      <c r="B942" s="24"/>
      <c r="D942" s="24"/>
    </row>
    <row r="943" spans="1:4" x14ac:dyDescent="0.45">
      <c r="A943" s="24"/>
      <c r="B943" s="24"/>
      <c r="D943" s="24"/>
    </row>
    <row r="944" spans="1:4" x14ac:dyDescent="0.45">
      <c r="A944" s="24"/>
      <c r="B944" s="24"/>
      <c r="D944" s="24"/>
    </row>
    <row r="945" spans="1:4" x14ac:dyDescent="0.45">
      <c r="A945" s="24"/>
      <c r="B945" s="24"/>
      <c r="D945" s="24"/>
    </row>
    <row r="946" spans="1:4" x14ac:dyDescent="0.45">
      <c r="A946" s="24"/>
      <c r="B946" s="24"/>
      <c r="D946" s="24"/>
    </row>
    <row r="947" spans="1:4" x14ac:dyDescent="0.45">
      <c r="A947" s="24"/>
      <c r="B947" s="24"/>
      <c r="D947" s="24"/>
    </row>
    <row r="948" spans="1:4" x14ac:dyDescent="0.45">
      <c r="A948" s="24"/>
      <c r="B948" s="24"/>
      <c r="D948" s="24"/>
    </row>
    <row r="949" spans="1:4" x14ac:dyDescent="0.45">
      <c r="A949" s="24"/>
      <c r="B949" s="24"/>
      <c r="D949" s="24"/>
    </row>
    <row r="950" spans="1:4" x14ac:dyDescent="0.45">
      <c r="A950" s="24"/>
      <c r="B950" s="24"/>
      <c r="D950" s="24"/>
    </row>
    <row r="951" spans="1:4" x14ac:dyDescent="0.45">
      <c r="A951" s="24"/>
      <c r="B951" s="24"/>
      <c r="D951" s="24"/>
    </row>
    <row r="952" spans="1:4" x14ac:dyDescent="0.45">
      <c r="A952" s="24"/>
      <c r="B952" s="24"/>
      <c r="D952" s="24"/>
    </row>
    <row r="953" spans="1:4" x14ac:dyDescent="0.45">
      <c r="A953" s="24"/>
      <c r="B953" s="24"/>
      <c r="D953" s="24"/>
    </row>
    <row r="954" spans="1:4" x14ac:dyDescent="0.45">
      <c r="A954" s="24"/>
      <c r="B954" s="24"/>
      <c r="D954" s="24"/>
    </row>
    <row r="955" spans="1:4" x14ac:dyDescent="0.45">
      <c r="A955" s="24"/>
      <c r="B955" s="24"/>
      <c r="D955" s="24"/>
    </row>
    <row r="956" spans="1:4" x14ac:dyDescent="0.45">
      <c r="A956" s="24"/>
      <c r="B956" s="24"/>
      <c r="D956" s="24"/>
    </row>
    <row r="957" spans="1:4" x14ac:dyDescent="0.45">
      <c r="A957" s="24"/>
      <c r="B957" s="24"/>
      <c r="D957" s="24"/>
    </row>
    <row r="958" spans="1:4" x14ac:dyDescent="0.45">
      <c r="A958" s="24"/>
      <c r="B958" s="24"/>
      <c r="D958" s="24"/>
    </row>
    <row r="959" spans="1:4" x14ac:dyDescent="0.45">
      <c r="A959" s="24"/>
      <c r="B959" s="24"/>
      <c r="D959" s="24"/>
    </row>
    <row r="960" spans="1:4" x14ac:dyDescent="0.45">
      <c r="A960" s="24"/>
      <c r="B960" s="24"/>
      <c r="D960" s="24"/>
    </row>
    <row r="961" spans="1:4" x14ac:dyDescent="0.45">
      <c r="A961" s="24"/>
      <c r="B961" s="24"/>
      <c r="D961" s="24"/>
    </row>
    <row r="962" spans="1:4" x14ac:dyDescent="0.45">
      <c r="A962" s="24"/>
      <c r="B962" s="24"/>
      <c r="D962" s="24"/>
    </row>
    <row r="963" spans="1:4" x14ac:dyDescent="0.45">
      <c r="A963" s="24"/>
      <c r="B963" s="24"/>
      <c r="D963" s="24"/>
    </row>
    <row r="964" spans="1:4" x14ac:dyDescent="0.45">
      <c r="A964" s="24"/>
      <c r="B964" s="24"/>
      <c r="D964" s="24"/>
    </row>
    <row r="965" spans="1:4" x14ac:dyDescent="0.45">
      <c r="A965" s="24"/>
      <c r="B965" s="24"/>
      <c r="D965" s="24"/>
    </row>
    <row r="966" spans="1:4" x14ac:dyDescent="0.45">
      <c r="A966" s="24"/>
      <c r="B966" s="24"/>
      <c r="D966" s="24"/>
    </row>
    <row r="967" spans="1:4" x14ac:dyDescent="0.45">
      <c r="A967" s="24"/>
      <c r="B967" s="24"/>
      <c r="D967" s="24"/>
    </row>
    <row r="968" spans="1:4" x14ac:dyDescent="0.45">
      <c r="A968" s="24"/>
      <c r="B968" s="24"/>
      <c r="D968" s="24"/>
    </row>
    <row r="969" spans="1:4" x14ac:dyDescent="0.45">
      <c r="A969" s="24"/>
      <c r="B969" s="24"/>
      <c r="D969" s="24"/>
    </row>
    <row r="970" spans="1:4" x14ac:dyDescent="0.45">
      <c r="A970" s="24"/>
      <c r="B970" s="24"/>
      <c r="D970" s="24"/>
    </row>
    <row r="971" spans="1:4" x14ac:dyDescent="0.45">
      <c r="A971" s="24"/>
      <c r="B971" s="24"/>
      <c r="D971" s="24"/>
    </row>
    <row r="972" spans="1:4" x14ac:dyDescent="0.45">
      <c r="A972" s="24"/>
      <c r="B972" s="24"/>
      <c r="D972" s="24"/>
    </row>
    <row r="973" spans="1:4" x14ac:dyDescent="0.45">
      <c r="A973" s="24"/>
      <c r="B973" s="24"/>
      <c r="D973" s="24"/>
    </row>
    <row r="974" spans="1:4" x14ac:dyDescent="0.45">
      <c r="A974" s="24"/>
      <c r="B974" s="24"/>
      <c r="D974" s="24"/>
    </row>
    <row r="975" spans="1:4" x14ac:dyDescent="0.45">
      <c r="A975" s="24"/>
      <c r="B975" s="24"/>
      <c r="D975" s="24"/>
    </row>
    <row r="976" spans="1:4" x14ac:dyDescent="0.45">
      <c r="A976" s="24"/>
      <c r="B976" s="24"/>
      <c r="D976" s="24"/>
    </row>
    <row r="977" spans="1:4" x14ac:dyDescent="0.45">
      <c r="A977" s="24"/>
      <c r="B977" s="24"/>
      <c r="D977" s="24"/>
    </row>
    <row r="978" spans="1:4" x14ac:dyDescent="0.45">
      <c r="A978" s="24"/>
      <c r="B978" s="24"/>
      <c r="D978" s="24"/>
    </row>
    <row r="979" spans="1:4" x14ac:dyDescent="0.45">
      <c r="A979" s="24"/>
      <c r="B979" s="24"/>
      <c r="D979" s="24"/>
    </row>
    <row r="980" spans="1:4" x14ac:dyDescent="0.45">
      <c r="A980" s="24"/>
      <c r="B980" s="24"/>
      <c r="D980" s="24"/>
    </row>
    <row r="981" spans="1:4" x14ac:dyDescent="0.45">
      <c r="A981" s="24"/>
      <c r="B981" s="24"/>
      <c r="D981" s="24"/>
    </row>
    <row r="982" spans="1:4" x14ac:dyDescent="0.45">
      <c r="A982" s="24"/>
      <c r="B982" s="24"/>
      <c r="D982" s="24"/>
    </row>
    <row r="983" spans="1:4" x14ac:dyDescent="0.45">
      <c r="A983" s="24"/>
      <c r="B983" s="24"/>
      <c r="D983" s="24"/>
    </row>
    <row r="984" spans="1:4" x14ac:dyDescent="0.45">
      <c r="A984" s="24"/>
      <c r="B984" s="24"/>
      <c r="D984" s="24"/>
    </row>
    <row r="985" spans="1:4" x14ac:dyDescent="0.45">
      <c r="A985" s="24"/>
      <c r="B985" s="24"/>
      <c r="D985" s="24"/>
    </row>
    <row r="986" spans="1:4" x14ac:dyDescent="0.45">
      <c r="A986" s="24"/>
      <c r="B986" s="24"/>
      <c r="D986" s="24"/>
    </row>
    <row r="987" spans="1:4" x14ac:dyDescent="0.45">
      <c r="A987" s="24"/>
      <c r="B987" s="24"/>
      <c r="D987" s="24"/>
    </row>
    <row r="988" spans="1:4" x14ac:dyDescent="0.45">
      <c r="A988" s="24"/>
      <c r="B988" s="24"/>
      <c r="D988" s="24"/>
    </row>
    <row r="989" spans="1:4" x14ac:dyDescent="0.45">
      <c r="A989" s="24"/>
      <c r="B989" s="24"/>
      <c r="D989" s="24"/>
    </row>
    <row r="990" spans="1:4" x14ac:dyDescent="0.45">
      <c r="A990" s="24"/>
      <c r="B990" s="24"/>
      <c r="D990" s="24"/>
    </row>
    <row r="991" spans="1:4" x14ac:dyDescent="0.45">
      <c r="A991" s="24"/>
      <c r="B991" s="24"/>
      <c r="D991" s="24"/>
    </row>
    <row r="992" spans="1:4" x14ac:dyDescent="0.45">
      <c r="A992" s="24"/>
      <c r="B992" s="24"/>
      <c r="D992" s="24"/>
    </row>
    <row r="993" spans="1:4" x14ac:dyDescent="0.45">
      <c r="A993" s="24"/>
      <c r="B993" s="24"/>
      <c r="D993" s="24"/>
    </row>
    <row r="994" spans="1:4" x14ac:dyDescent="0.45">
      <c r="A994" s="24"/>
      <c r="B994" s="24"/>
      <c r="D994" s="24"/>
    </row>
    <row r="995" spans="1:4" x14ac:dyDescent="0.45">
      <c r="A995" s="24"/>
      <c r="B995" s="24"/>
      <c r="D995" s="24"/>
    </row>
    <row r="996" spans="1:4" x14ac:dyDescent="0.45">
      <c r="A996" s="24"/>
      <c r="B996" s="24"/>
      <c r="D996" s="24"/>
    </row>
    <row r="997" spans="1:4" x14ac:dyDescent="0.45">
      <c r="A997" s="24"/>
      <c r="B997" s="24"/>
      <c r="D997" s="24"/>
    </row>
    <row r="998" spans="1:4" x14ac:dyDescent="0.45">
      <c r="A998" s="24"/>
      <c r="B998" s="24"/>
      <c r="D998" s="24"/>
    </row>
    <row r="999" spans="1:4" x14ac:dyDescent="0.45">
      <c r="A999" s="24"/>
      <c r="B999" s="24"/>
      <c r="D999" s="24"/>
    </row>
    <row r="1000" spans="1:4" x14ac:dyDescent="0.45">
      <c r="A1000" s="24"/>
      <c r="B1000" s="24"/>
      <c r="D1000" s="24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26E3-5F14-479D-BBB2-3CD5EF13CCD8}">
  <dimension ref="A1:H109"/>
  <sheetViews>
    <sheetView topLeftCell="A92" zoomScaleNormal="100" workbookViewId="0">
      <selection activeCell="J93" sqref="J93"/>
    </sheetView>
  </sheetViews>
  <sheetFormatPr defaultRowHeight="14.25" x14ac:dyDescent="0.45"/>
  <sheetData>
    <row r="1" spans="1:7" x14ac:dyDescent="0.45">
      <c r="A1" s="44" t="s">
        <v>61</v>
      </c>
      <c r="B1" s="45" t="s">
        <v>46</v>
      </c>
      <c r="C1" s="46" t="s">
        <v>37</v>
      </c>
      <c r="D1" s="20"/>
      <c r="E1" s="20"/>
      <c r="F1" s="20"/>
      <c r="G1" s="20"/>
    </row>
    <row r="2" spans="1:7" x14ac:dyDescent="0.45">
      <c r="A2" s="41">
        <v>13900.3</v>
      </c>
      <c r="B2" s="20">
        <v>2823.81</v>
      </c>
      <c r="C2" s="19">
        <v>1344.7</v>
      </c>
      <c r="D2" s="20">
        <v>1</v>
      </c>
      <c r="E2" s="20"/>
      <c r="F2" s="20"/>
      <c r="G2" s="20"/>
    </row>
    <row r="3" spans="1:7" x14ac:dyDescent="0.45">
      <c r="A3" s="41">
        <v>13949.3</v>
      </c>
      <c r="B3" s="20">
        <v>2713.83</v>
      </c>
      <c r="C3" s="19">
        <v>1317.66</v>
      </c>
      <c r="D3" s="20">
        <v>2</v>
      </c>
      <c r="E3" s="20"/>
      <c r="F3" s="20"/>
      <c r="G3" s="20"/>
    </row>
    <row r="4" spans="1:7" x14ac:dyDescent="0.45">
      <c r="A4" s="41">
        <v>14012.7</v>
      </c>
      <c r="B4" s="20">
        <v>2640.87</v>
      </c>
      <c r="C4" s="19">
        <v>1324</v>
      </c>
      <c r="D4" s="20">
        <v>3</v>
      </c>
      <c r="E4" s="20"/>
      <c r="F4" s="20"/>
      <c r="G4" s="20"/>
    </row>
    <row r="5" spans="1:7" x14ac:dyDescent="0.45">
      <c r="A5" s="41">
        <v>14035.9</v>
      </c>
      <c r="B5" s="20">
        <v>2648.05</v>
      </c>
      <c r="C5" s="19">
        <v>1314.95</v>
      </c>
      <c r="D5" s="20">
        <v>4</v>
      </c>
      <c r="E5" s="20"/>
      <c r="F5" s="20"/>
      <c r="G5" s="20"/>
    </row>
    <row r="6" spans="1:7" x14ac:dyDescent="0.45">
      <c r="A6" s="41">
        <v>14092.4</v>
      </c>
      <c r="B6" s="20">
        <v>2705.27</v>
      </c>
      <c r="C6" s="19">
        <v>1297.92</v>
      </c>
      <c r="D6" s="20">
        <v>5</v>
      </c>
      <c r="E6" s="20"/>
      <c r="F6" s="20"/>
      <c r="G6" s="20"/>
    </row>
    <row r="7" spans="1:7" x14ac:dyDescent="0.45">
      <c r="A7" s="41">
        <v>14137.2</v>
      </c>
      <c r="B7" s="20">
        <v>2718.37</v>
      </c>
      <c r="C7" s="19">
        <v>1252.25</v>
      </c>
      <c r="D7" s="20">
        <v>6</v>
      </c>
      <c r="E7" s="20"/>
      <c r="F7" s="20"/>
      <c r="G7" s="20"/>
    </row>
    <row r="8" spans="1:7" x14ac:dyDescent="0.45">
      <c r="A8" s="41">
        <v>14174.6</v>
      </c>
      <c r="B8" s="20">
        <v>2816.29</v>
      </c>
      <c r="C8" s="19">
        <v>1223.4100000000001</v>
      </c>
      <c r="D8" s="20">
        <v>7</v>
      </c>
      <c r="E8" s="20"/>
      <c r="F8" s="20"/>
      <c r="G8" s="20"/>
    </row>
    <row r="9" spans="1:7" x14ac:dyDescent="0.45">
      <c r="A9" s="41">
        <v>14223.2</v>
      </c>
      <c r="B9" s="20">
        <v>2901.52</v>
      </c>
      <c r="C9" s="19">
        <v>1200.71</v>
      </c>
      <c r="D9" s="20">
        <v>8</v>
      </c>
      <c r="E9" s="20"/>
      <c r="F9" s="20"/>
      <c r="G9" s="20"/>
    </row>
    <row r="10" spans="1:7" x14ac:dyDescent="0.45">
      <c r="A10" s="41">
        <v>14245.5</v>
      </c>
      <c r="B10" s="20">
        <v>2913.98</v>
      </c>
      <c r="C10" s="19">
        <v>1191.69</v>
      </c>
      <c r="D10" s="20">
        <v>9</v>
      </c>
      <c r="E10" s="20"/>
      <c r="F10" s="20"/>
      <c r="G10" s="20"/>
    </row>
    <row r="11" spans="1:7" x14ac:dyDescent="0.45">
      <c r="A11" s="41">
        <v>14256.6</v>
      </c>
      <c r="B11" s="20">
        <v>2711.74</v>
      </c>
      <c r="C11" s="19">
        <v>1214.1400000000001</v>
      </c>
      <c r="D11" s="20">
        <v>10</v>
      </c>
      <c r="E11" s="20"/>
      <c r="F11" s="20"/>
      <c r="G11" s="20"/>
    </row>
    <row r="12" spans="1:7" x14ac:dyDescent="0.45">
      <c r="A12" s="41">
        <v>14282.8</v>
      </c>
      <c r="B12" s="20">
        <v>2760.17</v>
      </c>
      <c r="C12" s="19">
        <v>1221.8800000000001</v>
      </c>
      <c r="D12" s="20">
        <v>11</v>
      </c>
      <c r="E12" s="20"/>
      <c r="F12" s="20"/>
      <c r="G12" s="20"/>
    </row>
    <row r="13" spans="1:7" x14ac:dyDescent="0.45">
      <c r="A13" s="41">
        <v>14386.8</v>
      </c>
      <c r="B13" s="20">
        <v>2506.85</v>
      </c>
      <c r="C13" s="19">
        <v>1282.73</v>
      </c>
      <c r="D13" s="20">
        <v>12</v>
      </c>
      <c r="E13" s="20"/>
      <c r="F13" s="20"/>
      <c r="G13" s="20"/>
    </row>
    <row r="14" spans="1:7" x14ac:dyDescent="0.45">
      <c r="A14" s="41">
        <v>14459.7</v>
      </c>
      <c r="B14" s="20">
        <v>2704.1</v>
      </c>
      <c r="C14" s="19">
        <v>1320.56</v>
      </c>
      <c r="D14" s="20">
        <v>13</v>
      </c>
      <c r="E14" s="20"/>
      <c r="F14" s="20"/>
      <c r="G14" s="20"/>
    </row>
    <row r="15" spans="1:7" x14ac:dyDescent="0.45">
      <c r="A15" s="41">
        <v>14506.3</v>
      </c>
      <c r="B15" s="20">
        <v>2784.49</v>
      </c>
      <c r="C15" s="19">
        <v>1312.66</v>
      </c>
      <c r="D15" s="20">
        <v>14</v>
      </c>
      <c r="E15" s="20"/>
      <c r="F15" s="20"/>
      <c r="G15" s="20"/>
    </row>
    <row r="16" spans="1:7" x14ac:dyDescent="0.45">
      <c r="A16" s="41">
        <v>14557.5</v>
      </c>
      <c r="B16" s="20">
        <v>2834.4</v>
      </c>
      <c r="C16" s="19">
        <v>1291.9000000000001</v>
      </c>
      <c r="D16" s="20">
        <v>15</v>
      </c>
      <c r="E16" s="20"/>
      <c r="F16" s="20"/>
      <c r="G16" s="20"/>
    </row>
    <row r="17" spans="1:8" x14ac:dyDescent="0.45">
      <c r="A17" s="41">
        <v>14594.7</v>
      </c>
      <c r="B17" s="20">
        <v>2945.83</v>
      </c>
      <c r="C17" s="19">
        <v>1283.3499999999999</v>
      </c>
      <c r="D17" s="20">
        <v>16</v>
      </c>
      <c r="E17" s="20"/>
      <c r="F17" s="20"/>
      <c r="G17" s="20"/>
    </row>
    <row r="18" spans="1:8" x14ac:dyDescent="0.45">
      <c r="A18" s="41">
        <v>14704.4</v>
      </c>
      <c r="B18" s="20">
        <v>2752.06</v>
      </c>
      <c r="C18" s="19">
        <v>1305.25</v>
      </c>
      <c r="D18" s="20">
        <v>17</v>
      </c>
      <c r="E18" s="20"/>
      <c r="F18" s="20"/>
      <c r="G18" s="20"/>
    </row>
    <row r="19" spans="1:8" x14ac:dyDescent="0.45">
      <c r="A19" s="41">
        <v>14802.8</v>
      </c>
      <c r="B19" s="20">
        <v>2941.76</v>
      </c>
      <c r="C19" s="19">
        <v>1409.1</v>
      </c>
      <c r="D19" s="20">
        <v>18</v>
      </c>
      <c r="E19" s="20"/>
      <c r="F19" s="20"/>
      <c r="G19" s="20"/>
    </row>
    <row r="20" spans="1:8" x14ac:dyDescent="0.45">
      <c r="A20" s="41">
        <v>14886.8</v>
      </c>
      <c r="B20" s="20">
        <v>2980.38</v>
      </c>
      <c r="C20" s="19">
        <v>1413.55</v>
      </c>
      <c r="D20" s="20">
        <v>19</v>
      </c>
      <c r="E20" s="20"/>
      <c r="F20" s="20"/>
      <c r="G20" s="20"/>
    </row>
    <row r="21" spans="1:8" x14ac:dyDescent="0.45">
      <c r="A21" s="41">
        <v>14974.4</v>
      </c>
      <c r="B21" s="20">
        <v>2926.46</v>
      </c>
      <c r="C21" s="19">
        <v>1519.85</v>
      </c>
      <c r="D21" s="20">
        <v>20</v>
      </c>
      <c r="E21" s="20"/>
      <c r="F21" s="20"/>
      <c r="G21" s="20"/>
    </row>
    <row r="22" spans="1:8" x14ac:dyDescent="0.45">
      <c r="A22" s="41">
        <v>15047</v>
      </c>
      <c r="B22" s="20">
        <v>2976.74</v>
      </c>
      <c r="C22" s="19">
        <v>1472</v>
      </c>
      <c r="D22" s="20">
        <v>21</v>
      </c>
      <c r="E22" s="20"/>
      <c r="F22" s="20"/>
      <c r="G22" s="20"/>
    </row>
    <row r="23" spans="1:8" x14ac:dyDescent="0.45">
      <c r="A23" s="41">
        <v>15184.1</v>
      </c>
      <c r="B23" s="20">
        <v>3037.56</v>
      </c>
      <c r="C23" s="19">
        <v>1513.16</v>
      </c>
      <c r="D23" s="20">
        <v>22</v>
      </c>
      <c r="E23" s="20"/>
      <c r="F23" s="20"/>
      <c r="G23" s="20"/>
    </row>
    <row r="24" spans="1:8" x14ac:dyDescent="0.45">
      <c r="A24" s="41">
        <v>15296</v>
      </c>
      <c r="B24" s="20">
        <v>3140.98</v>
      </c>
      <c r="C24" s="19">
        <v>1463.9</v>
      </c>
      <c r="D24" s="20">
        <v>23</v>
      </c>
      <c r="E24" s="20"/>
      <c r="F24" s="20"/>
      <c r="G24" s="20"/>
    </row>
    <row r="25" spans="1:8" x14ac:dyDescent="0.45">
      <c r="A25" s="41">
        <v>15347.5</v>
      </c>
      <c r="B25" s="20">
        <v>3230.78</v>
      </c>
      <c r="C25" s="19">
        <v>1517.01</v>
      </c>
      <c r="D25" s="20">
        <v>24</v>
      </c>
      <c r="E25" s="20"/>
      <c r="F25" s="20"/>
      <c r="G25" s="20"/>
    </row>
    <row r="26" spans="1:8" x14ac:dyDescent="0.45">
      <c r="A26" s="41">
        <v>15427.1</v>
      </c>
      <c r="B26" s="20">
        <v>3225.52</v>
      </c>
      <c r="C26" s="19">
        <v>1589.81</v>
      </c>
      <c r="D26" s="20">
        <v>25</v>
      </c>
      <c r="E26" s="20"/>
      <c r="F26" s="20"/>
      <c r="G26" s="20"/>
    </row>
    <row r="27" spans="1:8" x14ac:dyDescent="0.45">
      <c r="A27" s="41">
        <v>15493.4</v>
      </c>
      <c r="B27" s="20">
        <v>2954.22</v>
      </c>
      <c r="C27" s="19">
        <v>1584.74</v>
      </c>
      <c r="D27" s="20">
        <v>26</v>
      </c>
      <c r="E27" s="20"/>
      <c r="F27" s="20"/>
      <c r="G27" s="20"/>
    </row>
    <row r="28" spans="1:8" x14ac:dyDescent="0.45">
      <c r="A28" s="41">
        <v>16033</v>
      </c>
      <c r="B28" s="20">
        <v>2584.59</v>
      </c>
      <c r="C28" s="19">
        <v>1571.05</v>
      </c>
      <c r="D28" s="20">
        <v>27</v>
      </c>
      <c r="E28" s="20"/>
      <c r="F28" s="20"/>
      <c r="G28" s="20"/>
    </row>
    <row r="29" spans="1:8" x14ac:dyDescent="0.45">
      <c r="A29" s="41">
        <v>17065.3</v>
      </c>
      <c r="B29" s="20">
        <v>2912.43</v>
      </c>
      <c r="C29" s="19">
        <v>1680.09</v>
      </c>
      <c r="D29" s="20">
        <v>28</v>
      </c>
      <c r="E29" s="20"/>
      <c r="F29" s="20"/>
      <c r="G29" s="20"/>
    </row>
    <row r="30" spans="1:8" x14ac:dyDescent="0.45">
      <c r="A30" s="41">
        <v>17932.900000000001</v>
      </c>
      <c r="B30" s="20">
        <v>3044.31</v>
      </c>
      <c r="C30" s="19">
        <v>1726.3</v>
      </c>
      <c r="D30" s="20">
        <v>29</v>
      </c>
      <c r="E30" s="20">
        <f>C29-0.165*(A5-A4)+0.18432*(A4-A3)-0.22046*(A3-A2)+0.13989*(B18-B17)+0+0.35556*0</f>
        <v>1650.0388627000004</v>
      </c>
      <c r="F30" s="42">
        <f>C30-E30</f>
        <v>76.261137299999518</v>
      </c>
      <c r="G30" s="20"/>
      <c r="H30">
        <f>C29-0.165*(A5-A4)+0.18432*(A4-A3)-0.22046*(A3-A2)+0.13989*(B18-B17)+0+0.35556*0+42.5</f>
        <v>1692.5388627000004</v>
      </c>
    </row>
    <row r="31" spans="1:8" x14ac:dyDescent="0.45">
      <c r="A31" s="41">
        <v>18184.3</v>
      </c>
      <c r="B31" s="20">
        <v>3100.29</v>
      </c>
      <c r="C31" s="19">
        <v>1780.67</v>
      </c>
      <c r="D31" s="20">
        <v>30</v>
      </c>
      <c r="E31" s="20">
        <f t="shared" ref="E31:E34" si="0">C30-0.165*(A6-A5)+0.18432*(A5-A4)-0.22046*(A4-A3)+0.13989*(B19-B18)+0+0.35556*0</f>
        <v>1733.8136929999994</v>
      </c>
      <c r="F31" s="42">
        <f>C31-E31</f>
        <v>46.856307000000697</v>
      </c>
      <c r="G31" s="20"/>
      <c r="H31">
        <f t="shared" ref="H31:H34" si="1">C30-0.165*(A6-A5)+0.18432*(A5-A4)-0.22046*(A4-A3)+0.13989*(B19-B18)+0+0.35556*0+42.5</f>
        <v>1776.3136929999994</v>
      </c>
    </row>
    <row r="32" spans="1:8" x14ac:dyDescent="0.45">
      <c r="A32" s="41">
        <v>18335.400000000001</v>
      </c>
      <c r="B32" s="20">
        <v>3271.12</v>
      </c>
      <c r="C32" s="19">
        <v>1974.69</v>
      </c>
      <c r="D32" s="20">
        <v>31</v>
      </c>
      <c r="E32" s="20">
        <f t="shared" si="0"/>
        <v>1783.9799598000002</v>
      </c>
      <c r="F32" s="42">
        <f t="shared" ref="F32:F95" si="2">C32-E32</f>
        <v>190.71004019999987</v>
      </c>
      <c r="G32" s="20"/>
      <c r="H32">
        <f>C31-0.165*(A7-A6)+0.18432*(A6-A5)-0.22046*(A5-A4)+0.13989*(B20-B19)+0+0.35556*0+42.5</f>
        <v>1826.4799598000002</v>
      </c>
    </row>
    <row r="33" spans="1:8" x14ac:dyDescent="0.45">
      <c r="A33" s="41">
        <v>18411.2</v>
      </c>
      <c r="B33" s="20">
        <v>3500.31</v>
      </c>
      <c r="C33" s="19">
        <v>1969.75</v>
      </c>
      <c r="D33" s="20">
        <v>32</v>
      </c>
      <c r="E33" s="20">
        <f t="shared" si="0"/>
        <v>1956.7776772000004</v>
      </c>
      <c r="F33" s="42">
        <f t="shared" si="2"/>
        <v>12.972322799999574</v>
      </c>
      <c r="G33" s="20"/>
      <c r="H33">
        <f t="shared" si="1"/>
        <v>1999.2776772000004</v>
      </c>
    </row>
    <row r="34" spans="1:8" x14ac:dyDescent="0.45">
      <c r="A34" s="41">
        <v>18602.5</v>
      </c>
      <c r="B34" s="20">
        <v>3363</v>
      </c>
      <c r="C34" s="19">
        <v>1885.44</v>
      </c>
      <c r="D34" s="20">
        <v>33</v>
      </c>
      <c r="E34" s="20">
        <f t="shared" si="0"/>
        <v>1965.7816291999998</v>
      </c>
      <c r="F34" s="42">
        <f t="shared" si="2"/>
        <v>-80.341629199999716</v>
      </c>
      <c r="G34" s="20"/>
      <c r="H34">
        <f t="shared" si="1"/>
        <v>2008.2816291999998</v>
      </c>
    </row>
    <row r="35" spans="1:8" x14ac:dyDescent="0.45">
      <c r="A35" s="41">
        <v>18757.599999999999</v>
      </c>
      <c r="B35" s="20">
        <v>3269.96</v>
      </c>
      <c r="C35" s="19">
        <v>1877.95</v>
      </c>
      <c r="D35" s="20">
        <v>34</v>
      </c>
      <c r="E35" s="20">
        <f>C34-0.165*(A10-A9)+0.18432*(A9-A8)-0.22046*(A8-A7)+0.13989*(B23-B22)+0+0.35556*G35</f>
        <v>1918.0967677783881</v>
      </c>
      <c r="F35" s="42">
        <f t="shared" si="2"/>
        <v>-40.146767778388039</v>
      </c>
      <c r="G35" s="42">
        <f>F30</f>
        <v>76.261137299999518</v>
      </c>
      <c r="H35">
        <f>C34-0.165*(A10-A9)+0.18432*(A9-A8)-0.22046*(A8-A7)+0.13989*(B23-B22)+0+0.35556*G35+42.5</f>
        <v>1960.5967677783881</v>
      </c>
    </row>
    <row r="36" spans="1:8" x14ac:dyDescent="0.45">
      <c r="A36" s="41">
        <v>18997</v>
      </c>
      <c r="B36" s="20">
        <v>3621.63</v>
      </c>
      <c r="C36" s="19">
        <v>1777.02</v>
      </c>
      <c r="D36" s="20">
        <v>35</v>
      </c>
      <c r="E36" s="20">
        <f t="shared" ref="E36:E99" si="3">C35-0.165*(A11-A10)+0.18432*(A10-A9)-0.22046*(A9-A8)+0.13989*(B24-B23)+0+0.35556*G36</f>
        <v>1900.64213231692</v>
      </c>
      <c r="F36" s="42">
        <f t="shared" si="2"/>
        <v>-123.62213231691999</v>
      </c>
      <c r="G36" s="42">
        <f t="shared" ref="G36:G101" si="4">F31</f>
        <v>46.856307000000697</v>
      </c>
      <c r="H36">
        <f t="shared" ref="H36:H82" si="5">C35-0.165*(A11-A10)+0.18432*(A10-A9)-0.22046*(A9-A8)+0.13989*(B24-B23)+0+0.35556*G36+42.5</f>
        <v>1943.14213231692</v>
      </c>
    </row>
    <row r="37" spans="1:8" x14ac:dyDescent="0.45">
      <c r="A37" s="41">
        <v>19115.7</v>
      </c>
      <c r="B37" s="20">
        <v>3756.07</v>
      </c>
      <c r="C37" s="19">
        <v>1896.49</v>
      </c>
      <c r="D37" s="20">
        <v>36</v>
      </c>
      <c r="E37" s="20">
        <f t="shared" si="3"/>
        <v>1850.1976778935125</v>
      </c>
      <c r="F37" s="42">
        <f t="shared" si="2"/>
        <v>46.292322106487518</v>
      </c>
      <c r="G37" s="42">
        <f t="shared" si="4"/>
        <v>190.71004019999987</v>
      </c>
      <c r="H37">
        <f t="shared" si="5"/>
        <v>1892.6976778935125</v>
      </c>
    </row>
    <row r="38" spans="1:8" x14ac:dyDescent="0.45">
      <c r="A38" s="41">
        <v>19379</v>
      </c>
      <c r="B38" s="20">
        <v>3714.24</v>
      </c>
      <c r="C38" s="19">
        <v>1846.09</v>
      </c>
      <c r="D38" s="20">
        <v>37</v>
      </c>
      <c r="E38" s="20">
        <f t="shared" si="3"/>
        <v>1885.5886956947672</v>
      </c>
      <c r="F38" s="42">
        <f t="shared" si="2"/>
        <v>-39.498695694767321</v>
      </c>
      <c r="G38" s="42">
        <f t="shared" si="4"/>
        <v>12.972322799999574</v>
      </c>
      <c r="H38">
        <f t="shared" si="5"/>
        <v>1928.0886956947672</v>
      </c>
    </row>
    <row r="39" spans="1:8" x14ac:dyDescent="0.45">
      <c r="A39" s="41">
        <v>19641.8</v>
      </c>
      <c r="B39" s="20">
        <v>3811.15</v>
      </c>
      <c r="C39" s="19">
        <v>1733.49</v>
      </c>
      <c r="D39" s="20">
        <v>38</v>
      </c>
      <c r="E39" s="20">
        <f t="shared" si="3"/>
        <v>1780.936301321648</v>
      </c>
      <c r="F39" s="42">
        <f t="shared" si="2"/>
        <v>-47.446301321647979</v>
      </c>
      <c r="G39" s="42">
        <f t="shared" si="4"/>
        <v>-80.341629199999716</v>
      </c>
      <c r="H39">
        <f t="shared" si="5"/>
        <v>1823.436301321648</v>
      </c>
    </row>
    <row r="40" spans="1:8" x14ac:dyDescent="0.45">
      <c r="A40" s="41">
        <v>19873.2</v>
      </c>
      <c r="B40" s="20">
        <v>3972.89</v>
      </c>
      <c r="C40" s="19">
        <v>1707.01</v>
      </c>
      <c r="D40" s="20">
        <v>39</v>
      </c>
      <c r="E40" s="20">
        <f t="shared" si="3"/>
        <v>1650.3279625487169</v>
      </c>
      <c r="F40" s="42">
        <f t="shared" si="2"/>
        <v>56.682037451283122</v>
      </c>
      <c r="G40" s="42">
        <f t="shared" si="4"/>
        <v>-40.146767778388039</v>
      </c>
      <c r="H40">
        <f t="shared" si="5"/>
        <v>1692.8279625487169</v>
      </c>
    </row>
    <row r="41" spans="1:8" x14ac:dyDescent="0.45">
      <c r="A41" s="41">
        <v>20176.900000000001</v>
      </c>
      <c r="B41" s="20">
        <v>4181.17</v>
      </c>
      <c r="C41" s="19">
        <v>1768.59</v>
      </c>
      <c r="D41" s="20">
        <v>40</v>
      </c>
      <c r="E41" s="20">
        <f t="shared" si="3"/>
        <v>1692.9862302333954</v>
      </c>
      <c r="F41" s="42">
        <f t="shared" si="2"/>
        <v>75.603769766604501</v>
      </c>
      <c r="G41" s="42">
        <f t="shared" si="4"/>
        <v>-123.62213231691999</v>
      </c>
      <c r="H41">
        <f t="shared" si="5"/>
        <v>1735.4862302333954</v>
      </c>
    </row>
    <row r="42" spans="1:8" x14ac:dyDescent="0.45">
      <c r="A42" s="41">
        <v>20460.400000000001</v>
      </c>
      <c r="B42" s="20">
        <v>4204.1099999999997</v>
      </c>
      <c r="C42" s="19">
        <v>1906.36</v>
      </c>
      <c r="D42" s="20">
        <v>41</v>
      </c>
      <c r="E42" s="20">
        <f t="shared" si="3"/>
        <v>1796.5241392481828</v>
      </c>
      <c r="F42" s="42">
        <f t="shared" si="2"/>
        <v>109.83586075181711</v>
      </c>
      <c r="G42" s="42">
        <f t="shared" si="4"/>
        <v>46.292322106487518</v>
      </c>
      <c r="H42">
        <f t="shared" si="5"/>
        <v>1839.0241392481828</v>
      </c>
    </row>
    <row r="43" spans="1:8" x14ac:dyDescent="0.45">
      <c r="A43" s="41">
        <v>20477.8</v>
      </c>
      <c r="B43" s="20">
        <v>4297.5</v>
      </c>
      <c r="C43" s="19">
        <v>1769.8</v>
      </c>
      <c r="D43" s="20">
        <v>42</v>
      </c>
      <c r="E43" s="20">
        <f t="shared" si="3"/>
        <v>1877.6155379587683</v>
      </c>
      <c r="F43" s="42">
        <f t="shared" si="2"/>
        <v>-107.81553795876835</v>
      </c>
      <c r="G43" s="42">
        <f t="shared" si="4"/>
        <v>-39.498695694767321</v>
      </c>
      <c r="H43">
        <f t="shared" si="5"/>
        <v>1920.1155379587683</v>
      </c>
    </row>
    <row r="44" spans="1:8" x14ac:dyDescent="0.45">
      <c r="A44" s="41">
        <v>20633.3</v>
      </c>
      <c r="B44" s="20">
        <v>4395.26</v>
      </c>
      <c r="C44" s="19">
        <v>1813.58</v>
      </c>
      <c r="D44" s="20">
        <v>43</v>
      </c>
      <c r="E44" s="20">
        <f t="shared" si="3"/>
        <v>1772.6101938020745</v>
      </c>
      <c r="F44" s="42">
        <f t="shared" si="2"/>
        <v>40.969806197925436</v>
      </c>
      <c r="G44" s="42">
        <f t="shared" si="4"/>
        <v>-47.446301321647979</v>
      </c>
      <c r="H44">
        <f t="shared" si="5"/>
        <v>1815.1101938020745</v>
      </c>
    </row>
    <row r="45" spans="1:8" x14ac:dyDescent="0.45">
      <c r="A45" s="41">
        <v>20840.900000000001</v>
      </c>
      <c r="B45" s="20">
        <v>4522.68</v>
      </c>
      <c r="C45" s="19">
        <v>1813.43</v>
      </c>
      <c r="D45" s="20">
        <v>44</v>
      </c>
      <c r="E45" s="20">
        <f t="shared" si="3"/>
        <v>1845.8878803361786</v>
      </c>
      <c r="F45" s="42">
        <f t="shared" si="2"/>
        <v>-32.457880336178505</v>
      </c>
      <c r="G45" s="42">
        <f t="shared" si="4"/>
        <v>56.682037451283122</v>
      </c>
      <c r="H45">
        <f t="shared" si="5"/>
        <v>1888.3878803361786</v>
      </c>
    </row>
    <row r="46" spans="1:8" x14ac:dyDescent="0.45">
      <c r="A46" s="41">
        <v>20981</v>
      </c>
      <c r="B46" s="20">
        <v>4307.54</v>
      </c>
      <c r="C46" s="19">
        <v>1756.66</v>
      </c>
      <c r="D46" s="20">
        <v>45</v>
      </c>
      <c r="E46" s="20">
        <f t="shared" si="3"/>
        <v>1800.438996478214</v>
      </c>
      <c r="F46" s="42">
        <f t="shared" si="2"/>
        <v>-43.778996478213912</v>
      </c>
      <c r="G46" s="42">
        <f t="shared" si="4"/>
        <v>75.603769766604501</v>
      </c>
      <c r="H46">
        <f t="shared" si="5"/>
        <v>1842.938996478214</v>
      </c>
    </row>
    <row r="47" spans="1:8" x14ac:dyDescent="0.45">
      <c r="A47" s="41">
        <v>21160.6</v>
      </c>
      <c r="B47" s="20">
        <v>4605.38</v>
      </c>
      <c r="C47" s="19">
        <v>1782.81</v>
      </c>
      <c r="D47" s="20">
        <v>46</v>
      </c>
      <c r="E47" s="20">
        <f t="shared" si="3"/>
        <v>1768.3466650489161</v>
      </c>
      <c r="F47" s="42">
        <f t="shared" si="2"/>
        <v>14.46333495108388</v>
      </c>
      <c r="G47" s="42">
        <f t="shared" si="4"/>
        <v>109.83586075181711</v>
      </c>
      <c r="H47">
        <f t="shared" si="5"/>
        <v>1810.8466650489161</v>
      </c>
    </row>
    <row r="48" spans="1:8" x14ac:dyDescent="0.45">
      <c r="A48" s="41">
        <v>21335.5</v>
      </c>
      <c r="B48" s="20">
        <v>4567</v>
      </c>
      <c r="C48" s="19">
        <v>1773.78</v>
      </c>
      <c r="D48" s="20">
        <v>47</v>
      </c>
      <c r="E48" s="20">
        <f t="shared" si="3"/>
        <v>1765.1180596233805</v>
      </c>
      <c r="F48" s="42">
        <f t="shared" si="2"/>
        <v>8.6619403766194409</v>
      </c>
      <c r="G48" s="42">
        <f t="shared" si="4"/>
        <v>-107.81553795876835</v>
      </c>
      <c r="H48">
        <f t="shared" si="5"/>
        <v>1807.6180596233805</v>
      </c>
    </row>
    <row r="49" spans="1:8" x14ac:dyDescent="0.45">
      <c r="A49" s="41">
        <v>21498.5</v>
      </c>
      <c r="B49" s="20">
        <v>4766.18</v>
      </c>
      <c r="C49" s="19">
        <v>1828.39</v>
      </c>
      <c r="D49" s="20">
        <v>48</v>
      </c>
      <c r="E49" s="20">
        <f t="shared" si="3"/>
        <v>1797.9554118917345</v>
      </c>
      <c r="F49" s="42">
        <f t="shared" si="2"/>
        <v>30.434588108265643</v>
      </c>
      <c r="G49" s="42">
        <f t="shared" si="4"/>
        <v>40.969806197925436</v>
      </c>
      <c r="H49">
        <f t="shared" si="5"/>
        <v>1840.4554118917345</v>
      </c>
    </row>
    <row r="50" spans="1:8" x14ac:dyDescent="0.45">
      <c r="A50" s="41">
        <v>21650.1</v>
      </c>
      <c r="B50" s="20">
        <v>4515.55</v>
      </c>
      <c r="C50" s="19">
        <v>1796.47</v>
      </c>
      <c r="D50" s="20">
        <v>49</v>
      </c>
      <c r="E50" s="20">
        <f t="shared" si="3"/>
        <v>1792.9005193676683</v>
      </c>
      <c r="F50" s="42">
        <f t="shared" si="2"/>
        <v>3.5694806323317607</v>
      </c>
      <c r="G50" s="42">
        <f t="shared" si="4"/>
        <v>-32.457880336178505</v>
      </c>
      <c r="H50">
        <f t="shared" si="5"/>
        <v>1835.4005193676683</v>
      </c>
    </row>
    <row r="51" spans="1:8" x14ac:dyDescent="0.45">
      <c r="A51" s="41">
        <v>21725.200000000001</v>
      </c>
      <c r="B51" s="20">
        <v>4373.9399999999996</v>
      </c>
      <c r="C51" s="19">
        <v>1907.9</v>
      </c>
      <c r="D51" s="20">
        <v>50</v>
      </c>
      <c r="E51" s="20">
        <f t="shared" si="3"/>
        <v>1766.1496859122067</v>
      </c>
      <c r="F51" s="42">
        <f t="shared" si="2"/>
        <v>141.75031408779341</v>
      </c>
      <c r="G51" s="42">
        <f t="shared" si="4"/>
        <v>-43.778996478213912</v>
      </c>
      <c r="H51">
        <f t="shared" si="5"/>
        <v>1808.6496859122067</v>
      </c>
    </row>
    <row r="52" spans="1:8" x14ac:dyDescent="0.45">
      <c r="A52" s="41">
        <v>21787.200000000001</v>
      </c>
      <c r="B52" s="20">
        <v>4530.41</v>
      </c>
      <c r="C52" s="19">
        <v>1937.23</v>
      </c>
      <c r="D52" s="20">
        <v>51</v>
      </c>
      <c r="E52" s="20">
        <f t="shared" si="3"/>
        <v>1928.0470739752077</v>
      </c>
      <c r="F52" s="42">
        <f t="shared" si="2"/>
        <v>9.182926024792323</v>
      </c>
      <c r="G52" s="42">
        <f t="shared" si="4"/>
        <v>14.46333495108388</v>
      </c>
      <c r="H52">
        <f t="shared" si="5"/>
        <v>1970.5470739752077</v>
      </c>
    </row>
    <row r="53" spans="1:8" x14ac:dyDescent="0.45">
      <c r="A53" s="41">
        <v>21769.4</v>
      </c>
      <c r="B53" s="20">
        <v>4131.93</v>
      </c>
      <c r="C53" s="19">
        <v>1896.4</v>
      </c>
      <c r="D53" s="20">
        <v>52</v>
      </c>
      <c r="E53" s="20">
        <f t="shared" si="3"/>
        <v>1875.0839287203105</v>
      </c>
      <c r="F53" s="42">
        <f t="shared" si="2"/>
        <v>21.316071279689595</v>
      </c>
      <c r="G53" s="42">
        <f t="shared" si="4"/>
        <v>8.6619403766194409</v>
      </c>
      <c r="H53">
        <f t="shared" si="5"/>
        <v>1917.5839287203105</v>
      </c>
    </row>
    <row r="54" spans="1:8" x14ac:dyDescent="0.45">
      <c r="A54" s="41">
        <v>21719.9</v>
      </c>
      <c r="B54" s="20">
        <v>4132.1499999999996</v>
      </c>
      <c r="C54" s="19">
        <v>1837.09</v>
      </c>
      <c r="D54" s="20">
        <v>53</v>
      </c>
      <c r="E54" s="20">
        <f t="shared" si="3"/>
        <v>1824.9434727477753</v>
      </c>
      <c r="F54" s="42">
        <f t="shared" si="2"/>
        <v>12.146527252224587</v>
      </c>
      <c r="G54" s="42">
        <f t="shared" si="4"/>
        <v>30.434588108265643</v>
      </c>
      <c r="H54">
        <f t="shared" si="5"/>
        <v>1867.4434727477753</v>
      </c>
    </row>
    <row r="55" spans="1:8" x14ac:dyDescent="0.45">
      <c r="A55" s="41">
        <v>21651.5</v>
      </c>
      <c r="B55" s="20">
        <v>3785.38</v>
      </c>
      <c r="C55" s="19">
        <v>1806.89</v>
      </c>
      <c r="D55" s="20">
        <v>54</v>
      </c>
      <c r="E55" s="20">
        <f t="shared" si="3"/>
        <v>1779.5828116336313</v>
      </c>
      <c r="F55" s="42">
        <f t="shared" si="2"/>
        <v>27.307188366368791</v>
      </c>
      <c r="G55" s="42">
        <f t="shared" si="4"/>
        <v>3.5694806323317607</v>
      </c>
      <c r="H55">
        <f t="shared" si="5"/>
        <v>1822.0828116336313</v>
      </c>
    </row>
    <row r="56" spans="1:8" x14ac:dyDescent="0.45">
      <c r="A56" s="41">
        <v>21652.9</v>
      </c>
      <c r="B56" s="20">
        <v>4130.29</v>
      </c>
      <c r="C56" s="19">
        <v>1765.22</v>
      </c>
      <c r="D56" s="20">
        <v>55</v>
      </c>
      <c r="E56" s="20">
        <f t="shared" si="3"/>
        <v>1761.8205620770568</v>
      </c>
      <c r="F56" s="42">
        <f t="shared" si="2"/>
        <v>3.399437922943207</v>
      </c>
      <c r="G56" s="42">
        <f t="shared" si="4"/>
        <v>141.75031408779341</v>
      </c>
      <c r="H56">
        <f t="shared" si="5"/>
        <v>1804.3205620770568</v>
      </c>
    </row>
    <row r="57" spans="1:8" x14ac:dyDescent="0.45">
      <c r="A57" s="41">
        <v>21638.400000000001</v>
      </c>
      <c r="B57" s="20">
        <v>3955</v>
      </c>
      <c r="C57" s="19">
        <v>1710.7</v>
      </c>
      <c r="D57" s="20">
        <v>56</v>
      </c>
      <c r="E57" s="20">
        <f t="shared" si="3"/>
        <v>1616.445316977374</v>
      </c>
      <c r="F57" s="42">
        <f t="shared" si="2"/>
        <v>94.254683022626068</v>
      </c>
      <c r="G57" s="42">
        <f t="shared" si="4"/>
        <v>9.182926024792323</v>
      </c>
      <c r="H57">
        <f t="shared" si="5"/>
        <v>1658.945316977374</v>
      </c>
    </row>
    <row r="58" spans="1:8" x14ac:dyDescent="0.45">
      <c r="A58" s="41">
        <v>21536.7</v>
      </c>
      <c r="B58" s="20">
        <v>3585.62</v>
      </c>
      <c r="C58" s="19">
        <v>1659.67</v>
      </c>
      <c r="D58" s="20">
        <v>57</v>
      </c>
      <c r="E58" s="20">
        <f t="shared" si="3"/>
        <v>1648.1033157042077</v>
      </c>
      <c r="F58" s="42">
        <f t="shared" si="2"/>
        <v>11.566684295792356</v>
      </c>
      <c r="G58" s="42">
        <f t="shared" si="4"/>
        <v>21.316071279689595</v>
      </c>
      <c r="H58">
        <f t="shared" si="5"/>
        <v>1690.6033157042077</v>
      </c>
    </row>
    <row r="59" spans="1:8" x14ac:dyDescent="0.45">
      <c r="A59" s="41">
        <v>21461.7</v>
      </c>
      <c r="B59" s="20">
        <v>3871.98</v>
      </c>
      <c r="C59" s="19">
        <v>1633.12</v>
      </c>
      <c r="D59" s="20">
        <v>58</v>
      </c>
      <c r="E59" s="20">
        <f t="shared" si="3"/>
        <v>1654.7491068298004</v>
      </c>
      <c r="F59" s="42">
        <f t="shared" si="2"/>
        <v>-21.629106829800548</v>
      </c>
      <c r="G59" s="42">
        <f t="shared" si="4"/>
        <v>12.146527252224587</v>
      </c>
      <c r="H59">
        <f t="shared" si="5"/>
        <v>1697.2491068298004</v>
      </c>
    </row>
    <row r="60" spans="1:8" x14ac:dyDescent="0.45">
      <c r="A60" s="41">
        <v>21406.7</v>
      </c>
      <c r="B60" s="20">
        <v>4080.11</v>
      </c>
      <c r="C60" s="19">
        <v>1768.45</v>
      </c>
      <c r="D60" s="20">
        <v>59</v>
      </c>
      <c r="E60" s="20">
        <f t="shared" si="3"/>
        <v>1630.4184136955462</v>
      </c>
      <c r="F60" s="42">
        <f t="shared" si="2"/>
        <v>138.03158630445387</v>
      </c>
      <c r="G60" s="42">
        <f t="shared" si="4"/>
        <v>27.307188366368791</v>
      </c>
      <c r="H60">
        <f t="shared" si="5"/>
        <v>1672.9184136955462</v>
      </c>
    </row>
    <row r="61" spans="1:8" x14ac:dyDescent="0.45">
      <c r="A61" s="41">
        <v>21290.9</v>
      </c>
      <c r="B61" s="20">
        <v>3839.5</v>
      </c>
      <c r="C61" s="19">
        <v>1824.4</v>
      </c>
      <c r="D61" s="20">
        <v>60</v>
      </c>
      <c r="E61" s="20">
        <f t="shared" si="3"/>
        <v>1744.4350283478814</v>
      </c>
      <c r="F61" s="42">
        <f t="shared" si="2"/>
        <v>79.96497165211872</v>
      </c>
      <c r="G61" s="42">
        <f t="shared" si="4"/>
        <v>3.399437922943207</v>
      </c>
      <c r="H61">
        <f t="shared" si="5"/>
        <v>1786.9350283478814</v>
      </c>
    </row>
    <row r="62" spans="1:8" x14ac:dyDescent="0.45">
      <c r="A62" s="41">
        <v>21279.9</v>
      </c>
      <c r="B62" s="20">
        <v>4076.6</v>
      </c>
      <c r="C62" s="19">
        <v>1927.88</v>
      </c>
      <c r="D62" s="20">
        <v>61</v>
      </c>
      <c r="E62" s="20">
        <f t="shared" si="3"/>
        <v>1813.1999263955254</v>
      </c>
      <c r="F62" s="42">
        <f t="shared" si="2"/>
        <v>114.68007360447473</v>
      </c>
      <c r="G62" s="42">
        <f t="shared" si="4"/>
        <v>94.254683022626068</v>
      </c>
      <c r="H62">
        <f t="shared" si="5"/>
        <v>1855.6999263955254</v>
      </c>
    </row>
    <row r="63" spans="1:8" x14ac:dyDescent="0.45">
      <c r="A63" s="41">
        <v>21243.7</v>
      </c>
      <c r="B63" s="20">
        <v>3970.15</v>
      </c>
      <c r="C63" s="19">
        <v>1827.15</v>
      </c>
      <c r="D63" s="20">
        <v>62</v>
      </c>
      <c r="E63" s="20">
        <f t="shared" si="3"/>
        <v>1837.838987368212</v>
      </c>
      <c r="F63" s="42">
        <f t="shared" si="2"/>
        <v>-10.688987368211883</v>
      </c>
      <c r="G63" s="42">
        <f t="shared" si="4"/>
        <v>11.566684295792356</v>
      </c>
      <c r="H63">
        <f t="shared" si="5"/>
        <v>1880.338987368212</v>
      </c>
    </row>
    <row r="64" spans="1:8" x14ac:dyDescent="0.45">
      <c r="A64" s="41">
        <v>20947.400000000001</v>
      </c>
      <c r="B64" s="20">
        <v>4109.3100000000004</v>
      </c>
      <c r="C64" s="19">
        <v>1967.9</v>
      </c>
      <c r="D64" s="20">
        <v>63</v>
      </c>
      <c r="E64" s="20">
        <f t="shared" si="3"/>
        <v>1820.3489970755961</v>
      </c>
      <c r="F64" s="42">
        <f t="shared" si="2"/>
        <v>147.55100292440397</v>
      </c>
      <c r="G64" s="42">
        <f t="shared" si="4"/>
        <v>-21.629106829800548</v>
      </c>
      <c r="H64">
        <f t="shared" si="5"/>
        <v>1862.8489970755961</v>
      </c>
    </row>
    <row r="65" spans="1:8" x14ac:dyDescent="0.45">
      <c r="A65" s="41">
        <v>20761.400000000001</v>
      </c>
      <c r="B65" s="20">
        <v>4169.4799999999996</v>
      </c>
      <c r="C65" s="19">
        <v>1989.65</v>
      </c>
      <c r="D65" s="20">
        <v>64</v>
      </c>
      <c r="E65" s="20">
        <f t="shared" si="3"/>
        <v>1913.4463216264116</v>
      </c>
      <c r="F65" s="42">
        <f t="shared" si="2"/>
        <v>76.203678373588446</v>
      </c>
      <c r="G65" s="42">
        <f t="shared" si="4"/>
        <v>138.03158630445387</v>
      </c>
      <c r="H65">
        <f t="shared" si="5"/>
        <v>1955.9463216264116</v>
      </c>
    </row>
    <row r="66" spans="1:8" x14ac:dyDescent="0.45">
      <c r="A66" s="41">
        <v>20829.599999999999</v>
      </c>
      <c r="B66" s="20">
        <v>4179.83</v>
      </c>
      <c r="C66" s="19">
        <v>1962.3</v>
      </c>
      <c r="D66" s="20">
        <v>65</v>
      </c>
      <c r="E66" s="20">
        <f t="shared" si="3"/>
        <v>1952.7173811206274</v>
      </c>
      <c r="F66" s="42">
        <f t="shared" si="2"/>
        <v>9.5826188793726033</v>
      </c>
      <c r="G66" s="42">
        <f t="shared" si="4"/>
        <v>79.96497165211872</v>
      </c>
      <c r="H66">
        <f t="shared" si="5"/>
        <v>1995.2173811206274</v>
      </c>
    </row>
    <row r="67" spans="1:8" x14ac:dyDescent="0.45">
      <c r="A67" s="41">
        <v>20799.400000000001</v>
      </c>
      <c r="B67" s="20">
        <v>4450.38</v>
      </c>
      <c r="C67" s="19">
        <v>1919.57</v>
      </c>
      <c r="D67" s="20">
        <v>66</v>
      </c>
      <c r="E67" s="20">
        <f t="shared" si="3"/>
        <v>1912.7520316708069</v>
      </c>
      <c r="F67" s="42">
        <f t="shared" si="2"/>
        <v>6.817968329193036</v>
      </c>
      <c r="G67" s="42">
        <f t="shared" si="4"/>
        <v>114.68007360447473</v>
      </c>
      <c r="H67">
        <f t="shared" si="5"/>
        <v>1955.2520316708069</v>
      </c>
    </row>
    <row r="68" spans="1:8" x14ac:dyDescent="0.45">
      <c r="A68" s="41">
        <v>20791.400000000001</v>
      </c>
      <c r="B68" s="20">
        <v>4588.96</v>
      </c>
      <c r="C68" s="19">
        <v>1964.19</v>
      </c>
      <c r="D68" s="20">
        <v>67</v>
      </c>
      <c r="E68" s="20">
        <f t="shared" si="3"/>
        <v>1946.4489015513584</v>
      </c>
      <c r="F68" s="42">
        <f t="shared" si="2"/>
        <v>17.741098448641651</v>
      </c>
      <c r="G68" s="42">
        <f t="shared" si="4"/>
        <v>-10.688987368211883</v>
      </c>
      <c r="H68">
        <f t="shared" si="5"/>
        <v>1988.9489015513584</v>
      </c>
    </row>
    <row r="69" spans="1:8" x14ac:dyDescent="0.45">
      <c r="A69" s="41">
        <v>20777.5</v>
      </c>
      <c r="B69" s="20">
        <v>4507.66</v>
      </c>
      <c r="C69" s="19">
        <v>1939.74</v>
      </c>
      <c r="D69" s="20">
        <v>68</v>
      </c>
      <c r="E69" s="20">
        <f t="shared" si="3"/>
        <v>1907.1811744998008</v>
      </c>
      <c r="F69" s="42">
        <f t="shared" si="2"/>
        <v>32.558825500199191</v>
      </c>
      <c r="G69" s="42">
        <f t="shared" si="4"/>
        <v>147.55100292440397</v>
      </c>
      <c r="H69">
        <f t="shared" si="5"/>
        <v>1949.6811744998008</v>
      </c>
    </row>
    <row r="70" spans="1:8" x14ac:dyDescent="0.45">
      <c r="A70" s="41">
        <v>20747.8</v>
      </c>
      <c r="B70" s="20">
        <v>4288.05</v>
      </c>
      <c r="C70" s="19">
        <v>1848.31</v>
      </c>
      <c r="D70" s="20">
        <v>69</v>
      </c>
      <c r="E70" s="20">
        <f t="shared" si="3"/>
        <v>1905.7341676825131</v>
      </c>
      <c r="F70" s="42">
        <f t="shared" si="2"/>
        <v>-57.424167682513144</v>
      </c>
      <c r="G70" s="42">
        <f t="shared" si="4"/>
        <v>76.203678373588446</v>
      </c>
      <c r="H70">
        <f t="shared" si="5"/>
        <v>1948.2341676825131</v>
      </c>
    </row>
    <row r="71" spans="1:8" x14ac:dyDescent="0.45">
      <c r="A71" s="41">
        <v>20732.900000000001</v>
      </c>
      <c r="B71" s="20">
        <v>4193.8</v>
      </c>
      <c r="C71" s="19">
        <v>1982.7</v>
      </c>
      <c r="D71" s="20">
        <v>70</v>
      </c>
      <c r="E71" s="20">
        <f t="shared" si="3"/>
        <v>1872.6428983687501</v>
      </c>
      <c r="F71" s="42">
        <f t="shared" si="2"/>
        <v>110.05710163124991</v>
      </c>
      <c r="G71" s="42">
        <f t="shared" si="4"/>
        <v>9.5826188793726033</v>
      </c>
      <c r="H71">
        <f t="shared" si="5"/>
        <v>1915.1428983687501</v>
      </c>
    </row>
    <row r="72" spans="1:8" x14ac:dyDescent="0.45">
      <c r="A72" s="41">
        <v>20746.400000000001</v>
      </c>
      <c r="B72" s="20">
        <v>4567.8</v>
      </c>
      <c r="C72" s="19">
        <v>2035.75</v>
      </c>
      <c r="D72" s="20">
        <v>71</v>
      </c>
      <c r="E72" s="20">
        <f t="shared" si="3"/>
        <v>1964.6612385191274</v>
      </c>
      <c r="F72" s="42">
        <f t="shared" si="2"/>
        <v>71.088761480872563</v>
      </c>
      <c r="G72" s="42">
        <f t="shared" si="4"/>
        <v>6.817968329193036</v>
      </c>
      <c r="H72">
        <f t="shared" si="5"/>
        <v>2007.1612385191274</v>
      </c>
    </row>
    <row r="73" spans="1:8" x14ac:dyDescent="0.45">
      <c r="A73" s="41">
        <v>20777.8</v>
      </c>
      <c r="B73" s="20">
        <v>4769.83</v>
      </c>
      <c r="C73" s="19">
        <v>2062.59</v>
      </c>
      <c r="D73" s="20">
        <v>72</v>
      </c>
      <c r="E73" s="20">
        <f t="shared" si="3"/>
        <v>1981.7580180643986</v>
      </c>
      <c r="F73" s="42">
        <f t="shared" si="2"/>
        <v>80.831981935601561</v>
      </c>
      <c r="G73" s="42">
        <f t="shared" si="4"/>
        <v>17.741098448641651</v>
      </c>
      <c r="H73">
        <f t="shared" si="5"/>
        <v>2024.2580180643986</v>
      </c>
    </row>
    <row r="74" spans="1:8" x14ac:dyDescent="0.45">
      <c r="A74" s="41">
        <v>20843.7</v>
      </c>
      <c r="B74" s="20">
        <v>4845.6499999999996</v>
      </c>
      <c r="C74" s="19">
        <v>2037.19</v>
      </c>
      <c r="D74" s="20">
        <v>73</v>
      </c>
      <c r="E74" s="20">
        <f t="shared" si="3"/>
        <v>2073.0824869948519</v>
      </c>
      <c r="F74" s="42">
        <f t="shared" si="2"/>
        <v>-35.892486994851879</v>
      </c>
      <c r="G74" s="42">
        <f t="shared" si="4"/>
        <v>32.558825500199191</v>
      </c>
      <c r="H74">
        <f t="shared" si="5"/>
        <v>2115.5824869948519</v>
      </c>
    </row>
    <row r="75" spans="1:8" x14ac:dyDescent="0.45">
      <c r="A75" s="41">
        <v>20926.900000000001</v>
      </c>
      <c r="B75" s="20">
        <v>5096.2700000000004</v>
      </c>
      <c r="C75" s="19">
        <v>2043.24</v>
      </c>
      <c r="D75" s="20">
        <v>74</v>
      </c>
      <c r="E75" s="20">
        <f t="shared" si="3"/>
        <v>1968.3526784388057</v>
      </c>
      <c r="F75" s="42">
        <f t="shared" si="2"/>
        <v>74.887321561194312</v>
      </c>
      <c r="G75" s="42">
        <f t="shared" si="4"/>
        <v>-57.424167682513144</v>
      </c>
      <c r="H75">
        <f t="shared" si="5"/>
        <v>2010.8526784388057</v>
      </c>
    </row>
    <row r="76" spans="1:8" x14ac:dyDescent="0.45">
      <c r="A76" s="41">
        <v>20973.200000000001</v>
      </c>
      <c r="B76" s="20">
        <v>5254.35</v>
      </c>
      <c r="C76" s="19">
        <v>2232.38</v>
      </c>
      <c r="D76" s="20">
        <v>75</v>
      </c>
      <c r="E76" s="20">
        <f t="shared" si="3"/>
        <v>2081.4554274560064</v>
      </c>
      <c r="F76" s="42">
        <f t="shared" si="2"/>
        <v>150.92457254399369</v>
      </c>
      <c r="G76" s="42">
        <f t="shared" si="4"/>
        <v>110.05710163124991</v>
      </c>
      <c r="H76">
        <f t="shared" si="5"/>
        <v>2123.9554274560064</v>
      </c>
    </row>
    <row r="77" spans="1:8" x14ac:dyDescent="0.45">
      <c r="A77" s="41">
        <v>20958.8</v>
      </c>
      <c r="B77" s="20">
        <v>5035.6899999999996</v>
      </c>
      <c r="C77" s="19">
        <v>2285.5700000000002</v>
      </c>
      <c r="D77" s="20">
        <v>76</v>
      </c>
      <c r="E77" s="20">
        <f t="shared" si="3"/>
        <v>2236.2641973321397</v>
      </c>
      <c r="F77" s="42">
        <f t="shared" si="2"/>
        <v>49.305802667860462</v>
      </c>
      <c r="G77" s="42">
        <f t="shared" si="4"/>
        <v>71.088761480872563</v>
      </c>
      <c r="H77">
        <f t="shared" si="5"/>
        <v>2278.7641973321397</v>
      </c>
    </row>
    <row r="78" spans="1:8" x14ac:dyDescent="0.45">
      <c r="A78" s="41">
        <v>21019.9</v>
      </c>
      <c r="B78" s="20">
        <v>5277.51</v>
      </c>
      <c r="C78" s="19">
        <v>2326.9699999999998</v>
      </c>
      <c r="D78" s="20">
        <v>77</v>
      </c>
      <c r="E78" s="20">
        <f t="shared" si="3"/>
        <v>2313.5667749970221</v>
      </c>
      <c r="F78" s="42">
        <f t="shared" si="2"/>
        <v>13.403225002977706</v>
      </c>
      <c r="G78" s="42">
        <f t="shared" si="4"/>
        <v>80.831981935601561</v>
      </c>
      <c r="H78">
        <f t="shared" si="5"/>
        <v>2356.0667749970221</v>
      </c>
    </row>
    <row r="79" spans="1:8" x14ac:dyDescent="0.45">
      <c r="A79" s="41">
        <v>21067.7</v>
      </c>
      <c r="B79" s="20">
        <v>5460.48</v>
      </c>
      <c r="C79" s="19">
        <v>2325.71</v>
      </c>
      <c r="D79" s="20">
        <v>78</v>
      </c>
      <c r="E79" s="20">
        <f t="shared" si="3"/>
        <v>2343.2733908241103</v>
      </c>
      <c r="F79" s="42">
        <f t="shared" si="2"/>
        <v>-17.563390824110229</v>
      </c>
      <c r="G79" s="42">
        <f t="shared" si="4"/>
        <v>-35.892486994851879</v>
      </c>
      <c r="H79">
        <f t="shared" si="5"/>
        <v>2385.7733908241103</v>
      </c>
    </row>
    <row r="80" spans="1:8" x14ac:dyDescent="0.45">
      <c r="A80" s="41">
        <v>21094.400000000001</v>
      </c>
      <c r="B80" s="20">
        <v>5522.3</v>
      </c>
      <c r="C80" s="19">
        <v>2448.1</v>
      </c>
      <c r="D80" s="20">
        <v>79</v>
      </c>
      <c r="E80" s="20">
        <f t="shared" si="3"/>
        <v>2377.8092402542979</v>
      </c>
      <c r="F80" s="42">
        <f t="shared" si="2"/>
        <v>70.290759745701962</v>
      </c>
      <c r="G80" s="42">
        <f t="shared" si="4"/>
        <v>74.887321561194312</v>
      </c>
      <c r="H80">
        <f t="shared" si="5"/>
        <v>2420.3092402542979</v>
      </c>
    </row>
    <row r="81" spans="1:8" x14ac:dyDescent="0.45">
      <c r="A81" s="41">
        <v>21185.8</v>
      </c>
      <c r="B81" s="20">
        <v>5648.4</v>
      </c>
      <c r="C81" s="19">
        <v>2503.0300000000002</v>
      </c>
      <c r="D81" s="20">
        <v>80</v>
      </c>
      <c r="E81" s="20">
        <f t="shared" si="3"/>
        <v>2488.4639660137418</v>
      </c>
      <c r="F81" s="42">
        <f t="shared" si="2"/>
        <v>14.56603398625839</v>
      </c>
      <c r="G81" s="42">
        <f t="shared" si="4"/>
        <v>150.92457254399369</v>
      </c>
      <c r="H81">
        <f t="shared" si="5"/>
        <v>2530.9639660137418</v>
      </c>
    </row>
    <row r="82" spans="1:8" x14ac:dyDescent="0.45">
      <c r="A82" s="43">
        <v>21268.6</v>
      </c>
      <c r="B82" s="42">
        <v>5762.48</v>
      </c>
      <c r="C82" s="19">
        <v>2634.49</v>
      </c>
      <c r="D82" s="20">
        <v>81</v>
      </c>
      <c r="E82" s="20">
        <f t="shared" si="3"/>
        <v>2507.5699402965852</v>
      </c>
      <c r="F82" s="42">
        <f t="shared" si="2"/>
        <v>126.92005970341461</v>
      </c>
      <c r="G82" s="42">
        <f t="shared" si="4"/>
        <v>49.305802667860462</v>
      </c>
      <c r="H82">
        <f t="shared" si="5"/>
        <v>2550.0699402965852</v>
      </c>
    </row>
    <row r="83" spans="1:8" x14ac:dyDescent="0.45">
      <c r="A83" s="43">
        <v>21331</v>
      </c>
      <c r="B83" s="42">
        <v>5705.45</v>
      </c>
      <c r="C83" s="19">
        <v>2743.8</v>
      </c>
      <c r="D83" s="20">
        <v>82</v>
      </c>
      <c r="E83" s="20">
        <f t="shared" si="3"/>
        <v>2639.8702341820585</v>
      </c>
      <c r="F83" s="42">
        <f t="shared" si="2"/>
        <v>103.92976581794164</v>
      </c>
      <c r="G83" s="42">
        <f t="shared" si="4"/>
        <v>13.403225002977706</v>
      </c>
      <c r="H83">
        <f>H82-0.165*(A58-A57)+0.18432*(A57-A56)-0.22046*(A56-A55)+0.13989*(B71-B70)+0+0.35556*G83+42.5</f>
        <v>2597.9501744786439</v>
      </c>
    </row>
    <row r="84" spans="1:8" x14ac:dyDescent="0.45">
      <c r="A84" s="43">
        <v>21451.599999999999</v>
      </c>
      <c r="B84" s="42">
        <v>6032.38</v>
      </c>
      <c r="C84" s="19">
        <v>2653.55</v>
      </c>
      <c r="D84" s="20">
        <v>83</v>
      </c>
      <c r="E84" s="20">
        <f t="shared" si="3"/>
        <v>2786.7003467585791</v>
      </c>
      <c r="F84" s="42">
        <f t="shared" si="2"/>
        <v>-133.15034675857896</v>
      </c>
      <c r="G84" s="42">
        <f t="shared" si="4"/>
        <v>-17.563390824110229</v>
      </c>
      <c r="H84">
        <f t="shared" ref="H84:H99" si="6">H83-0.165*(A59-A58)+0.18432*(A58-A57)-0.22046*(A57-A56)+0.13989*(B72-B71)+0+0.35556*G84+42.5</f>
        <v>2683.3505212372229</v>
      </c>
    </row>
    <row r="85" spans="1:8" x14ac:dyDescent="0.45">
      <c r="A85" s="43">
        <v>21485.3</v>
      </c>
      <c r="B85" s="42">
        <v>5881.63</v>
      </c>
      <c r="C85" s="19">
        <v>2623.81</v>
      </c>
      <c r="D85" s="20">
        <v>84</v>
      </c>
      <c r="E85" s="20">
        <f t="shared" si="3"/>
        <v>2724.4763412351822</v>
      </c>
      <c r="F85" s="42">
        <f t="shared" si="2"/>
        <v>-100.66634123518224</v>
      </c>
      <c r="G85" s="42">
        <f t="shared" si="4"/>
        <v>70.290759745701962</v>
      </c>
      <c r="H85">
        <f t="shared" si="6"/>
        <v>2796.7768624724049</v>
      </c>
    </row>
    <row r="86" spans="1:8" x14ac:dyDescent="0.45">
      <c r="A86" s="43">
        <v>21547.599999999999</v>
      </c>
      <c r="B86" s="42">
        <v>6040.53</v>
      </c>
      <c r="C86" s="19">
        <v>2801.18</v>
      </c>
      <c r="D86" s="20">
        <v>85</v>
      </c>
      <c r="E86" s="20">
        <f t="shared" si="3"/>
        <v>2665.099458844154</v>
      </c>
      <c r="F86" s="42">
        <f t="shared" si="2"/>
        <v>136.08054115584582</v>
      </c>
      <c r="G86" s="42">
        <f t="shared" si="4"/>
        <v>14.56603398625839</v>
      </c>
      <c r="H86">
        <f t="shared" si="6"/>
        <v>2880.566321316559</v>
      </c>
    </row>
    <row r="87" spans="1:8" x14ac:dyDescent="0.45">
      <c r="A87" s="43">
        <v>21613.200000000001</v>
      </c>
      <c r="B87" s="42">
        <v>5954.5</v>
      </c>
      <c r="C87" s="19">
        <v>2858.77</v>
      </c>
      <c r="D87" s="20">
        <v>86</v>
      </c>
      <c r="E87" s="20">
        <f t="shared" si="3"/>
        <v>2873.9629722281461</v>
      </c>
      <c r="F87" s="42">
        <f t="shared" si="2"/>
        <v>-15.192972228146118</v>
      </c>
      <c r="G87" s="42">
        <f t="shared" si="4"/>
        <v>126.92005970341461</v>
      </c>
      <c r="H87">
        <f t="shared" si="6"/>
        <v>2995.8492935447052</v>
      </c>
    </row>
    <row r="88" spans="1:8" x14ac:dyDescent="0.45">
      <c r="A88" s="43">
        <v>21693.5</v>
      </c>
      <c r="B88" s="42">
        <v>5611.85</v>
      </c>
      <c r="C88" s="19">
        <v>3123.35</v>
      </c>
      <c r="D88" s="20">
        <v>87</v>
      </c>
      <c r="E88" s="20">
        <f t="shared" si="3"/>
        <v>2947.311826734227</v>
      </c>
      <c r="F88" s="42">
        <f t="shared" si="2"/>
        <v>176.03817326577291</v>
      </c>
      <c r="G88" s="42">
        <f t="shared" si="4"/>
        <v>103.92976581794164</v>
      </c>
      <c r="H88">
        <f t="shared" si="6"/>
        <v>3126.8911202789322</v>
      </c>
    </row>
    <row r="89" spans="1:8" x14ac:dyDescent="0.45">
      <c r="A89" s="43">
        <v>21775.5</v>
      </c>
      <c r="B89" s="42">
        <v>5569.06</v>
      </c>
      <c r="C89" s="19">
        <v>3288.59</v>
      </c>
      <c r="D89" s="20">
        <v>88</v>
      </c>
      <c r="E89" s="20">
        <f t="shared" si="3"/>
        <v>3090.0608913065194</v>
      </c>
      <c r="F89" s="42">
        <f t="shared" si="2"/>
        <v>198.52910869348079</v>
      </c>
      <c r="G89" s="42">
        <f t="shared" si="4"/>
        <v>-133.15034675857896</v>
      </c>
      <c r="H89">
        <f t="shared" si="6"/>
        <v>3136.1020115854517</v>
      </c>
    </row>
    <row r="90" spans="1:8" x14ac:dyDescent="0.45">
      <c r="A90" s="43">
        <v>21833.8</v>
      </c>
      <c r="B90" s="42">
        <v>5911.69</v>
      </c>
      <c r="C90" s="19">
        <v>3289.4</v>
      </c>
      <c r="D90" s="20">
        <v>89</v>
      </c>
      <c r="E90" s="20">
        <f t="shared" si="3"/>
        <v>3270.681911510419</v>
      </c>
      <c r="F90" s="42">
        <f t="shared" si="2"/>
        <v>18.718088489581078</v>
      </c>
      <c r="G90" s="42">
        <f t="shared" si="4"/>
        <v>-100.66634123518224</v>
      </c>
      <c r="H90">
        <f t="shared" si="6"/>
        <v>3160.6939230958706</v>
      </c>
    </row>
    <row r="91" spans="1:8" x14ac:dyDescent="0.45">
      <c r="A91" s="43">
        <v>21938.7</v>
      </c>
      <c r="B91" s="42">
        <v>6204.95</v>
      </c>
      <c r="C91" s="19">
        <v>3303.69</v>
      </c>
      <c r="D91" s="20">
        <v>90</v>
      </c>
      <c r="E91" s="20">
        <f t="shared" si="3"/>
        <v>3383.1662485133729</v>
      </c>
      <c r="F91" s="42">
        <f t="shared" si="2"/>
        <v>-79.476248513372866</v>
      </c>
      <c r="G91" s="42">
        <f t="shared" si="4"/>
        <v>136.08054115584582</v>
      </c>
      <c r="H91">
        <f t="shared" si="6"/>
        <v>3296.9601716092434</v>
      </c>
    </row>
    <row r="92" spans="1:8" x14ac:dyDescent="0.45">
      <c r="A92" s="43">
        <v>22019.9</v>
      </c>
      <c r="B92" s="42">
        <v>6339.39</v>
      </c>
      <c r="C92" s="19">
        <v>3290.32</v>
      </c>
      <c r="D92" s="20">
        <v>91</v>
      </c>
      <c r="E92" s="20">
        <f t="shared" si="3"/>
        <v>3365.4951705945596</v>
      </c>
      <c r="F92" s="42">
        <f t="shared" si="2"/>
        <v>-75.175170594559404</v>
      </c>
      <c r="G92" s="42">
        <f t="shared" si="4"/>
        <v>-15.192972228146118</v>
      </c>
      <c r="H92">
        <f t="shared" si="6"/>
        <v>3401.2653422038029</v>
      </c>
    </row>
    <row r="93" spans="1:8" x14ac:dyDescent="0.45">
      <c r="A93" s="43">
        <v>22086.799999999999</v>
      </c>
      <c r="B93" s="42">
        <v>6460.26</v>
      </c>
      <c r="C93" s="19">
        <v>3448</v>
      </c>
      <c r="D93" s="20">
        <v>92</v>
      </c>
      <c r="E93" s="20">
        <f t="shared" si="3"/>
        <v>3351.2704258863796</v>
      </c>
      <c r="F93" s="42">
        <f t="shared" si="2"/>
        <v>96.729574113620401</v>
      </c>
      <c r="G93" s="42">
        <f t="shared" si="4"/>
        <v>176.03817326577291</v>
      </c>
      <c r="H93">
        <f t="shared" si="6"/>
        <v>3504.7157680901823</v>
      </c>
    </row>
    <row r="94" spans="1:8" x14ac:dyDescent="0.45">
      <c r="A94" s="43">
        <v>22169.8</v>
      </c>
      <c r="B94" s="42">
        <v>6688.46</v>
      </c>
      <c r="C94" s="19">
        <v>3858.51</v>
      </c>
      <c r="D94" s="20">
        <v>93</v>
      </c>
      <c r="E94" s="20">
        <f t="shared" si="3"/>
        <v>3542.0244930870535</v>
      </c>
      <c r="F94" s="42">
        <f t="shared" si="2"/>
        <v>316.48550691294668</v>
      </c>
      <c r="G94" s="42">
        <f t="shared" si="4"/>
        <v>198.52910869348079</v>
      </c>
      <c r="H94">
        <f t="shared" si="6"/>
        <v>3641.2402611772359</v>
      </c>
    </row>
    <row r="95" spans="1:8" x14ac:dyDescent="0.45">
      <c r="A95" s="43">
        <v>22250.400000000001</v>
      </c>
      <c r="B95" s="42">
        <v>6840.2</v>
      </c>
      <c r="C95" s="19">
        <v>4002.28</v>
      </c>
      <c r="D95" s="20">
        <v>94</v>
      </c>
      <c r="E95" s="20">
        <f t="shared" si="3"/>
        <v>3861.2896088433558</v>
      </c>
      <c r="F95" s="42">
        <f t="shared" si="2"/>
        <v>140.99039115664436</v>
      </c>
      <c r="G95" s="42">
        <f t="shared" si="4"/>
        <v>18.718088489581078</v>
      </c>
      <c r="H95">
        <f t="shared" si="6"/>
        <v>3686.5198700205915</v>
      </c>
    </row>
    <row r="96" spans="1:8" x14ac:dyDescent="0.45">
      <c r="A96" s="43">
        <v>22296.5</v>
      </c>
      <c r="B96" s="42">
        <v>6849.09</v>
      </c>
      <c r="C96" s="19">
        <v>4230.63</v>
      </c>
      <c r="D96" s="20">
        <v>95</v>
      </c>
      <c r="E96" s="20">
        <f t="shared" si="3"/>
        <v>4019.8042527785851</v>
      </c>
      <c r="F96" s="42">
        <f t="shared" ref="F96:F99" si="7">C96-E96</f>
        <v>210.82574722141499</v>
      </c>
      <c r="G96" s="42">
        <f t="shared" si="4"/>
        <v>-79.476248513372866</v>
      </c>
      <c r="H96">
        <f t="shared" si="6"/>
        <v>3746.5441227991764</v>
      </c>
    </row>
    <row r="97" spans="1:8" x14ac:dyDescent="0.45">
      <c r="A97" s="43">
        <v>22386.9</v>
      </c>
      <c r="B97" s="42">
        <v>6845.5</v>
      </c>
      <c r="C97" s="19">
        <v>4315.09</v>
      </c>
      <c r="D97" s="20">
        <v>96</v>
      </c>
      <c r="E97" s="20">
        <f t="shared" si="3"/>
        <v>4184.3860928433996</v>
      </c>
      <c r="F97" s="42">
        <f t="shared" si="7"/>
        <v>130.70390715660051</v>
      </c>
      <c r="G97" s="42">
        <f t="shared" si="4"/>
        <v>-75.175170594559404</v>
      </c>
      <c r="H97">
        <f t="shared" si="6"/>
        <v>3742.800215642575</v>
      </c>
    </row>
    <row r="98" spans="1:8" x14ac:dyDescent="0.45">
      <c r="A98" s="43">
        <v>22469.1</v>
      </c>
      <c r="B98" s="42">
        <v>6939.03</v>
      </c>
      <c r="C98" s="19">
        <v>4865.3500000000004</v>
      </c>
      <c r="D98" s="20">
        <v>97</v>
      </c>
      <c r="E98" s="20">
        <f t="shared" si="3"/>
        <v>4372.3038623718394</v>
      </c>
      <c r="F98" s="42">
        <f t="shared" si="7"/>
        <v>493.04613762816098</v>
      </c>
      <c r="G98" s="42">
        <f t="shared" si="4"/>
        <v>96.729574113620401</v>
      </c>
      <c r="H98">
        <f t="shared" si="6"/>
        <v>3842.5140780144138</v>
      </c>
    </row>
    <row r="99" spans="1:8" x14ac:dyDescent="0.45">
      <c r="A99" s="43">
        <v>22667.3</v>
      </c>
      <c r="B99" s="42">
        <v>6878.88</v>
      </c>
      <c r="C99" s="19">
        <v>5277.9</v>
      </c>
      <c r="D99" s="20">
        <v>98</v>
      </c>
      <c r="E99" s="20">
        <f t="shared" si="3"/>
        <v>4957.7827881379662</v>
      </c>
      <c r="F99" s="42">
        <f t="shared" si="7"/>
        <v>320.1172118620334</v>
      </c>
      <c r="G99" s="42">
        <f t="shared" si="4"/>
        <v>316.48550691294668</v>
      </c>
      <c r="H99">
        <f t="shared" si="6"/>
        <v>3977.4468661523806</v>
      </c>
    </row>
    <row r="100" spans="1:8" x14ac:dyDescent="0.45">
      <c r="A100" s="20"/>
      <c r="B100" s="20"/>
      <c r="C100" s="19"/>
      <c r="D100" s="20">
        <v>1</v>
      </c>
      <c r="E100" s="20">
        <f>C99-0.165*(A75-A74)+0.18432*(A74-A73)-0.22046*(A73-A72)+0.13989*(B88-B87)+0+0.35556*G100</f>
        <v>5271.5934789796574</v>
      </c>
      <c r="F100" s="42"/>
      <c r="G100" s="42">
        <f>F95</f>
        <v>140.99039115664436</v>
      </c>
    </row>
    <row r="101" spans="1:8" x14ac:dyDescent="0.45">
      <c r="A101" s="20"/>
      <c r="B101" s="20"/>
      <c r="C101" s="20"/>
      <c r="D101" s="20">
        <v>2</v>
      </c>
      <c r="E101" s="20">
        <f>E100-0.165*(A76-A75)+0.18432*(A75-A74)-0.22046*(A74-A73)+0.13989*(B89-B88)+0+0.35556*G101</f>
        <v>5333.736398561703</v>
      </c>
      <c r="F101" s="42"/>
      <c r="G101" s="42">
        <f t="shared" si="4"/>
        <v>210.82574722141499</v>
      </c>
    </row>
    <row r="102" spans="1:8" x14ac:dyDescent="0.45">
      <c r="A102" s="20"/>
      <c r="B102" s="20"/>
      <c r="C102" s="20"/>
      <c r="D102" s="20">
        <v>3</v>
      </c>
      <c r="E102" s="20">
        <f t="shared" ref="E102:E109" si="8">E101-0.165*(A77-A76)+0.18432*(A76-A75)-0.22046*(A75-A74)+0.13989*(B90-B89)+0+0.35556*G102</f>
        <v>5420.7077344903037</v>
      </c>
      <c r="F102" s="42"/>
      <c r="G102" s="42">
        <f t="shared" ref="G102:G104" si="9">F97</f>
        <v>130.70390715660051</v>
      </c>
    </row>
    <row r="103" spans="1:8" x14ac:dyDescent="0.45">
      <c r="A103" s="20"/>
      <c r="B103" s="20"/>
      <c r="C103" s="20"/>
      <c r="D103" s="20">
        <v>4</v>
      </c>
      <c r="E103" s="20">
        <f t="shared" si="8"/>
        <v>5614.096354585372</v>
      </c>
      <c r="F103" s="42"/>
      <c r="G103" s="42">
        <f t="shared" si="9"/>
        <v>493.04613762816098</v>
      </c>
    </row>
    <row r="104" spans="1:8" x14ac:dyDescent="0.45">
      <c r="A104" s="20"/>
      <c r="B104" s="20"/>
      <c r="C104" s="20"/>
      <c r="D104" s="20">
        <v>5</v>
      </c>
      <c r="E104" s="20">
        <f t="shared" si="8"/>
        <v>5753.2736180350385</v>
      </c>
      <c r="F104" s="42"/>
      <c r="G104" s="42">
        <f t="shared" si="9"/>
        <v>320.1172118620334</v>
      </c>
    </row>
    <row r="105" spans="1:8" x14ac:dyDescent="0.45">
      <c r="A105" s="20"/>
      <c r="B105" s="20"/>
      <c r="C105" s="20"/>
      <c r="D105" s="20">
        <v>6</v>
      </c>
      <c r="E105" s="20">
        <f t="shared" si="8"/>
        <v>5761.1170123350375</v>
      </c>
      <c r="F105" s="42"/>
      <c r="G105" s="20"/>
    </row>
    <row r="106" spans="1:8" x14ac:dyDescent="0.45">
      <c r="A106" s="20"/>
      <c r="B106" s="20"/>
      <c r="C106" s="20"/>
      <c r="D106" s="20">
        <v>7</v>
      </c>
      <c r="E106" s="20">
        <f t="shared" si="8"/>
        <v>5772.3422663350384</v>
      </c>
      <c r="F106" s="42"/>
      <c r="G106" s="20"/>
    </row>
    <row r="107" spans="1:8" x14ac:dyDescent="0.45">
      <c r="A107" s="20"/>
      <c r="B107" s="20"/>
      <c r="C107" s="20"/>
      <c r="D107" s="20">
        <v>8</v>
      </c>
      <c r="E107" s="20">
        <f t="shared" si="8"/>
        <v>5790.8677409350366</v>
      </c>
      <c r="F107" s="42"/>
      <c r="G107" s="20"/>
    </row>
    <row r="108" spans="1:8" x14ac:dyDescent="0.45">
      <c r="A108" s="20"/>
      <c r="B108" s="20"/>
      <c r="C108" s="20"/>
      <c r="D108" s="20">
        <v>9</v>
      </c>
      <c r="E108" s="20">
        <f t="shared" si="8"/>
        <v>5776.9270150350367</v>
      </c>
      <c r="F108" s="42"/>
      <c r="G108" s="20"/>
    </row>
    <row r="109" spans="1:8" x14ac:dyDescent="0.45">
      <c r="A109" s="20"/>
      <c r="B109" s="20"/>
      <c r="C109" s="20"/>
      <c r="D109" s="20">
        <v>10</v>
      </c>
      <c r="E109" s="20">
        <f t="shared" si="8"/>
        <v>5749.7732899350385</v>
      </c>
      <c r="F109" s="42"/>
      <c r="G109" s="20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E027-64A3-4889-99DF-85623A3A0775}">
  <dimension ref="A1:H109"/>
  <sheetViews>
    <sheetView zoomScale="78" workbookViewId="0">
      <selection activeCell="L114" sqref="L114"/>
    </sheetView>
  </sheetViews>
  <sheetFormatPr defaultRowHeight="14.25" x14ac:dyDescent="0.45"/>
  <sheetData>
    <row r="1" spans="1:7" x14ac:dyDescent="0.45">
      <c r="A1" s="44" t="s">
        <v>61</v>
      </c>
      <c r="B1" s="45" t="s">
        <v>46</v>
      </c>
      <c r="C1" s="46" t="s">
        <v>37</v>
      </c>
      <c r="D1" s="20"/>
      <c r="E1" s="20"/>
      <c r="F1" s="20"/>
      <c r="G1" s="20"/>
    </row>
    <row r="2" spans="1:7" x14ac:dyDescent="0.45">
      <c r="A2" s="41">
        <v>13900.3</v>
      </c>
      <c r="B2" s="20">
        <v>2823.81</v>
      </c>
      <c r="C2" s="19">
        <v>1344.7</v>
      </c>
      <c r="D2" s="20">
        <v>1</v>
      </c>
      <c r="E2" s="20"/>
      <c r="F2" s="20"/>
      <c r="G2" s="20"/>
    </row>
    <row r="3" spans="1:7" x14ac:dyDescent="0.45">
      <c r="A3" s="41">
        <v>13949.3</v>
      </c>
      <c r="B3" s="20">
        <v>2713.83</v>
      </c>
      <c r="C3" s="19">
        <v>1317.66</v>
      </c>
      <c r="D3" s="20">
        <v>2</v>
      </c>
      <c r="E3" s="20"/>
      <c r="F3" s="20"/>
      <c r="G3" s="20"/>
    </row>
    <row r="4" spans="1:7" x14ac:dyDescent="0.45">
      <c r="A4" s="41">
        <v>14012.7</v>
      </c>
      <c r="B4" s="20">
        <v>2640.87</v>
      </c>
      <c r="C4" s="19">
        <v>1324</v>
      </c>
      <c r="D4" s="20">
        <v>3</v>
      </c>
      <c r="E4" s="20"/>
      <c r="F4" s="20"/>
      <c r="G4" s="20"/>
    </row>
    <row r="5" spans="1:7" x14ac:dyDescent="0.45">
      <c r="A5" s="41">
        <v>14035.9</v>
      </c>
      <c r="B5" s="20">
        <v>2648.05</v>
      </c>
      <c r="C5" s="19">
        <v>1314.95</v>
      </c>
      <c r="D5" s="20">
        <v>4</v>
      </c>
      <c r="E5" s="20"/>
      <c r="F5" s="20"/>
      <c r="G5" s="20"/>
    </row>
    <row r="6" spans="1:7" x14ac:dyDescent="0.45">
      <c r="A6" s="41">
        <v>14092.4</v>
      </c>
      <c r="B6" s="20">
        <v>2705.27</v>
      </c>
      <c r="C6" s="19">
        <v>1297.92</v>
      </c>
      <c r="D6" s="20">
        <v>5</v>
      </c>
      <c r="E6" s="20"/>
      <c r="F6" s="20"/>
      <c r="G6" s="20"/>
    </row>
    <row r="7" spans="1:7" x14ac:dyDescent="0.45">
      <c r="A7" s="41">
        <v>14137.2</v>
      </c>
      <c r="B7" s="20">
        <v>2718.37</v>
      </c>
      <c r="C7" s="19">
        <v>1252.25</v>
      </c>
      <c r="D7" s="20">
        <v>6</v>
      </c>
      <c r="E7" s="20"/>
      <c r="F7" s="20"/>
      <c r="G7" s="20"/>
    </row>
    <row r="8" spans="1:7" x14ac:dyDescent="0.45">
      <c r="A8" s="41">
        <v>14174.6</v>
      </c>
      <c r="B8" s="20">
        <v>2816.29</v>
      </c>
      <c r="C8" s="19">
        <v>1223.4100000000001</v>
      </c>
      <c r="D8" s="20">
        <v>7</v>
      </c>
      <c r="E8" s="20"/>
      <c r="F8" s="20"/>
      <c r="G8" s="20"/>
    </row>
    <row r="9" spans="1:7" x14ac:dyDescent="0.45">
      <c r="A9" s="41">
        <v>14223.2</v>
      </c>
      <c r="B9" s="20">
        <v>2901.52</v>
      </c>
      <c r="C9" s="19">
        <v>1200.71</v>
      </c>
      <c r="D9" s="20">
        <v>8</v>
      </c>
      <c r="E9" s="20"/>
      <c r="F9" s="20"/>
      <c r="G9" s="20"/>
    </row>
    <row r="10" spans="1:7" x14ac:dyDescent="0.45">
      <c r="A10" s="41">
        <v>14245.5</v>
      </c>
      <c r="B10" s="20">
        <v>2913.98</v>
      </c>
      <c r="C10" s="19">
        <v>1191.69</v>
      </c>
      <c r="D10" s="20">
        <v>9</v>
      </c>
      <c r="E10" s="20"/>
      <c r="F10" s="20"/>
      <c r="G10" s="20"/>
    </row>
    <row r="11" spans="1:7" x14ac:dyDescent="0.45">
      <c r="A11" s="41">
        <v>14256.6</v>
      </c>
      <c r="B11" s="20">
        <v>2711.74</v>
      </c>
      <c r="C11" s="19">
        <v>1214.1400000000001</v>
      </c>
      <c r="D11" s="20">
        <v>10</v>
      </c>
      <c r="E11" s="20"/>
      <c r="F11" s="20"/>
      <c r="G11" s="20"/>
    </row>
    <row r="12" spans="1:7" x14ac:dyDescent="0.45">
      <c r="A12" s="41">
        <v>14282.8</v>
      </c>
      <c r="B12" s="20">
        <v>2760.17</v>
      </c>
      <c r="C12" s="19">
        <v>1221.8800000000001</v>
      </c>
      <c r="D12" s="20">
        <v>11</v>
      </c>
      <c r="E12" s="20"/>
      <c r="F12" s="20"/>
      <c r="G12" s="20"/>
    </row>
    <row r="13" spans="1:7" x14ac:dyDescent="0.45">
      <c r="A13" s="41">
        <v>14386.8</v>
      </c>
      <c r="B13" s="20">
        <v>2506.85</v>
      </c>
      <c r="C13" s="19">
        <v>1282.73</v>
      </c>
      <c r="D13" s="20">
        <v>12</v>
      </c>
      <c r="E13" s="20"/>
      <c r="F13" s="20"/>
      <c r="G13" s="20"/>
    </row>
    <row r="14" spans="1:7" x14ac:dyDescent="0.45">
      <c r="A14" s="41">
        <v>14459.7</v>
      </c>
      <c r="B14" s="20">
        <v>2704.1</v>
      </c>
      <c r="C14" s="19">
        <v>1320.56</v>
      </c>
      <c r="D14" s="20">
        <v>13</v>
      </c>
      <c r="E14" s="20"/>
      <c r="F14" s="20"/>
      <c r="G14" s="20"/>
    </row>
    <row r="15" spans="1:7" x14ac:dyDescent="0.45">
      <c r="A15" s="41">
        <v>14506.3</v>
      </c>
      <c r="B15" s="20">
        <v>2784.49</v>
      </c>
      <c r="C15" s="19">
        <v>1312.66</v>
      </c>
      <c r="D15" s="20">
        <v>14</v>
      </c>
      <c r="E15" s="20"/>
      <c r="F15" s="20"/>
      <c r="G15" s="20"/>
    </row>
    <row r="16" spans="1:7" x14ac:dyDescent="0.45">
      <c r="A16" s="41">
        <v>14557.5</v>
      </c>
      <c r="B16" s="20">
        <v>2834.4</v>
      </c>
      <c r="C16" s="19">
        <v>1291.9000000000001</v>
      </c>
      <c r="D16" s="20">
        <v>15</v>
      </c>
      <c r="E16" s="20"/>
      <c r="F16" s="20"/>
      <c r="G16" s="20"/>
    </row>
    <row r="17" spans="1:8" x14ac:dyDescent="0.45">
      <c r="A17" s="41">
        <v>14594.7</v>
      </c>
      <c r="B17" s="20">
        <v>2945.83</v>
      </c>
      <c r="C17" s="19">
        <v>1283.3499999999999</v>
      </c>
      <c r="D17" s="20">
        <v>16</v>
      </c>
      <c r="E17" s="20"/>
      <c r="F17" s="20"/>
      <c r="G17" s="20"/>
    </row>
    <row r="18" spans="1:8" x14ac:dyDescent="0.45">
      <c r="A18" s="41">
        <v>14704.4</v>
      </c>
      <c r="B18" s="20">
        <v>2752.06</v>
      </c>
      <c r="C18" s="19">
        <v>1305.25</v>
      </c>
      <c r="D18" s="20">
        <v>17</v>
      </c>
      <c r="E18" s="20"/>
      <c r="F18" s="20"/>
      <c r="G18" s="20"/>
    </row>
    <row r="19" spans="1:8" x14ac:dyDescent="0.45">
      <c r="A19" s="41">
        <v>14802.8</v>
      </c>
      <c r="B19" s="20">
        <v>2941.76</v>
      </c>
      <c r="C19" s="19">
        <v>1409.1</v>
      </c>
      <c r="D19" s="20">
        <v>18</v>
      </c>
      <c r="E19" s="20"/>
      <c r="F19" s="20"/>
      <c r="G19" s="20"/>
    </row>
    <row r="20" spans="1:8" x14ac:dyDescent="0.45">
      <c r="A20" s="41">
        <v>14886.8</v>
      </c>
      <c r="B20" s="20">
        <v>2980.38</v>
      </c>
      <c r="C20" s="19">
        <v>1413.55</v>
      </c>
      <c r="D20" s="20">
        <v>19</v>
      </c>
      <c r="E20" s="20"/>
      <c r="F20" s="20"/>
      <c r="G20" s="20"/>
    </row>
    <row r="21" spans="1:8" x14ac:dyDescent="0.45">
      <c r="A21" s="41">
        <v>14974.4</v>
      </c>
      <c r="B21" s="20">
        <v>2926.46</v>
      </c>
      <c r="C21" s="19">
        <v>1519.85</v>
      </c>
      <c r="D21" s="20">
        <v>20</v>
      </c>
      <c r="E21" s="20"/>
      <c r="F21" s="20"/>
      <c r="G21" s="20"/>
    </row>
    <row r="22" spans="1:8" x14ac:dyDescent="0.45">
      <c r="A22" s="41">
        <v>15047</v>
      </c>
      <c r="B22" s="20">
        <v>2976.74</v>
      </c>
      <c r="C22" s="19">
        <v>1472</v>
      </c>
      <c r="D22" s="20">
        <v>21</v>
      </c>
      <c r="E22" s="20"/>
      <c r="F22" s="20"/>
      <c r="G22" s="20"/>
    </row>
    <row r="23" spans="1:8" x14ac:dyDescent="0.45">
      <c r="A23" s="41">
        <v>15184.1</v>
      </c>
      <c r="B23" s="20">
        <v>3037.56</v>
      </c>
      <c r="C23" s="19">
        <v>1513.16</v>
      </c>
      <c r="D23" s="20">
        <v>22</v>
      </c>
      <c r="E23" s="20"/>
      <c r="F23" s="20"/>
      <c r="G23" s="20"/>
    </row>
    <row r="24" spans="1:8" x14ac:dyDescent="0.45">
      <c r="A24" s="41">
        <v>15296</v>
      </c>
      <c r="B24" s="20">
        <v>3140.98</v>
      </c>
      <c r="C24" s="19">
        <v>1463.9</v>
      </c>
      <c r="D24" s="20">
        <v>23</v>
      </c>
      <c r="E24" s="20"/>
      <c r="F24" s="20"/>
      <c r="G24" s="20"/>
    </row>
    <row r="25" spans="1:8" x14ac:dyDescent="0.45">
      <c r="A25" s="41">
        <v>15347.5</v>
      </c>
      <c r="B25" s="20">
        <v>3230.78</v>
      </c>
      <c r="C25" s="19">
        <v>1517.01</v>
      </c>
      <c r="D25" s="20">
        <v>24</v>
      </c>
      <c r="E25" s="20"/>
      <c r="F25" s="20"/>
      <c r="G25" s="20"/>
    </row>
    <row r="26" spans="1:8" x14ac:dyDescent="0.45">
      <c r="A26" s="41">
        <v>15427.1</v>
      </c>
      <c r="B26" s="20">
        <v>3225.52</v>
      </c>
      <c r="C26" s="19">
        <v>1589.81</v>
      </c>
      <c r="D26" s="20">
        <v>25</v>
      </c>
      <c r="E26" s="20"/>
      <c r="F26" s="20"/>
      <c r="G26" s="20"/>
    </row>
    <row r="27" spans="1:8" x14ac:dyDescent="0.45">
      <c r="A27" s="41">
        <v>15493.4</v>
      </c>
      <c r="B27" s="20">
        <v>2954.22</v>
      </c>
      <c r="C27" s="19">
        <v>1584.74</v>
      </c>
      <c r="D27" s="20">
        <v>26</v>
      </c>
      <c r="E27" s="20"/>
      <c r="F27" s="20"/>
      <c r="G27" s="20"/>
    </row>
    <row r="28" spans="1:8" x14ac:dyDescent="0.45">
      <c r="A28" s="41">
        <v>16033</v>
      </c>
      <c r="B28" s="20">
        <v>2584.59</v>
      </c>
      <c r="C28" s="19">
        <v>1571.05</v>
      </c>
      <c r="D28" s="20">
        <v>27</v>
      </c>
      <c r="E28" s="20"/>
      <c r="F28" s="20"/>
      <c r="G28" s="20"/>
    </row>
    <row r="29" spans="1:8" x14ac:dyDescent="0.45">
      <c r="A29" s="41">
        <v>17065.3</v>
      </c>
      <c r="B29" s="20">
        <v>2912.43</v>
      </c>
      <c r="C29" s="19">
        <v>1680.09</v>
      </c>
      <c r="D29" s="20">
        <v>28</v>
      </c>
      <c r="E29" s="20"/>
      <c r="F29" s="20"/>
      <c r="G29" s="20"/>
    </row>
    <row r="30" spans="1:8" x14ac:dyDescent="0.45">
      <c r="A30" s="41">
        <v>17932.900000000001</v>
      </c>
      <c r="B30" s="20">
        <v>3044.31</v>
      </c>
      <c r="C30" s="19">
        <v>1726.3</v>
      </c>
      <c r="D30" s="20">
        <v>29</v>
      </c>
      <c r="E30" s="20">
        <f>C29-0.165*(A5-A4)+0.18432*(A4-A3)-0.22046*(A3-A2)+0.13989*(B18-B17)+0+0.35556*0+42.5</f>
        <v>1692.5388627000004</v>
      </c>
      <c r="F30" s="42">
        <f>C30-E30</f>
        <v>33.761137299999518</v>
      </c>
      <c r="G30" s="20"/>
      <c r="H30">
        <f>C29-0.165*(A5-A4)+0.18432*(A4-A3)-0.22046*(A3-A2)+0.13989*(B18-B17)+0+0.35556*0+42.5</f>
        <v>1692.5388627000004</v>
      </c>
    </row>
    <row r="31" spans="1:8" x14ac:dyDescent="0.45">
      <c r="A31" s="41">
        <v>18184.3</v>
      </c>
      <c r="B31" s="20">
        <v>3100.29</v>
      </c>
      <c r="C31" s="19">
        <v>1780.67</v>
      </c>
      <c r="D31" s="20">
        <v>30</v>
      </c>
      <c r="E31" s="20">
        <f t="shared" ref="E31:E34" si="0">C30-0.165*(A6-A5)+0.18432*(A5-A4)-0.22046*(A4-A3)+0.13989*(B19-B18)+0+0.35556*0+42.5</f>
        <v>1776.3136929999994</v>
      </c>
      <c r="F31" s="42">
        <f>C31-E31</f>
        <v>4.3563070000006974</v>
      </c>
      <c r="G31" s="20"/>
      <c r="H31">
        <f t="shared" ref="H31:H34" si="1">C30-0.165*(A6-A5)+0.18432*(A5-A4)-0.22046*(A4-A3)+0.13989*(B19-B18)+0+0.35556*0+42.5</f>
        <v>1776.3136929999994</v>
      </c>
    </row>
    <row r="32" spans="1:8" x14ac:dyDescent="0.45">
      <c r="A32" s="41">
        <v>18335.400000000001</v>
      </c>
      <c r="B32" s="20">
        <v>3271.12</v>
      </c>
      <c r="C32" s="19">
        <v>1974.69</v>
      </c>
      <c r="D32" s="20">
        <v>31</v>
      </c>
      <c r="E32" s="20">
        <f t="shared" si="0"/>
        <v>1826.4799598000002</v>
      </c>
      <c r="F32" s="42">
        <f t="shared" ref="F32:F95" si="2">C32-E32</f>
        <v>148.21004019999987</v>
      </c>
      <c r="G32" s="20"/>
      <c r="H32">
        <f>C31-0.165*(A7-A6)+0.18432*(A6-A5)-0.22046*(A5-A4)+0.13989*(B20-B19)+0+0.35556*0+42.5</f>
        <v>1826.4799598000002</v>
      </c>
    </row>
    <row r="33" spans="1:8" x14ac:dyDescent="0.45">
      <c r="A33" s="41">
        <v>18411.2</v>
      </c>
      <c r="B33" s="20">
        <v>3500.31</v>
      </c>
      <c r="C33" s="19">
        <v>1969.75</v>
      </c>
      <c r="D33" s="20">
        <v>32</v>
      </c>
      <c r="E33" s="20">
        <f t="shared" si="0"/>
        <v>1999.2776772000004</v>
      </c>
      <c r="F33" s="42">
        <f t="shared" si="2"/>
        <v>-29.527677200000426</v>
      </c>
      <c r="G33" s="20"/>
      <c r="H33">
        <f t="shared" si="1"/>
        <v>1999.2776772000004</v>
      </c>
    </row>
    <row r="34" spans="1:8" x14ac:dyDescent="0.45">
      <c r="A34" s="41">
        <v>18602.5</v>
      </c>
      <c r="B34" s="20">
        <v>3363</v>
      </c>
      <c r="C34" s="19">
        <v>1885.44</v>
      </c>
      <c r="D34" s="20">
        <v>33</v>
      </c>
      <c r="E34" s="20">
        <f t="shared" si="0"/>
        <v>2008.2816291999998</v>
      </c>
      <c r="F34" s="42">
        <f t="shared" si="2"/>
        <v>-122.84162919999972</v>
      </c>
      <c r="G34" s="20"/>
      <c r="H34">
        <f t="shared" si="1"/>
        <v>2008.2816291999998</v>
      </c>
    </row>
    <row r="35" spans="1:8" x14ac:dyDescent="0.45">
      <c r="A35" s="41">
        <v>18757.599999999999</v>
      </c>
      <c r="B35" s="20">
        <v>3269.96</v>
      </c>
      <c r="C35" s="19">
        <v>1877.95</v>
      </c>
      <c r="D35" s="20">
        <v>34</v>
      </c>
      <c r="E35" s="20">
        <f>C34-0.165*(A10-A9)+0.18432*(A9-A8)-0.22046*(A8-A7)+0.13989*(B23-B22)+0+0.35556*G35+42.5</f>
        <v>1945.4854677783881</v>
      </c>
      <c r="F35" s="42">
        <f t="shared" si="2"/>
        <v>-67.535467778388011</v>
      </c>
      <c r="G35" s="42">
        <f>F30</f>
        <v>33.761137299999518</v>
      </c>
      <c r="H35">
        <f>C34-0.165*(A10-A9)+0.18432*(A9-A8)-0.22046*(A8-A7)+0.13989*(B23-B22)+0+0.35556*G35+42.5</f>
        <v>1945.4854677783881</v>
      </c>
    </row>
    <row r="36" spans="1:8" x14ac:dyDescent="0.45">
      <c r="A36" s="41">
        <v>18997</v>
      </c>
      <c r="B36" s="20">
        <v>3621.63</v>
      </c>
      <c r="C36" s="19">
        <v>1777.02</v>
      </c>
      <c r="D36" s="20">
        <v>35</v>
      </c>
      <c r="E36" s="20">
        <f t="shared" ref="E36:E100" si="3">C35-0.165*(A11-A10)+0.18432*(A10-A9)-0.22046*(A9-A8)+0.13989*(B24-B23)+0+0.35556*G36+42.5</f>
        <v>1928.0308323169202</v>
      </c>
      <c r="F36" s="42">
        <f t="shared" si="2"/>
        <v>-151.01083231692019</v>
      </c>
      <c r="G36" s="42">
        <f t="shared" ref="G36:G101" si="4">F31</f>
        <v>4.3563070000006974</v>
      </c>
      <c r="H36">
        <f t="shared" ref="H36:H82" si="5">C35-0.165*(A11-A10)+0.18432*(A10-A9)-0.22046*(A9-A8)+0.13989*(B24-B23)+0+0.35556*G36+42.5</f>
        <v>1928.0308323169202</v>
      </c>
    </row>
    <row r="37" spans="1:8" x14ac:dyDescent="0.45">
      <c r="A37" s="41">
        <v>19115.7</v>
      </c>
      <c r="B37" s="20">
        <v>3756.07</v>
      </c>
      <c r="C37" s="19">
        <v>1896.49</v>
      </c>
      <c r="D37" s="20">
        <v>36</v>
      </c>
      <c r="E37" s="20">
        <f t="shared" si="3"/>
        <v>1877.5863778935125</v>
      </c>
      <c r="F37" s="42">
        <f t="shared" si="2"/>
        <v>18.903622106487546</v>
      </c>
      <c r="G37" s="42">
        <f t="shared" si="4"/>
        <v>148.21004019999987</v>
      </c>
      <c r="H37">
        <f t="shared" si="5"/>
        <v>1877.5863778935125</v>
      </c>
    </row>
    <row r="38" spans="1:8" x14ac:dyDescent="0.45">
      <c r="A38" s="41">
        <v>19379</v>
      </c>
      <c r="B38" s="20">
        <v>3714.24</v>
      </c>
      <c r="C38" s="19">
        <v>1846.09</v>
      </c>
      <c r="D38" s="20">
        <v>37</v>
      </c>
      <c r="E38" s="20">
        <f t="shared" si="3"/>
        <v>1912.9773956947674</v>
      </c>
      <c r="F38" s="42">
        <f t="shared" si="2"/>
        <v>-66.88739569476752</v>
      </c>
      <c r="G38" s="42">
        <f t="shared" si="4"/>
        <v>-29.527677200000426</v>
      </c>
      <c r="H38">
        <f t="shared" si="5"/>
        <v>1912.9773956947674</v>
      </c>
    </row>
    <row r="39" spans="1:8" x14ac:dyDescent="0.45">
      <c r="A39" s="41">
        <v>19641.8</v>
      </c>
      <c r="B39" s="20">
        <v>3811.15</v>
      </c>
      <c r="C39" s="19">
        <v>1733.49</v>
      </c>
      <c r="D39" s="20">
        <v>38</v>
      </c>
      <c r="E39" s="20">
        <f t="shared" si="3"/>
        <v>1808.3250013216482</v>
      </c>
      <c r="F39" s="42">
        <f t="shared" si="2"/>
        <v>-74.835001321648178</v>
      </c>
      <c r="G39" s="42">
        <f t="shared" si="4"/>
        <v>-122.84162919999972</v>
      </c>
      <c r="H39">
        <f t="shared" si="5"/>
        <v>1808.3250013216482</v>
      </c>
    </row>
    <row r="40" spans="1:8" x14ac:dyDescent="0.45">
      <c r="A40" s="41">
        <v>19873.2</v>
      </c>
      <c r="B40" s="20">
        <v>3972.89</v>
      </c>
      <c r="C40" s="19">
        <v>1707.01</v>
      </c>
      <c r="D40" s="20">
        <v>39</v>
      </c>
      <c r="E40" s="20">
        <f t="shared" si="3"/>
        <v>1683.0896363767167</v>
      </c>
      <c r="F40" s="42">
        <f t="shared" si="2"/>
        <v>23.920363623283265</v>
      </c>
      <c r="G40" s="42">
        <f t="shared" si="4"/>
        <v>-67.535467778388011</v>
      </c>
      <c r="H40">
        <f t="shared" si="5"/>
        <v>1683.0896363767167</v>
      </c>
    </row>
    <row r="41" spans="1:8" x14ac:dyDescent="0.45">
      <c r="A41" s="41">
        <v>20176.900000000001</v>
      </c>
      <c r="B41" s="20">
        <v>4181.17</v>
      </c>
      <c r="C41" s="19">
        <v>1768.59</v>
      </c>
      <c r="D41" s="20">
        <v>40</v>
      </c>
      <c r="E41" s="20">
        <f t="shared" si="3"/>
        <v>1725.7479040613953</v>
      </c>
      <c r="F41" s="42">
        <f t="shared" si="2"/>
        <v>42.842095938604643</v>
      </c>
      <c r="G41" s="42">
        <f t="shared" si="4"/>
        <v>-151.01083231692019</v>
      </c>
      <c r="H41">
        <f t="shared" si="5"/>
        <v>1725.7479040613953</v>
      </c>
    </row>
    <row r="42" spans="1:8" x14ac:dyDescent="0.45">
      <c r="A42" s="41">
        <v>20460.400000000001</v>
      </c>
      <c r="B42" s="20">
        <v>4204.1099999999997</v>
      </c>
      <c r="C42" s="19">
        <v>1906.36</v>
      </c>
      <c r="D42" s="20">
        <v>41</v>
      </c>
      <c r="E42" s="20">
        <f t="shared" si="3"/>
        <v>1829.2858130761829</v>
      </c>
      <c r="F42" s="42">
        <f t="shared" si="2"/>
        <v>77.074186923817024</v>
      </c>
      <c r="G42" s="42">
        <f t="shared" si="4"/>
        <v>18.903622106487546</v>
      </c>
      <c r="H42">
        <f t="shared" si="5"/>
        <v>1829.2858130761829</v>
      </c>
    </row>
    <row r="43" spans="1:8" x14ac:dyDescent="0.45">
      <c r="A43" s="41">
        <v>20477.8</v>
      </c>
      <c r="B43" s="20">
        <v>4297.5</v>
      </c>
      <c r="C43" s="19">
        <v>1769.8</v>
      </c>
      <c r="D43" s="20">
        <v>42</v>
      </c>
      <c r="E43" s="20">
        <f t="shared" si="3"/>
        <v>1910.3772117867684</v>
      </c>
      <c r="F43" s="42">
        <f t="shared" si="2"/>
        <v>-140.57721178676843</v>
      </c>
      <c r="G43" s="42">
        <f t="shared" si="4"/>
        <v>-66.88739569476752</v>
      </c>
      <c r="H43">
        <f t="shared" si="5"/>
        <v>1910.3772117867684</v>
      </c>
    </row>
    <row r="44" spans="1:8" x14ac:dyDescent="0.45">
      <c r="A44" s="41">
        <v>20633.3</v>
      </c>
      <c r="B44" s="20">
        <v>4395.26</v>
      </c>
      <c r="C44" s="19">
        <v>1813.58</v>
      </c>
      <c r="D44" s="20">
        <v>43</v>
      </c>
      <c r="E44" s="20">
        <f t="shared" si="3"/>
        <v>1805.3718676300743</v>
      </c>
      <c r="F44" s="42">
        <f t="shared" si="2"/>
        <v>8.208132369925579</v>
      </c>
      <c r="G44" s="42">
        <f t="shared" si="4"/>
        <v>-74.835001321648178</v>
      </c>
      <c r="H44">
        <f t="shared" si="5"/>
        <v>1805.3718676300743</v>
      </c>
    </row>
    <row r="45" spans="1:8" x14ac:dyDescent="0.45">
      <c r="A45" s="41">
        <v>20840.900000000001</v>
      </c>
      <c r="B45" s="20">
        <v>4522.68</v>
      </c>
      <c r="C45" s="19">
        <v>1813.43</v>
      </c>
      <c r="D45" s="20">
        <v>44</v>
      </c>
      <c r="E45" s="20">
        <f t="shared" si="3"/>
        <v>1876.7391395898949</v>
      </c>
      <c r="F45" s="42">
        <f t="shared" si="2"/>
        <v>-63.309139589894812</v>
      </c>
      <c r="G45" s="42">
        <f t="shared" si="4"/>
        <v>23.920363623283265</v>
      </c>
      <c r="H45">
        <f t="shared" si="5"/>
        <v>1876.7391395898949</v>
      </c>
    </row>
    <row r="46" spans="1:8" x14ac:dyDescent="0.45">
      <c r="A46" s="41">
        <v>20981</v>
      </c>
      <c r="B46" s="20">
        <v>4307.54</v>
      </c>
      <c r="C46" s="19">
        <v>1756.66</v>
      </c>
      <c r="D46" s="20">
        <v>45</v>
      </c>
      <c r="E46" s="20">
        <f t="shared" si="3"/>
        <v>1831.2902557319305</v>
      </c>
      <c r="F46" s="42">
        <f t="shared" si="2"/>
        <v>-74.630255731930447</v>
      </c>
      <c r="G46" s="42">
        <f t="shared" si="4"/>
        <v>42.842095938604643</v>
      </c>
      <c r="H46">
        <f t="shared" si="5"/>
        <v>1831.2902557319305</v>
      </c>
    </row>
    <row r="47" spans="1:8" x14ac:dyDescent="0.45">
      <c r="A47" s="41">
        <v>21160.6</v>
      </c>
      <c r="B47" s="20">
        <v>4605.38</v>
      </c>
      <c r="C47" s="19">
        <v>1782.81</v>
      </c>
      <c r="D47" s="20">
        <v>46</v>
      </c>
      <c r="E47" s="20">
        <f t="shared" si="3"/>
        <v>1799.1979243026324</v>
      </c>
      <c r="F47" s="42">
        <f t="shared" si="2"/>
        <v>-16.387924302632427</v>
      </c>
      <c r="G47" s="42">
        <f t="shared" si="4"/>
        <v>77.074186923817024</v>
      </c>
      <c r="H47">
        <f t="shared" si="5"/>
        <v>1799.1979243026324</v>
      </c>
    </row>
    <row r="48" spans="1:8" x14ac:dyDescent="0.45">
      <c r="A48" s="41">
        <v>21335.5</v>
      </c>
      <c r="B48" s="20">
        <v>4567</v>
      </c>
      <c r="C48" s="19">
        <v>1773.78</v>
      </c>
      <c r="D48" s="20">
        <v>47</v>
      </c>
      <c r="E48" s="20">
        <f t="shared" si="3"/>
        <v>1795.9693188770966</v>
      </c>
      <c r="F48" s="42">
        <f t="shared" si="2"/>
        <v>-22.189318877096639</v>
      </c>
      <c r="G48" s="42">
        <f t="shared" si="4"/>
        <v>-140.57721178676843</v>
      </c>
      <c r="H48">
        <f t="shared" si="5"/>
        <v>1795.9693188770966</v>
      </c>
    </row>
    <row r="49" spans="1:8" x14ac:dyDescent="0.45">
      <c r="A49" s="41">
        <v>21498.5</v>
      </c>
      <c r="B49" s="20">
        <v>4766.18</v>
      </c>
      <c r="C49" s="19">
        <v>1828.39</v>
      </c>
      <c r="D49" s="20">
        <v>48</v>
      </c>
      <c r="E49" s="20">
        <f t="shared" si="3"/>
        <v>1828.8066711454508</v>
      </c>
      <c r="F49" s="42">
        <f t="shared" si="2"/>
        <v>-0.41667114545066397</v>
      </c>
      <c r="G49" s="42">
        <f t="shared" si="4"/>
        <v>8.208132369925579</v>
      </c>
      <c r="H49">
        <f t="shared" si="5"/>
        <v>1828.8066711454508</v>
      </c>
    </row>
    <row r="50" spans="1:8" x14ac:dyDescent="0.45">
      <c r="A50" s="41">
        <v>21650.1</v>
      </c>
      <c r="B50" s="20">
        <v>4515.55</v>
      </c>
      <c r="C50" s="19">
        <v>1796.47</v>
      </c>
      <c r="D50" s="20">
        <v>49</v>
      </c>
      <c r="E50" s="20">
        <f t="shared" si="3"/>
        <v>1824.431045627417</v>
      </c>
      <c r="F50" s="42">
        <f t="shared" si="2"/>
        <v>-27.961045627416979</v>
      </c>
      <c r="G50" s="42">
        <f t="shared" si="4"/>
        <v>-63.309139589894812</v>
      </c>
      <c r="H50">
        <f t="shared" si="5"/>
        <v>1824.431045627417</v>
      </c>
    </row>
    <row r="51" spans="1:8" x14ac:dyDescent="0.45">
      <c r="A51" s="41">
        <v>21725.200000000001</v>
      </c>
      <c r="B51" s="20">
        <v>4373.9399999999996</v>
      </c>
      <c r="C51" s="19">
        <v>1907.9</v>
      </c>
      <c r="D51" s="20">
        <v>50</v>
      </c>
      <c r="E51" s="20">
        <f t="shared" si="3"/>
        <v>1797.6802121719552</v>
      </c>
      <c r="F51" s="42">
        <f t="shared" si="2"/>
        <v>110.2197878280449</v>
      </c>
      <c r="G51" s="42">
        <f t="shared" si="4"/>
        <v>-74.630255731930447</v>
      </c>
      <c r="H51">
        <f t="shared" si="5"/>
        <v>1797.6802121719552</v>
      </c>
    </row>
    <row r="52" spans="1:8" x14ac:dyDescent="0.45">
      <c r="A52" s="41">
        <v>21787.200000000001</v>
      </c>
      <c r="B52" s="20">
        <v>4530.41</v>
      </c>
      <c r="C52" s="19">
        <v>1937.23</v>
      </c>
      <c r="D52" s="20">
        <v>51</v>
      </c>
      <c r="E52" s="20">
        <f t="shared" si="3"/>
        <v>1959.5776002349564</v>
      </c>
      <c r="F52" s="42">
        <f t="shared" si="2"/>
        <v>-22.347600234956417</v>
      </c>
      <c r="G52" s="42">
        <f t="shared" si="4"/>
        <v>-16.387924302632427</v>
      </c>
      <c r="H52">
        <f t="shared" si="5"/>
        <v>1959.5776002349564</v>
      </c>
    </row>
    <row r="53" spans="1:8" x14ac:dyDescent="0.45">
      <c r="A53" s="41">
        <v>21769.4</v>
      </c>
      <c r="B53" s="20">
        <v>4131.93</v>
      </c>
      <c r="C53" s="19">
        <v>1896.4</v>
      </c>
      <c r="D53" s="20">
        <v>52</v>
      </c>
      <c r="E53" s="20">
        <f t="shared" si="3"/>
        <v>1906.6144549800592</v>
      </c>
      <c r="F53" s="42">
        <f t="shared" si="2"/>
        <v>-10.214454980059145</v>
      </c>
      <c r="G53" s="42">
        <f t="shared" si="4"/>
        <v>-22.189318877096639</v>
      </c>
      <c r="H53">
        <f t="shared" si="5"/>
        <v>1906.6144549800592</v>
      </c>
    </row>
    <row r="54" spans="1:8" x14ac:dyDescent="0.45">
      <c r="A54" s="41">
        <v>21719.9</v>
      </c>
      <c r="B54" s="20">
        <v>4132.1499999999996</v>
      </c>
      <c r="C54" s="19">
        <v>1837.09</v>
      </c>
      <c r="D54" s="20">
        <v>53</v>
      </c>
      <c r="E54" s="20">
        <f t="shared" si="3"/>
        <v>1856.4739990075241</v>
      </c>
      <c r="F54" s="42">
        <f t="shared" si="2"/>
        <v>-19.383999007524153</v>
      </c>
      <c r="G54" s="42">
        <f t="shared" si="4"/>
        <v>-0.41667114545066397</v>
      </c>
      <c r="H54">
        <f t="shared" si="5"/>
        <v>1856.4739990075241</v>
      </c>
    </row>
    <row r="55" spans="1:8" x14ac:dyDescent="0.45">
      <c r="A55" s="41">
        <v>21651.5</v>
      </c>
      <c r="B55" s="20">
        <v>3785.38</v>
      </c>
      <c r="C55" s="19">
        <v>1806.89</v>
      </c>
      <c r="D55" s="20">
        <v>54</v>
      </c>
      <c r="E55" s="20">
        <f t="shared" si="3"/>
        <v>1810.871817716715</v>
      </c>
      <c r="F55" s="42">
        <f t="shared" si="2"/>
        <v>-3.981817716714886</v>
      </c>
      <c r="G55" s="42">
        <f t="shared" si="4"/>
        <v>-27.961045627416979</v>
      </c>
      <c r="H55">
        <f t="shared" si="5"/>
        <v>1810.871817716715</v>
      </c>
    </row>
    <row r="56" spans="1:8" x14ac:dyDescent="0.45">
      <c r="A56" s="41">
        <v>21652.9</v>
      </c>
      <c r="B56" s="20">
        <v>4130.29</v>
      </c>
      <c r="C56" s="19">
        <v>1765.22</v>
      </c>
      <c r="D56" s="20">
        <v>55</v>
      </c>
      <c r="E56" s="20">
        <f t="shared" si="3"/>
        <v>1793.1095681601407</v>
      </c>
      <c r="F56" s="42">
        <f t="shared" si="2"/>
        <v>-27.889568160140698</v>
      </c>
      <c r="G56" s="42">
        <f t="shared" si="4"/>
        <v>110.2197878280449</v>
      </c>
      <c r="H56">
        <f t="shared" si="5"/>
        <v>1793.1095681601407</v>
      </c>
    </row>
    <row r="57" spans="1:8" x14ac:dyDescent="0.45">
      <c r="A57" s="41">
        <v>21638.400000000001</v>
      </c>
      <c r="B57" s="20">
        <v>3955</v>
      </c>
      <c r="C57" s="19">
        <v>1710.7</v>
      </c>
      <c r="D57" s="20">
        <v>56</v>
      </c>
      <c r="E57" s="20">
        <f t="shared" si="3"/>
        <v>1647.7343230604577</v>
      </c>
      <c r="F57" s="42">
        <f t="shared" si="2"/>
        <v>62.965676939542391</v>
      </c>
      <c r="G57" s="42">
        <f t="shared" si="4"/>
        <v>-22.347600234956417</v>
      </c>
      <c r="H57">
        <f t="shared" si="5"/>
        <v>1647.7343230604577</v>
      </c>
    </row>
    <row r="58" spans="1:8" x14ac:dyDescent="0.45">
      <c r="A58" s="41">
        <v>21536.7</v>
      </c>
      <c r="B58" s="20">
        <v>3585.62</v>
      </c>
      <c r="C58" s="19">
        <v>1659.67</v>
      </c>
      <c r="D58" s="20">
        <v>57</v>
      </c>
      <c r="E58" s="20">
        <f t="shared" si="3"/>
        <v>1679.3923217872914</v>
      </c>
      <c r="F58" s="42">
        <f t="shared" si="2"/>
        <v>-19.722321787291321</v>
      </c>
      <c r="G58" s="42">
        <f t="shared" si="4"/>
        <v>-10.214454980059145</v>
      </c>
      <c r="H58">
        <f t="shared" si="5"/>
        <v>1679.3923217872914</v>
      </c>
    </row>
    <row r="59" spans="1:8" x14ac:dyDescent="0.45">
      <c r="A59" s="41">
        <v>21461.7</v>
      </c>
      <c r="B59" s="20">
        <v>3871.98</v>
      </c>
      <c r="C59" s="19">
        <v>1633.12</v>
      </c>
      <c r="D59" s="20">
        <v>58</v>
      </c>
      <c r="E59" s="20">
        <f t="shared" si="3"/>
        <v>1686.0381129128841</v>
      </c>
      <c r="F59" s="42">
        <f t="shared" si="2"/>
        <v>-52.918112912884226</v>
      </c>
      <c r="G59" s="42">
        <f t="shared" si="4"/>
        <v>-19.383999007524153</v>
      </c>
      <c r="H59">
        <f t="shared" si="5"/>
        <v>1686.0381129128841</v>
      </c>
    </row>
    <row r="60" spans="1:8" x14ac:dyDescent="0.45">
      <c r="A60" s="41">
        <v>21406.7</v>
      </c>
      <c r="B60" s="20">
        <v>4080.11</v>
      </c>
      <c r="C60" s="19">
        <v>1768.45</v>
      </c>
      <c r="D60" s="20">
        <v>59</v>
      </c>
      <c r="E60" s="20">
        <f t="shared" si="3"/>
        <v>1661.7932946926451</v>
      </c>
      <c r="F60" s="42">
        <f t="shared" si="2"/>
        <v>106.65670530735497</v>
      </c>
      <c r="G60" s="42">
        <f t="shared" si="4"/>
        <v>-3.981817716714886</v>
      </c>
      <c r="H60">
        <f t="shared" si="5"/>
        <v>1661.7932946926451</v>
      </c>
    </row>
    <row r="61" spans="1:8" x14ac:dyDescent="0.45">
      <c r="A61" s="41">
        <v>21290.9</v>
      </c>
      <c r="B61" s="20">
        <v>3839.5</v>
      </c>
      <c r="C61" s="19">
        <v>1824.4</v>
      </c>
      <c r="D61" s="20">
        <v>60</v>
      </c>
      <c r="E61" s="20">
        <f t="shared" si="3"/>
        <v>1775.80990934498</v>
      </c>
      <c r="F61" s="42">
        <f t="shared" si="2"/>
        <v>48.590090655020049</v>
      </c>
      <c r="G61" s="42">
        <f t="shared" si="4"/>
        <v>-27.889568160140698</v>
      </c>
      <c r="H61">
        <f t="shared" si="5"/>
        <v>1775.80990934498</v>
      </c>
    </row>
    <row r="62" spans="1:8" x14ac:dyDescent="0.45">
      <c r="A62" s="41">
        <v>21279.9</v>
      </c>
      <c r="B62" s="20">
        <v>4076.6</v>
      </c>
      <c r="C62" s="19">
        <v>1927.88</v>
      </c>
      <c r="D62" s="20">
        <v>61</v>
      </c>
      <c r="E62" s="20">
        <f t="shared" si="3"/>
        <v>1844.5748073926243</v>
      </c>
      <c r="F62" s="42">
        <f t="shared" si="2"/>
        <v>83.30519260737583</v>
      </c>
      <c r="G62" s="42">
        <f t="shared" si="4"/>
        <v>62.965676939542391</v>
      </c>
      <c r="H62">
        <f t="shared" si="5"/>
        <v>1844.5748073926243</v>
      </c>
    </row>
    <row r="63" spans="1:8" x14ac:dyDescent="0.45">
      <c r="A63" s="41">
        <v>21243.7</v>
      </c>
      <c r="B63" s="20">
        <v>3970.15</v>
      </c>
      <c r="C63" s="19">
        <v>1827.15</v>
      </c>
      <c r="D63" s="20">
        <v>62</v>
      </c>
      <c r="E63" s="20">
        <f t="shared" si="3"/>
        <v>1869.2138683653109</v>
      </c>
      <c r="F63" s="42">
        <f t="shared" si="2"/>
        <v>-42.063868365310782</v>
      </c>
      <c r="G63" s="42">
        <f t="shared" si="4"/>
        <v>-19.722321787291321</v>
      </c>
      <c r="H63">
        <f t="shared" si="5"/>
        <v>1869.2138683653109</v>
      </c>
    </row>
    <row r="64" spans="1:8" x14ac:dyDescent="0.45">
      <c r="A64" s="41">
        <v>20947.400000000001</v>
      </c>
      <c r="B64" s="20">
        <v>4109.3100000000004</v>
      </c>
      <c r="C64" s="19">
        <v>1967.9</v>
      </c>
      <c r="D64" s="20">
        <v>63</v>
      </c>
      <c r="E64" s="20">
        <f t="shared" si="3"/>
        <v>1851.723878072695</v>
      </c>
      <c r="F64" s="42">
        <f t="shared" si="2"/>
        <v>116.17612192730508</v>
      </c>
      <c r="G64" s="42">
        <f t="shared" si="4"/>
        <v>-52.918112912884226</v>
      </c>
      <c r="H64">
        <f t="shared" si="5"/>
        <v>1851.723878072695</v>
      </c>
    </row>
    <row r="65" spans="1:8" x14ac:dyDescent="0.45">
      <c r="A65" s="41">
        <v>20761.400000000001</v>
      </c>
      <c r="B65" s="20">
        <v>4169.4799999999996</v>
      </c>
      <c r="C65" s="19">
        <v>1989.65</v>
      </c>
      <c r="D65" s="20">
        <v>64</v>
      </c>
      <c r="E65" s="20">
        <f t="shared" si="3"/>
        <v>1944.7906689390829</v>
      </c>
      <c r="F65" s="42">
        <f t="shared" si="2"/>
        <v>44.859331060917157</v>
      </c>
      <c r="G65" s="42">
        <f t="shared" si="4"/>
        <v>106.65670530735497</v>
      </c>
      <c r="H65">
        <f t="shared" si="5"/>
        <v>1944.7906689390829</v>
      </c>
    </row>
    <row r="66" spans="1:8" x14ac:dyDescent="0.45">
      <c r="A66" s="41">
        <v>20829.599999999999</v>
      </c>
      <c r="B66" s="20">
        <v>4179.83</v>
      </c>
      <c r="C66" s="19">
        <v>1962.3</v>
      </c>
      <c r="D66" s="20">
        <v>65</v>
      </c>
      <c r="E66" s="20">
        <f t="shared" si="3"/>
        <v>1984.0617284332991</v>
      </c>
      <c r="F66" s="42">
        <f t="shared" si="2"/>
        <v>-21.76172843329914</v>
      </c>
      <c r="G66" s="42">
        <f t="shared" si="4"/>
        <v>48.590090655020049</v>
      </c>
      <c r="H66">
        <f t="shared" si="5"/>
        <v>1984.0617284332991</v>
      </c>
    </row>
    <row r="67" spans="1:8" x14ac:dyDescent="0.45">
      <c r="A67" s="41">
        <v>20799.400000000001</v>
      </c>
      <c r="B67" s="20">
        <v>4450.38</v>
      </c>
      <c r="C67" s="19">
        <v>1919.57</v>
      </c>
      <c r="D67" s="20">
        <v>66</v>
      </c>
      <c r="E67" s="20">
        <f t="shared" si="3"/>
        <v>1944.0963789834784</v>
      </c>
      <c r="F67" s="42">
        <f t="shared" si="2"/>
        <v>-24.52637898347848</v>
      </c>
      <c r="G67" s="42">
        <f t="shared" si="4"/>
        <v>83.30519260737583</v>
      </c>
      <c r="H67">
        <f t="shared" si="5"/>
        <v>1944.0963789834784</v>
      </c>
    </row>
    <row r="68" spans="1:8" x14ac:dyDescent="0.45">
      <c r="A68" s="41">
        <v>20791.400000000001</v>
      </c>
      <c r="B68" s="20">
        <v>4588.96</v>
      </c>
      <c r="C68" s="19">
        <v>1964.19</v>
      </c>
      <c r="D68" s="20">
        <v>67</v>
      </c>
      <c r="E68" s="20">
        <f t="shared" si="3"/>
        <v>1977.7932488640299</v>
      </c>
      <c r="F68" s="42">
        <f t="shared" si="2"/>
        <v>-13.603248864029865</v>
      </c>
      <c r="G68" s="42">
        <f t="shared" si="4"/>
        <v>-42.063868365310782</v>
      </c>
      <c r="H68">
        <f t="shared" si="5"/>
        <v>1977.7932488640299</v>
      </c>
    </row>
    <row r="69" spans="1:8" x14ac:dyDescent="0.45">
      <c r="A69" s="41">
        <v>20777.5</v>
      </c>
      <c r="B69" s="20">
        <v>4507.66</v>
      </c>
      <c r="C69" s="19">
        <v>1939.74</v>
      </c>
      <c r="D69" s="20">
        <v>68</v>
      </c>
      <c r="E69" s="20">
        <f t="shared" si="3"/>
        <v>1938.5255218124723</v>
      </c>
      <c r="F69" s="42">
        <f t="shared" si="2"/>
        <v>1.2144781875276749</v>
      </c>
      <c r="G69" s="42">
        <f t="shared" si="4"/>
        <v>116.17612192730508</v>
      </c>
      <c r="H69">
        <f t="shared" si="5"/>
        <v>1938.5255218124723</v>
      </c>
    </row>
    <row r="70" spans="1:8" x14ac:dyDescent="0.45">
      <c r="A70" s="41">
        <v>20747.8</v>
      </c>
      <c r="B70" s="20">
        <v>4288.05</v>
      </c>
      <c r="C70" s="19">
        <v>1848.31</v>
      </c>
      <c r="D70" s="20">
        <v>69</v>
      </c>
      <c r="E70" s="20">
        <f t="shared" si="3"/>
        <v>1937.0893715520197</v>
      </c>
      <c r="F70" s="42">
        <f t="shared" si="2"/>
        <v>-88.779371552019711</v>
      </c>
      <c r="G70" s="42">
        <f t="shared" si="4"/>
        <v>44.859331060917157</v>
      </c>
      <c r="H70">
        <f t="shared" si="5"/>
        <v>1937.0893715520197</v>
      </c>
    </row>
    <row r="71" spans="1:8" x14ac:dyDescent="0.45">
      <c r="A71" s="41">
        <v>20732.900000000001</v>
      </c>
      <c r="B71" s="20">
        <v>4193.8</v>
      </c>
      <c r="C71" s="19">
        <v>1982.7</v>
      </c>
      <c r="D71" s="20">
        <v>70</v>
      </c>
      <c r="E71" s="20">
        <f t="shared" si="3"/>
        <v>1903.9981022382567</v>
      </c>
      <c r="F71" s="42">
        <f t="shared" si="2"/>
        <v>78.701897761743339</v>
      </c>
      <c r="G71" s="42">
        <f t="shared" si="4"/>
        <v>-21.76172843329914</v>
      </c>
      <c r="H71">
        <f t="shared" si="5"/>
        <v>1903.9981022382567</v>
      </c>
    </row>
    <row r="72" spans="1:8" x14ac:dyDescent="0.45">
      <c r="A72" s="41">
        <v>20746.400000000001</v>
      </c>
      <c r="B72" s="20">
        <v>4567.8</v>
      </c>
      <c r="C72" s="19">
        <v>2035.75</v>
      </c>
      <c r="D72" s="20">
        <v>71</v>
      </c>
      <c r="E72" s="20">
        <f t="shared" si="3"/>
        <v>1996.016442388634</v>
      </c>
      <c r="F72" s="42">
        <f t="shared" si="2"/>
        <v>39.733557611365995</v>
      </c>
      <c r="G72" s="42">
        <f t="shared" si="4"/>
        <v>-24.52637898347848</v>
      </c>
      <c r="H72">
        <f t="shared" si="5"/>
        <v>1996.016442388634</v>
      </c>
    </row>
    <row r="73" spans="1:8" x14ac:dyDescent="0.45">
      <c r="A73" s="41">
        <v>20777.8</v>
      </c>
      <c r="B73" s="20">
        <v>4769.83</v>
      </c>
      <c r="C73" s="19">
        <v>2062.59</v>
      </c>
      <c r="D73" s="20">
        <v>72</v>
      </c>
      <c r="E73" s="20">
        <f t="shared" si="3"/>
        <v>2013.1132219339052</v>
      </c>
      <c r="F73" s="42">
        <f t="shared" si="2"/>
        <v>49.476778066094994</v>
      </c>
      <c r="G73" s="42">
        <f t="shared" si="4"/>
        <v>-13.603248864029865</v>
      </c>
      <c r="H73">
        <f t="shared" si="5"/>
        <v>2013.1132219339052</v>
      </c>
    </row>
    <row r="74" spans="1:8" x14ac:dyDescent="0.45">
      <c r="A74" s="41">
        <v>20843.7</v>
      </c>
      <c r="B74" s="20">
        <v>4845.6499999999996</v>
      </c>
      <c r="C74" s="19">
        <v>2037.19</v>
      </c>
      <c r="D74" s="20">
        <v>73</v>
      </c>
      <c r="E74" s="20">
        <f t="shared" si="3"/>
        <v>2104.4376908643585</v>
      </c>
      <c r="F74" s="42">
        <f t="shared" si="2"/>
        <v>-67.247690864358447</v>
      </c>
      <c r="G74" s="42">
        <f t="shared" si="4"/>
        <v>1.2144781875276749</v>
      </c>
      <c r="H74">
        <f t="shared" si="5"/>
        <v>2104.4376908643585</v>
      </c>
    </row>
    <row r="75" spans="1:8" x14ac:dyDescent="0.45">
      <c r="A75" s="41">
        <v>20926.900000000001</v>
      </c>
      <c r="B75" s="20">
        <v>5096.2700000000004</v>
      </c>
      <c r="C75" s="19">
        <v>2043.24</v>
      </c>
      <c r="D75" s="20">
        <v>74</v>
      </c>
      <c r="E75" s="20">
        <f t="shared" si="3"/>
        <v>1999.704022150964</v>
      </c>
      <c r="F75" s="42">
        <f t="shared" si="2"/>
        <v>43.535977849036044</v>
      </c>
      <c r="G75" s="42">
        <f t="shared" si="4"/>
        <v>-88.779371552019711</v>
      </c>
      <c r="H75">
        <f t="shared" si="5"/>
        <v>1999.704022150964</v>
      </c>
    </row>
    <row r="76" spans="1:8" x14ac:dyDescent="0.45">
      <c r="A76" s="41">
        <v>20973.200000000001</v>
      </c>
      <c r="B76" s="20">
        <v>5254.35</v>
      </c>
      <c r="C76" s="19">
        <v>2232.38</v>
      </c>
      <c r="D76" s="20">
        <v>75</v>
      </c>
      <c r="E76" s="20">
        <f t="shared" si="3"/>
        <v>2112.8067711681647</v>
      </c>
      <c r="F76" s="42">
        <f t="shared" si="2"/>
        <v>119.57322883183542</v>
      </c>
      <c r="G76" s="42">
        <f t="shared" si="4"/>
        <v>78.701897761743339</v>
      </c>
      <c r="H76">
        <f t="shared" si="5"/>
        <v>2112.8067711681647</v>
      </c>
    </row>
    <row r="77" spans="1:8" x14ac:dyDescent="0.45">
      <c r="A77" s="41">
        <v>20958.8</v>
      </c>
      <c r="B77" s="20">
        <v>5035.6899999999996</v>
      </c>
      <c r="C77" s="19">
        <v>2285.5700000000002</v>
      </c>
      <c r="D77" s="20">
        <v>76</v>
      </c>
      <c r="E77" s="20">
        <f t="shared" si="3"/>
        <v>2267.615541044298</v>
      </c>
      <c r="F77" s="42">
        <f t="shared" si="2"/>
        <v>17.954458955702194</v>
      </c>
      <c r="G77" s="42">
        <f t="shared" si="4"/>
        <v>39.733557611365995</v>
      </c>
      <c r="H77">
        <f t="shared" si="5"/>
        <v>2267.615541044298</v>
      </c>
    </row>
    <row r="78" spans="1:8" x14ac:dyDescent="0.45">
      <c r="A78" s="41">
        <v>21019.9</v>
      </c>
      <c r="B78" s="20">
        <v>5277.51</v>
      </c>
      <c r="C78" s="19">
        <v>2326.9699999999998</v>
      </c>
      <c r="D78" s="20">
        <v>77</v>
      </c>
      <c r="E78" s="20">
        <f t="shared" si="3"/>
        <v>2344.9181187091804</v>
      </c>
      <c r="F78" s="42">
        <f t="shared" si="2"/>
        <v>-17.948118709180562</v>
      </c>
      <c r="G78" s="42">
        <f t="shared" si="4"/>
        <v>49.476778066094994</v>
      </c>
      <c r="H78">
        <f t="shared" si="5"/>
        <v>2344.9181187091804</v>
      </c>
    </row>
    <row r="79" spans="1:8" x14ac:dyDescent="0.45">
      <c r="A79" s="41">
        <v>21067.7</v>
      </c>
      <c r="B79" s="20">
        <v>5460.48</v>
      </c>
      <c r="C79" s="19">
        <v>2325.71</v>
      </c>
      <c r="D79" s="20">
        <v>78</v>
      </c>
      <c r="E79" s="20">
        <f t="shared" si="3"/>
        <v>2374.6247345362685</v>
      </c>
      <c r="F79" s="42">
        <f t="shared" si="2"/>
        <v>-48.914734536268497</v>
      </c>
      <c r="G79" s="42">
        <f t="shared" si="4"/>
        <v>-67.247690864358447</v>
      </c>
      <c r="H79">
        <f t="shared" si="5"/>
        <v>2374.6247345362685</v>
      </c>
    </row>
    <row r="80" spans="1:8" x14ac:dyDescent="0.45">
      <c r="A80" s="41">
        <v>21094.400000000001</v>
      </c>
      <c r="B80" s="20">
        <v>5522.3</v>
      </c>
      <c r="C80" s="19">
        <v>2448.1</v>
      </c>
      <c r="D80" s="20">
        <v>79</v>
      </c>
      <c r="E80" s="20">
        <f t="shared" si="3"/>
        <v>2409.161956484003</v>
      </c>
      <c r="F80" s="42">
        <f t="shared" si="2"/>
        <v>38.938043515996924</v>
      </c>
      <c r="G80" s="42">
        <f t="shared" si="4"/>
        <v>43.535977849036044</v>
      </c>
      <c r="H80">
        <f t="shared" si="5"/>
        <v>2409.161956484003</v>
      </c>
    </row>
    <row r="81" spans="1:8" x14ac:dyDescent="0.45">
      <c r="A81" s="41">
        <v>21185.8</v>
      </c>
      <c r="B81" s="20">
        <v>5648.4</v>
      </c>
      <c r="C81" s="19">
        <v>2503.0300000000002</v>
      </c>
      <c r="D81" s="20">
        <v>80</v>
      </c>
      <c r="E81" s="20">
        <f t="shared" si="3"/>
        <v>2519.8166822434468</v>
      </c>
      <c r="F81" s="42">
        <f t="shared" si="2"/>
        <v>-16.786682243446648</v>
      </c>
      <c r="G81" s="42">
        <f t="shared" si="4"/>
        <v>119.57322883183542</v>
      </c>
      <c r="H81">
        <f t="shared" si="5"/>
        <v>2519.8166822434468</v>
      </c>
    </row>
    <row r="82" spans="1:8" x14ac:dyDescent="0.45">
      <c r="A82" s="43">
        <v>21268.6</v>
      </c>
      <c r="B82" s="42">
        <v>5762.48</v>
      </c>
      <c r="C82" s="19">
        <v>2634.49</v>
      </c>
      <c r="D82" s="20">
        <v>81</v>
      </c>
      <c r="E82" s="20">
        <f t="shared" si="3"/>
        <v>2538.9226565262902</v>
      </c>
      <c r="F82" s="42">
        <f t="shared" si="2"/>
        <v>95.56734347370957</v>
      </c>
      <c r="G82" s="42">
        <f t="shared" si="4"/>
        <v>17.954458955702194</v>
      </c>
      <c r="H82">
        <f t="shared" si="5"/>
        <v>2538.9226565262902</v>
      </c>
    </row>
    <row r="83" spans="1:8" x14ac:dyDescent="0.45">
      <c r="A83" s="43">
        <v>21331</v>
      </c>
      <c r="B83" s="42">
        <v>5705.45</v>
      </c>
      <c r="C83" s="19">
        <v>2743.8</v>
      </c>
      <c r="D83" s="20">
        <v>82</v>
      </c>
      <c r="E83" s="20">
        <f t="shared" si="3"/>
        <v>2671.2229504117636</v>
      </c>
      <c r="F83" s="42">
        <f t="shared" si="2"/>
        <v>72.577049588236605</v>
      </c>
      <c r="G83" s="42">
        <f t="shared" si="4"/>
        <v>-17.948118709180562</v>
      </c>
      <c r="H83">
        <f>H82-0.165*(A58-A57)+0.18432*(A57-A56)-0.22046*(A56-A55)+0.13989*(B71-B70)+0+0.35556*G83+42.5</f>
        <v>2575.655606938054</v>
      </c>
    </row>
    <row r="84" spans="1:8" x14ac:dyDescent="0.45">
      <c r="A84" s="43">
        <v>21451.599999999999</v>
      </c>
      <c r="B84" s="42">
        <v>6032.38</v>
      </c>
      <c r="C84" s="19">
        <v>2653.55</v>
      </c>
      <c r="D84" s="20">
        <v>83</v>
      </c>
      <c r="E84" s="20">
        <f t="shared" si="3"/>
        <v>2818.0530629882842</v>
      </c>
      <c r="F84" s="42">
        <f t="shared" si="2"/>
        <v>-164.503062988284</v>
      </c>
      <c r="G84" s="42">
        <f t="shared" si="4"/>
        <v>-48.914734536268497</v>
      </c>
      <c r="H84">
        <f t="shared" ref="H84:H99" si="6">H83-0.165*(A59-A58)+0.18432*(A58-A57)-0.22046*(A57-A56)+0.13989*(B72-B71)+0+0.35556*G84+42.5</f>
        <v>2649.908669926338</v>
      </c>
    </row>
    <row r="85" spans="1:8" x14ac:dyDescent="0.45">
      <c r="A85" s="43">
        <v>21485.3</v>
      </c>
      <c r="B85" s="42">
        <v>5881.63</v>
      </c>
      <c r="C85" s="19">
        <v>2623.81</v>
      </c>
      <c r="D85" s="20">
        <v>84</v>
      </c>
      <c r="E85" s="20">
        <f t="shared" si="3"/>
        <v>2755.828569452548</v>
      </c>
      <c r="F85" s="42">
        <f t="shared" si="2"/>
        <v>-132.01856945254804</v>
      </c>
      <c r="G85" s="42">
        <f t="shared" si="4"/>
        <v>38.938043515996924</v>
      </c>
      <c r="H85">
        <f t="shared" si="6"/>
        <v>2752.1872393788858</v>
      </c>
    </row>
    <row r="86" spans="1:8" x14ac:dyDescent="0.45">
      <c r="A86" s="43">
        <v>21547.599999999999</v>
      </c>
      <c r="B86" s="42">
        <v>6040.53</v>
      </c>
      <c r="C86" s="19">
        <v>2801.18</v>
      </c>
      <c r="D86" s="20">
        <v>85</v>
      </c>
      <c r="E86" s="20">
        <f t="shared" si="3"/>
        <v>2696.4516870615198</v>
      </c>
      <c r="F86" s="42">
        <f t="shared" si="2"/>
        <v>104.72831293848003</v>
      </c>
      <c r="G86" s="42">
        <f t="shared" si="4"/>
        <v>-16.786682243446648</v>
      </c>
      <c r="H86">
        <f t="shared" si="6"/>
        <v>2824.8289264404057</v>
      </c>
    </row>
    <row r="87" spans="1:8" x14ac:dyDescent="0.45">
      <c r="A87" s="43">
        <v>21613.200000000001</v>
      </c>
      <c r="B87" s="42">
        <v>5954.5</v>
      </c>
      <c r="C87" s="19">
        <v>2858.77</v>
      </c>
      <c r="D87" s="20">
        <v>86</v>
      </c>
      <c r="E87" s="20">
        <f t="shared" si="3"/>
        <v>2905.3152004455123</v>
      </c>
      <c r="F87" s="42">
        <f t="shared" si="2"/>
        <v>-46.545200445512364</v>
      </c>
      <c r="G87" s="42">
        <f t="shared" si="4"/>
        <v>95.56734347370957</v>
      </c>
      <c r="H87">
        <f t="shared" si="6"/>
        <v>2928.9641268859182</v>
      </c>
    </row>
    <row r="88" spans="1:8" x14ac:dyDescent="0.45">
      <c r="A88" s="43">
        <v>21693.5</v>
      </c>
      <c r="B88" s="42">
        <v>5611.85</v>
      </c>
      <c r="C88" s="19">
        <v>3123.35</v>
      </c>
      <c r="D88" s="20">
        <v>87</v>
      </c>
      <c r="E88" s="20">
        <f t="shared" si="3"/>
        <v>2978.6640549515928</v>
      </c>
      <c r="F88" s="42">
        <f t="shared" si="2"/>
        <v>144.68594504840712</v>
      </c>
      <c r="G88" s="42">
        <f t="shared" si="4"/>
        <v>72.577049588236605</v>
      </c>
      <c r="H88">
        <f t="shared" si="6"/>
        <v>3048.858181837511</v>
      </c>
    </row>
    <row r="89" spans="1:8" x14ac:dyDescent="0.45">
      <c r="A89" s="43">
        <v>21775.5</v>
      </c>
      <c r="B89" s="42">
        <v>5569.06</v>
      </c>
      <c r="C89" s="19">
        <v>3288.59</v>
      </c>
      <c r="D89" s="20">
        <v>88</v>
      </c>
      <c r="E89" s="20">
        <f t="shared" si="3"/>
        <v>3121.4131195238851</v>
      </c>
      <c r="F89" s="42">
        <f t="shared" si="2"/>
        <v>167.176880476115</v>
      </c>
      <c r="G89" s="42">
        <f t="shared" si="4"/>
        <v>-164.503062988284</v>
      </c>
      <c r="H89">
        <f t="shared" si="6"/>
        <v>3046.9213013613962</v>
      </c>
    </row>
    <row r="90" spans="1:8" x14ac:dyDescent="0.45">
      <c r="A90" s="43">
        <v>21833.8</v>
      </c>
      <c r="B90" s="42">
        <v>5911.69</v>
      </c>
      <c r="C90" s="19">
        <v>3289.4</v>
      </c>
      <c r="D90" s="20">
        <v>89</v>
      </c>
      <c r="E90" s="20">
        <f t="shared" si="3"/>
        <v>3302.0343132454527</v>
      </c>
      <c r="F90" s="42">
        <f t="shared" si="2"/>
        <v>-12.634313245452631</v>
      </c>
      <c r="G90" s="42">
        <f t="shared" si="4"/>
        <v>-132.01856945254804</v>
      </c>
      <c r="H90">
        <f t="shared" si="6"/>
        <v>3060.3656146068488</v>
      </c>
    </row>
    <row r="91" spans="1:8" x14ac:dyDescent="0.45">
      <c r="A91" s="43">
        <v>21938.7</v>
      </c>
      <c r="B91" s="42">
        <v>6204.95</v>
      </c>
      <c r="C91" s="19">
        <v>3303.69</v>
      </c>
      <c r="D91" s="20">
        <v>90</v>
      </c>
      <c r="E91" s="20">
        <f t="shared" si="3"/>
        <v>3414.5186502484062</v>
      </c>
      <c r="F91" s="42">
        <f t="shared" si="2"/>
        <v>-110.82865024840612</v>
      </c>
      <c r="G91" s="42">
        <f t="shared" si="4"/>
        <v>104.72831293848003</v>
      </c>
      <c r="H91">
        <f t="shared" si="6"/>
        <v>3185.4842648552549</v>
      </c>
    </row>
    <row r="92" spans="1:8" x14ac:dyDescent="0.45">
      <c r="A92" s="43">
        <v>22019.9</v>
      </c>
      <c r="B92" s="42">
        <v>6339.39</v>
      </c>
      <c r="C92" s="19">
        <v>3290.32</v>
      </c>
      <c r="D92" s="20">
        <v>91</v>
      </c>
      <c r="E92" s="20">
        <f t="shared" si="3"/>
        <v>3396.8475723295928</v>
      </c>
      <c r="F92" s="42">
        <f t="shared" si="2"/>
        <v>-106.52757232959266</v>
      </c>
      <c r="G92" s="42">
        <f t="shared" si="4"/>
        <v>-46.545200445512364</v>
      </c>
      <c r="H92">
        <f t="shared" si="6"/>
        <v>3278.6418371848476</v>
      </c>
    </row>
    <row r="93" spans="1:8" x14ac:dyDescent="0.45">
      <c r="A93" s="43">
        <v>22086.799999999999</v>
      </c>
      <c r="B93" s="42">
        <v>6460.26</v>
      </c>
      <c r="C93" s="19">
        <v>3448</v>
      </c>
      <c r="D93" s="20">
        <v>92</v>
      </c>
      <c r="E93" s="20">
        <f t="shared" si="3"/>
        <v>3382.6228276214129</v>
      </c>
      <c r="F93" s="42">
        <f t="shared" si="2"/>
        <v>65.377172378587147</v>
      </c>
      <c r="G93" s="42">
        <f t="shared" si="4"/>
        <v>144.68594504840712</v>
      </c>
      <c r="H93">
        <f t="shared" si="6"/>
        <v>3370.9446648062603</v>
      </c>
    </row>
    <row r="94" spans="1:8" x14ac:dyDescent="0.45">
      <c r="A94" s="43">
        <v>22169.8</v>
      </c>
      <c r="B94" s="42">
        <v>6688.46</v>
      </c>
      <c r="C94" s="19">
        <v>3858.51</v>
      </c>
      <c r="D94" s="20">
        <v>93</v>
      </c>
      <c r="E94" s="20">
        <f t="shared" si="3"/>
        <v>3573.3768948220868</v>
      </c>
      <c r="F94" s="42">
        <f t="shared" si="2"/>
        <v>285.13310517791342</v>
      </c>
      <c r="G94" s="42">
        <f t="shared" si="4"/>
        <v>167.176880476115</v>
      </c>
      <c r="H94">
        <f t="shared" si="6"/>
        <v>3496.3215596283471</v>
      </c>
    </row>
    <row r="95" spans="1:8" x14ac:dyDescent="0.45">
      <c r="A95" s="43">
        <v>22250.400000000001</v>
      </c>
      <c r="B95" s="42">
        <v>6840.2</v>
      </c>
      <c r="C95" s="19">
        <v>4002.28</v>
      </c>
      <c r="D95" s="20">
        <v>94</v>
      </c>
      <c r="E95" s="20">
        <f t="shared" si="3"/>
        <v>3892.6419488824472</v>
      </c>
      <c r="F95" s="42">
        <f t="shared" si="2"/>
        <v>109.638051117553</v>
      </c>
      <c r="G95" s="42">
        <f t="shared" si="4"/>
        <v>-12.634313245452631</v>
      </c>
      <c r="H95">
        <f t="shared" si="6"/>
        <v>3530.4535085107941</v>
      </c>
    </row>
    <row r="96" spans="1:8" x14ac:dyDescent="0.45">
      <c r="A96" s="43">
        <v>22296.5</v>
      </c>
      <c r="B96" s="42">
        <v>6849.09</v>
      </c>
      <c r="C96" s="19">
        <v>4230.63</v>
      </c>
      <c r="D96" s="20">
        <v>95</v>
      </c>
      <c r="E96" s="20">
        <f t="shared" si="3"/>
        <v>4051.1565928176769</v>
      </c>
      <c r="F96" s="42">
        <f t="shared" ref="F96:F99" si="7">C96-E96</f>
        <v>179.47340718232317</v>
      </c>
      <c r="G96" s="42">
        <f t="shared" si="4"/>
        <v>-110.82865024840612</v>
      </c>
      <c r="H96">
        <f t="shared" si="6"/>
        <v>3579.3301013284708</v>
      </c>
    </row>
    <row r="97" spans="1:8" x14ac:dyDescent="0.45">
      <c r="A97" s="43">
        <v>22386.9</v>
      </c>
      <c r="B97" s="42">
        <v>6845.5</v>
      </c>
      <c r="C97" s="19">
        <v>4315.09</v>
      </c>
      <c r="D97" s="20">
        <v>96</v>
      </c>
      <c r="E97" s="20">
        <f t="shared" si="3"/>
        <v>4215.738432882491</v>
      </c>
      <c r="F97" s="42">
        <f t="shared" si="7"/>
        <v>99.351567117509148</v>
      </c>
      <c r="G97" s="42">
        <f t="shared" si="4"/>
        <v>-106.52757232959266</v>
      </c>
      <c r="H97">
        <f t="shared" si="6"/>
        <v>3564.4385342109613</v>
      </c>
    </row>
    <row r="98" spans="1:8" x14ac:dyDescent="0.45">
      <c r="A98" s="43">
        <v>22469.1</v>
      </c>
      <c r="B98" s="42">
        <v>6939.03</v>
      </c>
      <c r="C98" s="19">
        <v>4865.3500000000004</v>
      </c>
      <c r="D98" s="20">
        <v>97</v>
      </c>
      <c r="E98" s="20">
        <f t="shared" si="3"/>
        <v>4403.6562024109307</v>
      </c>
      <c r="F98" s="42">
        <f t="shared" si="7"/>
        <v>461.69379758906962</v>
      </c>
      <c r="G98" s="42">
        <f t="shared" si="4"/>
        <v>65.377172378587147</v>
      </c>
      <c r="H98">
        <f t="shared" si="6"/>
        <v>3653.0047366218914</v>
      </c>
    </row>
    <row r="99" spans="1:8" x14ac:dyDescent="0.45">
      <c r="A99" s="43">
        <v>22667.3</v>
      </c>
      <c r="B99" s="42">
        <v>6878.88</v>
      </c>
      <c r="C99" s="19">
        <v>5277.9</v>
      </c>
      <c r="D99" s="20">
        <v>98</v>
      </c>
      <c r="E99" s="20">
        <f t="shared" si="3"/>
        <v>4989.1351281770576</v>
      </c>
      <c r="F99" s="42">
        <f t="shared" si="7"/>
        <v>288.76487182294204</v>
      </c>
      <c r="G99" s="42">
        <f t="shared" si="4"/>
        <v>285.13310517791342</v>
      </c>
      <c r="H99">
        <f t="shared" si="6"/>
        <v>3776.78986479895</v>
      </c>
    </row>
    <row r="100" spans="1:8" x14ac:dyDescent="0.45">
      <c r="A100" s="20"/>
      <c r="B100" s="20"/>
      <c r="C100" s="19"/>
      <c r="D100" s="20">
        <v>1</v>
      </c>
      <c r="E100" s="20">
        <f t="shared" si="3"/>
        <v>5302.9458409553581</v>
      </c>
      <c r="F100" s="42"/>
      <c r="G100" s="42">
        <f>F95</f>
        <v>109.638051117553</v>
      </c>
    </row>
    <row r="101" spans="1:8" x14ac:dyDescent="0.45">
      <c r="A101" s="20"/>
      <c r="B101" s="20"/>
      <c r="C101" s="20"/>
      <c r="D101" s="20">
        <v>2</v>
      </c>
      <c r="E101" s="20">
        <f>E100-0.165*(A76-A75)+0.18432*(A75-A74)-0.22046*(A74-A73)+0.13989*(B89-B88)+0+0.35556*G101+42.5</f>
        <v>5396.4411225131043</v>
      </c>
      <c r="F101" s="42"/>
      <c r="G101" s="42">
        <f t="shared" si="4"/>
        <v>179.47340718232317</v>
      </c>
    </row>
    <row r="102" spans="1:8" x14ac:dyDescent="0.45">
      <c r="A102" s="20"/>
      <c r="B102" s="20"/>
      <c r="C102" s="20"/>
      <c r="D102" s="20">
        <v>3</v>
      </c>
      <c r="E102" s="20">
        <f t="shared" ref="E102:E109" si="8">E101-0.165*(A77-A76)+0.18432*(A76-A75)-0.22046*(A75-A74)+0.13989*(B90-B89)+0+0.35556*G102+42.5</f>
        <v>5514.7648204174056</v>
      </c>
      <c r="F102" s="42"/>
      <c r="G102" s="42">
        <f t="shared" ref="G102:G104" si="9">F97</f>
        <v>99.351567117509148</v>
      </c>
    </row>
    <row r="103" spans="1:8" x14ac:dyDescent="0.45">
      <c r="A103" s="20"/>
      <c r="B103" s="20"/>
      <c r="C103" s="20"/>
      <c r="D103" s="20">
        <v>4</v>
      </c>
      <c r="E103" s="20">
        <f t="shared" si="8"/>
        <v>5739.5058024881746</v>
      </c>
      <c r="F103" s="42"/>
      <c r="G103" s="42">
        <f t="shared" si="9"/>
        <v>461.69379758906962</v>
      </c>
    </row>
    <row r="104" spans="1:8" x14ac:dyDescent="0.45">
      <c r="A104" s="20"/>
      <c r="B104" s="20"/>
      <c r="C104" s="20"/>
      <c r="D104" s="20">
        <v>5</v>
      </c>
      <c r="E104" s="20">
        <f t="shared" si="8"/>
        <v>5910.0354279135418</v>
      </c>
      <c r="F104" s="42"/>
      <c r="G104" s="42">
        <f t="shared" si="9"/>
        <v>288.76487182294204</v>
      </c>
    </row>
    <row r="105" spans="1:8" x14ac:dyDescent="0.45">
      <c r="A105" s="20"/>
      <c r="B105" s="20"/>
      <c r="C105" s="20"/>
      <c r="D105" s="20">
        <v>6</v>
      </c>
      <c r="E105" s="20">
        <f t="shared" si="8"/>
        <v>5960.3788222135408</v>
      </c>
      <c r="F105" s="42"/>
      <c r="G105" s="20"/>
    </row>
    <row r="106" spans="1:8" x14ac:dyDescent="0.45">
      <c r="A106" s="20"/>
      <c r="B106" s="20"/>
      <c r="C106" s="20"/>
      <c r="D106" s="20">
        <v>7</v>
      </c>
      <c r="E106" s="20">
        <f t="shared" si="8"/>
        <v>6014.1040762135417</v>
      </c>
      <c r="F106" s="42"/>
      <c r="G106" s="20"/>
    </row>
    <row r="107" spans="1:8" x14ac:dyDescent="0.45">
      <c r="A107" s="20"/>
      <c r="B107" s="20"/>
      <c r="C107" s="20"/>
      <c r="D107" s="20">
        <v>8</v>
      </c>
      <c r="E107" s="20">
        <f t="shared" si="8"/>
        <v>6075.1295508135399</v>
      </c>
      <c r="F107" s="42"/>
      <c r="G107" s="20"/>
    </row>
    <row r="108" spans="1:8" x14ac:dyDescent="0.45">
      <c r="A108" s="20"/>
      <c r="B108" s="20"/>
      <c r="C108" s="20"/>
      <c r="D108" s="20">
        <v>9</v>
      </c>
      <c r="E108" s="20">
        <f t="shared" si="8"/>
        <v>6103.68882491354</v>
      </c>
      <c r="F108" s="42"/>
      <c r="G108" s="20"/>
    </row>
    <row r="109" spans="1:8" x14ac:dyDescent="0.45">
      <c r="A109" s="20"/>
      <c r="B109" s="20"/>
      <c r="C109" s="20"/>
      <c r="D109" s="20">
        <v>10</v>
      </c>
      <c r="E109" s="20">
        <f t="shared" si="8"/>
        <v>6119.0350998135418</v>
      </c>
      <c r="F109" s="42"/>
      <c r="G109" s="2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24</vt:i4>
      </vt:variant>
    </vt:vector>
  </HeadingPairs>
  <TitlesOfParts>
    <vt:vector size="24" baseType="lpstr">
      <vt:lpstr>DATA</vt:lpstr>
      <vt:lpstr>Noise</vt:lpstr>
      <vt:lpstr>simultan </vt:lpstr>
      <vt:lpstr>MLE X2</vt:lpstr>
      <vt:lpstr>MLE X1</vt:lpstr>
      <vt:lpstr>MLE X1 WITH CONSTANTA</vt:lpstr>
      <vt:lpstr>MLE X2 WITH CONSTANTA</vt:lpstr>
      <vt:lpstr>Noise MU</vt:lpstr>
      <vt:lpstr>KS X1</vt:lpstr>
      <vt:lpstr>KSX2 </vt:lpstr>
      <vt:lpstr>KS FTMI</vt:lpstr>
      <vt:lpstr>AIC</vt:lpstr>
      <vt:lpstr>AIC FTMI</vt:lpstr>
      <vt:lpstr>acf pacf</vt:lpstr>
      <vt:lpstr>Prewhitening M2</vt:lpstr>
      <vt:lpstr>Prewhitening Emas M2</vt:lpstr>
      <vt:lpstr>CCF REVISI</vt:lpstr>
      <vt:lpstr>Prewhitening SP 500</vt:lpstr>
      <vt:lpstr>Prewhitening EMAS SP 500</vt:lpstr>
      <vt:lpstr>CCF X2 REVISI </vt:lpstr>
      <vt:lpstr>FORECAST</vt:lpstr>
      <vt:lpstr>cadangan</vt:lpstr>
      <vt:lpstr>FORECAST MASA DEPAN</vt:lpstr>
      <vt:lpstr>FORECAST MASA DEPAN DGN CONSTAN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fradila</dc:creator>
  <cp:lastModifiedBy>Putri fradila</cp:lastModifiedBy>
  <dcterms:created xsi:type="dcterms:W3CDTF">2026-05-13T22:19:35Z</dcterms:created>
  <dcterms:modified xsi:type="dcterms:W3CDTF">2026-09-17T14:59:25Z</dcterms:modified>
</cp:coreProperties>
</file>