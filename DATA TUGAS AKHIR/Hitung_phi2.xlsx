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8f7c1c5f87ad976/Dokumen/DATA TUGAS AKHIR/"/>
    </mc:Choice>
  </mc:AlternateContent>
  <xr:revisionPtr revIDLastSave="1" documentId="11_30D7F771D9C05EC0B339348F77C594A8D9D5F7AD" xr6:coauthVersionLast="47" xr6:coauthVersionMax="47" xr10:uidLastSave="{24662823-D450-4456-9EAC-A1542F99FCA1}"/>
  <bookViews>
    <workbookView xWindow="-98" yWindow="-98" windowWidth="21795" windowHeight="12975" tabRatio="500" activeTab="1" xr2:uid="{00000000-000D-0000-FFFF-FFFF00000000}"/>
  </bookViews>
  <sheets>
    <sheet name="Data" sheetId="1" r:id="rId1"/>
    <sheet name="Hitung phi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2" i="1" l="1"/>
  <c r="C82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G40" i="1"/>
  <c r="D40" i="1"/>
  <c r="C40" i="1"/>
  <c r="D39" i="1"/>
  <c r="C39" i="1"/>
  <c r="D38" i="1"/>
  <c r="C38" i="1"/>
  <c r="D37" i="1"/>
  <c r="C37" i="1"/>
  <c r="I36" i="1"/>
  <c r="H36" i="1"/>
  <c r="G36" i="1"/>
  <c r="F36" i="1"/>
  <c r="E36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C3" i="1"/>
  <c r="F80" i="1" l="1"/>
  <c r="H80" i="1"/>
  <c r="I80" i="1"/>
  <c r="G80" i="1"/>
  <c r="E80" i="1"/>
  <c r="H79" i="1"/>
  <c r="F79" i="1"/>
  <c r="I79" i="1"/>
  <c r="G79" i="1"/>
  <c r="E79" i="1"/>
  <c r="F78" i="1"/>
  <c r="H78" i="1"/>
  <c r="E78" i="1"/>
  <c r="I78" i="1"/>
  <c r="G78" i="1"/>
  <c r="F77" i="1"/>
  <c r="H77" i="1"/>
  <c r="E77" i="1"/>
  <c r="G77" i="1"/>
  <c r="I77" i="1"/>
  <c r="F76" i="1"/>
  <c r="H76" i="1"/>
  <c r="E76" i="1"/>
  <c r="G76" i="1"/>
  <c r="I76" i="1"/>
  <c r="F75" i="1"/>
  <c r="H75" i="1"/>
  <c r="I75" i="1"/>
  <c r="G75" i="1"/>
  <c r="E75" i="1"/>
  <c r="H74" i="1"/>
  <c r="F74" i="1"/>
  <c r="I74" i="1"/>
  <c r="G74" i="1"/>
  <c r="E74" i="1"/>
  <c r="F73" i="1"/>
  <c r="H73" i="1"/>
  <c r="I73" i="1"/>
  <c r="G73" i="1"/>
  <c r="E73" i="1"/>
  <c r="F72" i="1"/>
  <c r="H72" i="1"/>
  <c r="I72" i="1"/>
  <c r="G72" i="1"/>
  <c r="E72" i="1"/>
  <c r="F71" i="1"/>
  <c r="H71" i="1"/>
  <c r="I71" i="1"/>
  <c r="E71" i="1"/>
  <c r="G71" i="1"/>
  <c r="F70" i="1"/>
  <c r="H70" i="1"/>
  <c r="G70" i="1"/>
  <c r="E70" i="1"/>
  <c r="I70" i="1"/>
  <c r="H69" i="1"/>
  <c r="F69" i="1"/>
  <c r="E69" i="1"/>
  <c r="G69" i="1"/>
  <c r="I69" i="1"/>
  <c r="H68" i="1"/>
  <c r="F68" i="1"/>
  <c r="E68" i="1"/>
  <c r="G68" i="1"/>
  <c r="I68" i="1"/>
  <c r="F67" i="1"/>
  <c r="H67" i="1"/>
  <c r="G67" i="1"/>
  <c r="I67" i="1"/>
  <c r="E67" i="1"/>
  <c r="H66" i="1"/>
  <c r="F66" i="1"/>
  <c r="E66" i="1"/>
  <c r="G66" i="1"/>
  <c r="I66" i="1"/>
  <c r="F65" i="1"/>
  <c r="H65" i="1"/>
  <c r="E65" i="1"/>
  <c r="I65" i="1"/>
  <c r="G65" i="1"/>
  <c r="F64" i="1"/>
  <c r="H64" i="1"/>
  <c r="G64" i="1"/>
  <c r="E64" i="1"/>
  <c r="I64" i="1"/>
  <c r="H63" i="1"/>
  <c r="F63" i="1"/>
  <c r="G63" i="1"/>
  <c r="E63" i="1"/>
  <c r="I63" i="1"/>
  <c r="F62" i="1"/>
  <c r="H62" i="1"/>
  <c r="I62" i="1"/>
  <c r="G62" i="1"/>
  <c r="E62" i="1"/>
  <c r="H61" i="1"/>
  <c r="F61" i="1"/>
  <c r="E61" i="1"/>
  <c r="G61" i="1"/>
  <c r="I61" i="1"/>
  <c r="F60" i="1"/>
  <c r="H60" i="1"/>
  <c r="E60" i="1"/>
  <c r="I60" i="1"/>
  <c r="G60" i="1"/>
  <c r="H59" i="1"/>
  <c r="F59" i="1"/>
  <c r="E59" i="1"/>
  <c r="I59" i="1"/>
  <c r="G59" i="1"/>
  <c r="H58" i="1"/>
  <c r="F58" i="1"/>
  <c r="E58" i="1"/>
  <c r="G58" i="1"/>
  <c r="I58" i="1"/>
  <c r="H57" i="1"/>
  <c r="F57" i="1"/>
  <c r="I57" i="1"/>
  <c r="G57" i="1"/>
  <c r="E57" i="1"/>
  <c r="H56" i="1"/>
  <c r="F56" i="1"/>
  <c r="G56" i="1"/>
  <c r="E56" i="1"/>
  <c r="I56" i="1"/>
  <c r="H55" i="1"/>
  <c r="F55" i="1"/>
  <c r="I55" i="1"/>
  <c r="G55" i="1"/>
  <c r="E55" i="1"/>
  <c r="H54" i="1"/>
  <c r="F54" i="1"/>
  <c r="G54" i="1"/>
  <c r="E54" i="1"/>
  <c r="I54" i="1"/>
  <c r="H53" i="1"/>
  <c r="F53" i="1"/>
  <c r="E53" i="1"/>
  <c r="G53" i="1"/>
  <c r="I53" i="1"/>
  <c r="H52" i="1"/>
  <c r="F52" i="1"/>
  <c r="E52" i="1"/>
  <c r="G52" i="1"/>
  <c r="I52" i="1"/>
  <c r="F51" i="1"/>
  <c r="H51" i="1"/>
  <c r="I51" i="1"/>
  <c r="G51" i="1"/>
  <c r="E51" i="1"/>
  <c r="F50" i="1"/>
  <c r="H50" i="1"/>
  <c r="I50" i="1"/>
  <c r="G50" i="1"/>
  <c r="E50" i="1"/>
  <c r="H49" i="1"/>
  <c r="F49" i="1"/>
  <c r="E49" i="1"/>
  <c r="G49" i="1"/>
  <c r="I49" i="1"/>
  <c r="F48" i="1"/>
  <c r="H48" i="1"/>
  <c r="I48" i="1"/>
  <c r="E48" i="1"/>
  <c r="G48" i="1"/>
  <c r="F47" i="1"/>
  <c r="H47" i="1"/>
  <c r="E47" i="1"/>
  <c r="I47" i="1"/>
  <c r="G47" i="1"/>
  <c r="F46" i="1"/>
  <c r="H46" i="1"/>
  <c r="I46" i="1"/>
  <c r="E46" i="1"/>
  <c r="G46" i="1"/>
  <c r="F45" i="1"/>
  <c r="H45" i="1"/>
  <c r="E45" i="1"/>
  <c r="G45" i="1"/>
  <c r="I45" i="1"/>
  <c r="H44" i="1"/>
  <c r="F44" i="1"/>
  <c r="G44" i="1"/>
  <c r="I44" i="1"/>
  <c r="E44" i="1"/>
  <c r="F43" i="1"/>
  <c r="H43" i="1"/>
  <c r="I43" i="1"/>
  <c r="E43" i="1"/>
  <c r="G43" i="1"/>
  <c r="F42" i="1"/>
  <c r="H42" i="1"/>
  <c r="I42" i="1"/>
  <c r="G42" i="1"/>
  <c r="E42" i="1"/>
  <c r="F41" i="1"/>
  <c r="H41" i="1"/>
  <c r="I41" i="1"/>
  <c r="G41" i="1"/>
  <c r="E41" i="1"/>
  <c r="H40" i="1"/>
  <c r="F40" i="1"/>
  <c r="E40" i="1"/>
  <c r="I40" i="1"/>
  <c r="F39" i="1"/>
  <c r="H39" i="1"/>
  <c r="E39" i="1"/>
  <c r="I39" i="1"/>
  <c r="G39" i="1"/>
  <c r="F38" i="1"/>
  <c r="H38" i="1"/>
  <c r="G38" i="1"/>
  <c r="E38" i="1"/>
  <c r="I38" i="1"/>
  <c r="H37" i="1"/>
  <c r="F37" i="1"/>
  <c r="G37" i="1"/>
  <c r="E37" i="1"/>
  <c r="I37" i="1"/>
  <c r="H35" i="1"/>
  <c r="F35" i="1"/>
  <c r="G35" i="1"/>
  <c r="E35" i="1"/>
  <c r="I35" i="1"/>
  <c r="H34" i="1"/>
  <c r="F34" i="1"/>
  <c r="E34" i="1"/>
  <c r="I34" i="1"/>
  <c r="G34" i="1"/>
  <c r="F33" i="1"/>
  <c r="H33" i="1"/>
  <c r="E33" i="1"/>
  <c r="G33" i="1"/>
  <c r="I33" i="1"/>
  <c r="H32" i="1"/>
  <c r="F32" i="1"/>
  <c r="I32" i="1"/>
  <c r="E32" i="1"/>
  <c r="G32" i="1"/>
  <c r="F31" i="1"/>
  <c r="H31" i="1"/>
  <c r="E31" i="1"/>
  <c r="G31" i="1"/>
  <c r="I31" i="1"/>
  <c r="H30" i="1"/>
  <c r="F30" i="1"/>
  <c r="G30" i="1"/>
  <c r="E30" i="1"/>
  <c r="I30" i="1"/>
  <c r="H29" i="1"/>
  <c r="F29" i="1"/>
  <c r="G29" i="1"/>
  <c r="I29" i="1"/>
  <c r="E29" i="1"/>
  <c r="F28" i="1"/>
  <c r="H28" i="1"/>
  <c r="I28" i="1"/>
  <c r="G28" i="1"/>
  <c r="E28" i="1"/>
  <c r="H27" i="1"/>
  <c r="F27" i="1"/>
  <c r="I27" i="1"/>
  <c r="G27" i="1"/>
  <c r="E27" i="1"/>
  <c r="F26" i="1"/>
  <c r="H26" i="1"/>
  <c r="G26" i="1"/>
  <c r="I26" i="1"/>
  <c r="E26" i="1"/>
  <c r="H25" i="1"/>
  <c r="F25" i="1"/>
  <c r="E25" i="1"/>
  <c r="I25" i="1"/>
  <c r="G25" i="1"/>
  <c r="F24" i="1"/>
  <c r="H24" i="1"/>
  <c r="E24" i="1"/>
  <c r="G24" i="1"/>
  <c r="I24" i="1"/>
  <c r="F23" i="1"/>
  <c r="H23" i="1"/>
  <c r="G23" i="1"/>
  <c r="E23" i="1"/>
  <c r="I23" i="1"/>
  <c r="F22" i="1"/>
  <c r="H22" i="1"/>
  <c r="I22" i="1"/>
  <c r="G22" i="1"/>
  <c r="E22" i="1"/>
  <c r="H21" i="1"/>
  <c r="F21" i="1"/>
  <c r="G21" i="1"/>
  <c r="E21" i="1"/>
  <c r="I21" i="1"/>
  <c r="H20" i="1"/>
  <c r="F20" i="1"/>
  <c r="I20" i="1"/>
  <c r="G20" i="1"/>
  <c r="E20" i="1"/>
  <c r="F19" i="1"/>
  <c r="H19" i="1"/>
  <c r="I19" i="1"/>
  <c r="G19" i="1"/>
  <c r="E19" i="1"/>
  <c r="H18" i="1"/>
  <c r="F18" i="1"/>
  <c r="I18" i="1"/>
  <c r="G18" i="1"/>
  <c r="E18" i="1"/>
  <c r="H17" i="1"/>
  <c r="F17" i="1"/>
  <c r="I17" i="1"/>
  <c r="G17" i="1"/>
  <c r="E17" i="1"/>
  <c r="H16" i="1"/>
  <c r="F16" i="1"/>
  <c r="G16" i="1"/>
  <c r="I16" i="1"/>
  <c r="E16" i="1"/>
  <c r="F15" i="1"/>
  <c r="H15" i="1"/>
  <c r="G15" i="1"/>
  <c r="I15" i="1"/>
  <c r="E15" i="1"/>
  <c r="F14" i="1"/>
  <c r="H14" i="1"/>
  <c r="E14" i="1"/>
  <c r="G14" i="1"/>
  <c r="I14" i="1"/>
  <c r="H13" i="1"/>
  <c r="F13" i="1"/>
  <c r="E13" i="1"/>
  <c r="I13" i="1"/>
  <c r="G13" i="1"/>
  <c r="F12" i="1"/>
  <c r="H12" i="1"/>
  <c r="E12" i="1"/>
  <c r="I12" i="1"/>
  <c r="G12" i="1"/>
  <c r="F11" i="1"/>
  <c r="H11" i="1"/>
  <c r="E11" i="1"/>
  <c r="G11" i="1"/>
  <c r="I11" i="1"/>
  <c r="H10" i="1"/>
  <c r="F10" i="1"/>
  <c r="I10" i="1"/>
  <c r="E10" i="1"/>
  <c r="G10" i="1"/>
  <c r="F9" i="1"/>
  <c r="H9" i="1"/>
  <c r="G9" i="1"/>
  <c r="I9" i="1"/>
  <c r="E9" i="1"/>
  <c r="H8" i="1"/>
  <c r="F8" i="1"/>
  <c r="I8" i="1"/>
  <c r="G8" i="1"/>
  <c r="E8" i="1"/>
  <c r="H7" i="1"/>
  <c r="F7" i="1"/>
  <c r="I7" i="1"/>
  <c r="G7" i="1"/>
  <c r="E7" i="1"/>
  <c r="H6" i="1"/>
  <c r="F6" i="1"/>
  <c r="I6" i="1"/>
  <c r="G6" i="1"/>
  <c r="E6" i="1"/>
  <c r="F5" i="1"/>
  <c r="H5" i="1"/>
  <c r="G5" i="1"/>
  <c r="E5" i="1"/>
  <c r="I5" i="1"/>
  <c r="H4" i="1"/>
  <c r="F4" i="1"/>
  <c r="E4" i="1"/>
  <c r="G4" i="1"/>
  <c r="I4" i="1"/>
  <c r="E3" i="1"/>
  <c r="G3" i="1"/>
  <c r="F82" i="1" l="1"/>
  <c r="H82" i="1"/>
  <c r="G82" i="1"/>
  <c r="E82" i="1"/>
  <c r="I82" i="1"/>
  <c r="B5" i="2" l="1"/>
  <c r="C5" i="2"/>
  <c r="B7" i="2"/>
  <c r="C7" i="2"/>
  <c r="B6" i="2"/>
  <c r="C6" i="2"/>
  <c r="C4" i="2"/>
  <c r="B4" i="2"/>
  <c r="C8" i="2"/>
  <c r="B8" i="2"/>
  <c r="C14" i="2" l="1"/>
  <c r="B14" i="2"/>
  <c r="C10" i="2"/>
  <c r="B10" i="2"/>
  <c r="C15" i="2"/>
  <c r="B11" i="2"/>
  <c r="C11" i="2"/>
  <c r="B15" i="2"/>
  <c r="B16" i="2" l="1"/>
  <c r="C16" i="2"/>
  <c r="C12" i="2"/>
  <c r="B12" i="2"/>
  <c r="C18" i="2" l="1"/>
  <c r="B18" i="2"/>
</calcChain>
</file>

<file path=xl/sharedStrings.xml><?xml version="1.0" encoding="utf-8"?>
<sst xmlns="http://schemas.openxmlformats.org/spreadsheetml/2006/main" count="30" uniqueCount="30">
  <si>
    <t>t</t>
  </si>
  <si>
    <t>Xₜ*</t>
  </si>
  <si>
    <t>Xₜ₋₁*</t>
  </si>
  <si>
    <t>Xₜ₋₂*</t>
  </si>
  <si>
    <t>(Xₜ₋₁*)²</t>
  </si>
  <si>
    <t>(Xₜ₋₂*)²</t>
  </si>
  <si>
    <t>Xₜ*·Xₜ₋₁*</t>
  </si>
  <si>
    <t>Xₜ*·Xₜ₋₂*</t>
  </si>
  <si>
    <t>Xₜ₋₁*·Xₜ₋₂*</t>
  </si>
  <si>
    <t>Σ (t=4 s.d. n)</t>
  </si>
  <si>
    <t>Perhitungan φ̂₂ (Yule-Walker / OLS 2 variabel)</t>
  </si>
  <si>
    <t>Komponen</t>
  </si>
  <si>
    <t>Formula Excel</t>
  </si>
  <si>
    <t>Nilai</t>
  </si>
  <si>
    <t>Σ(Xₜ₋₁*)²</t>
  </si>
  <si>
    <t>Σ(Xₜ₋₂*)²</t>
  </si>
  <si>
    <t>Σ Xₜ*·Xₜ₋₁*</t>
  </si>
  <si>
    <t>Σ Xₜ*·Xₜ₋₂*</t>
  </si>
  <si>
    <t>Σ Xₜ₋₁*·Xₜ₋₂*</t>
  </si>
  <si>
    <t>— Komponen Pembilang (Numerator) —</t>
  </si>
  <si>
    <t>Σ(Xₜ₋₁*)² × Σ Xₜ*Xₜ₋₂*  [Bagian 1a]</t>
  </si>
  <si>
    <t>Σ Xₜ₋₁*Xₜ₋₂* × Σ Xₜ*Xₜ₋₁*  [Bagian 1b]</t>
  </si>
  <si>
    <t>Pembilang = Bagian 1a − Bagian 1b</t>
  </si>
  <si>
    <t>— Komponen Penyebut (Denominator) —</t>
  </si>
  <si>
    <t>Σ(Xₜ₋₁*)² × Σ(Xₜ₋₂*)²  [Bagian 2a]</t>
  </si>
  <si>
    <t>(Σ Xₜ₋₁*Xₜ₋₂*)²  [Bagian 2b]</t>
  </si>
  <si>
    <t>Penyebut = Bagian 2a − Bagian 2b</t>
  </si>
  <si>
    <t>— Hasil Akhir —</t>
  </si>
  <si>
    <t>φ̂₂ = Pembilang / Penyebut</t>
  </si>
  <si>
    <t>Catatan: rumus sesuai formula φ̂₂ Yule-Walker 2 variabel, Σ dari t=4 s.d.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</si>
</sst>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"/>
    <numFmt numFmtId="166" formatCode="0.000000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2"/>
      <color rgb="FFFFFFFF"/>
      <name val="Arial"/>
      <charset val="1"/>
    </font>
    <font>
      <i/>
      <sz val="10"/>
      <color rgb="FF555555"/>
      <name val="Arial"/>
      <charset val="1"/>
    </font>
    <font>
      <b/>
      <sz val="11"/>
      <color rgb="FFC0392B"/>
      <name val="Arial"/>
      <charset val="1"/>
    </font>
    <font>
      <i/>
      <sz val="10"/>
      <color rgb="FF444444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2E86AB"/>
        <bgColor rgb="FF008080"/>
      </patternFill>
    </fill>
    <fill>
      <patternFill patternType="solid">
        <fgColor rgb="FFFDEBD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8" fillId="0" borderId="2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65" fontId="6" fillId="3" borderId="1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166" fontId="7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D0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86AB"/>
      <rgbColor rgb="FF003300"/>
      <rgbColor rgb="FF333300"/>
      <rgbColor rgb="FFC0392B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zoomScaleNormal="100" workbookViewId="0">
      <pane ySplit="1" topLeftCell="A73" activePane="bottomLeft" state="frozen"/>
      <selection pane="bottomLeft" activeCell="F82" sqref="F82"/>
    </sheetView>
  </sheetViews>
  <sheetFormatPr defaultColWidth="8.6640625" defaultRowHeight="14.25" x14ac:dyDescent="0.45"/>
  <cols>
    <col min="1" max="1" width="6" customWidth="1"/>
    <col min="2" max="2" width="14" customWidth="1"/>
    <col min="3" max="8" width="16" customWidth="1"/>
    <col min="9" max="9" width="18" customWidth="1"/>
  </cols>
  <sheetData>
    <row r="1" spans="1:9" ht="18" customHeigh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45">
      <c r="A2" s="7">
        <v>1</v>
      </c>
      <c r="B2" s="8">
        <v>49</v>
      </c>
      <c r="C2" s="9"/>
      <c r="D2" s="9"/>
      <c r="E2" s="9"/>
      <c r="F2" s="9"/>
      <c r="G2" s="9"/>
      <c r="H2" s="9"/>
      <c r="I2" s="9"/>
    </row>
    <row r="3" spans="1:9" x14ac:dyDescent="0.45">
      <c r="A3" s="7">
        <v>2</v>
      </c>
      <c r="B3" s="8">
        <v>63.4</v>
      </c>
      <c r="C3" s="10">
        <f t="shared" ref="C3:C34" si="0">B2</f>
        <v>49</v>
      </c>
      <c r="D3" s="9"/>
      <c r="E3" s="11">
        <f t="shared" ref="E3:E34" si="1">C3^2</f>
        <v>2401</v>
      </c>
      <c r="F3" s="9"/>
      <c r="G3" s="11">
        <f t="shared" ref="G3:G34" si="2">B3*C3</f>
        <v>3106.6</v>
      </c>
      <c r="H3" s="9"/>
      <c r="I3" s="9"/>
    </row>
    <row r="4" spans="1:9" x14ac:dyDescent="0.45">
      <c r="A4" s="7">
        <v>3</v>
      </c>
      <c r="B4" s="8">
        <v>23.2</v>
      </c>
      <c r="C4" s="10">
        <f t="shared" si="0"/>
        <v>63.4</v>
      </c>
      <c r="D4" s="10">
        <f t="shared" ref="D4:D35" si="3">B2</f>
        <v>49</v>
      </c>
      <c r="E4" s="11">
        <f t="shared" si="1"/>
        <v>4019.56</v>
      </c>
      <c r="F4" s="11">
        <f t="shared" ref="F4:F35" si="4">D4^2</f>
        <v>2401</v>
      </c>
      <c r="G4" s="11">
        <f t="shared" si="2"/>
        <v>1470.8799999999999</v>
      </c>
      <c r="H4" s="11">
        <f t="shared" ref="H4:H35" si="5">B4*D4</f>
        <v>1136.8</v>
      </c>
      <c r="I4" s="11">
        <f t="shared" ref="I4:I35" si="6">C4*D4</f>
        <v>3106.6</v>
      </c>
    </row>
    <row r="5" spans="1:9" x14ac:dyDescent="0.45">
      <c r="A5" s="7">
        <v>4</v>
      </c>
      <c r="B5" s="8">
        <v>56.5</v>
      </c>
      <c r="C5" s="10">
        <f t="shared" si="0"/>
        <v>23.2</v>
      </c>
      <c r="D5" s="10">
        <f t="shared" si="3"/>
        <v>63.4</v>
      </c>
      <c r="E5" s="11">
        <f t="shared" si="1"/>
        <v>538.24</v>
      </c>
      <c r="F5" s="11">
        <f t="shared" si="4"/>
        <v>4019.56</v>
      </c>
      <c r="G5" s="11">
        <f t="shared" si="2"/>
        <v>1310.8</v>
      </c>
      <c r="H5" s="11">
        <f t="shared" si="5"/>
        <v>3582.1</v>
      </c>
      <c r="I5" s="11">
        <f t="shared" si="6"/>
        <v>1470.8799999999999</v>
      </c>
    </row>
    <row r="6" spans="1:9" x14ac:dyDescent="0.45">
      <c r="A6" s="7">
        <v>5</v>
      </c>
      <c r="B6" s="8">
        <v>44.8</v>
      </c>
      <c r="C6" s="10">
        <f t="shared" si="0"/>
        <v>56.5</v>
      </c>
      <c r="D6" s="10">
        <f t="shared" si="3"/>
        <v>23.2</v>
      </c>
      <c r="E6" s="11">
        <f t="shared" si="1"/>
        <v>3192.25</v>
      </c>
      <c r="F6" s="11">
        <f t="shared" si="4"/>
        <v>538.24</v>
      </c>
      <c r="G6" s="11">
        <f t="shared" si="2"/>
        <v>2531.1999999999998</v>
      </c>
      <c r="H6" s="11">
        <f t="shared" si="5"/>
        <v>1039.3599999999999</v>
      </c>
      <c r="I6" s="11">
        <f t="shared" si="6"/>
        <v>1310.8</v>
      </c>
    </row>
    <row r="7" spans="1:9" x14ac:dyDescent="0.45">
      <c r="A7" s="7">
        <v>6</v>
      </c>
      <c r="B7" s="8">
        <v>37.4</v>
      </c>
      <c r="C7" s="10">
        <f t="shared" si="0"/>
        <v>44.8</v>
      </c>
      <c r="D7" s="10">
        <f t="shared" si="3"/>
        <v>56.5</v>
      </c>
      <c r="E7" s="11">
        <f t="shared" si="1"/>
        <v>2007.0399999999997</v>
      </c>
      <c r="F7" s="11">
        <f t="shared" si="4"/>
        <v>3192.25</v>
      </c>
      <c r="G7" s="11">
        <f t="shared" si="2"/>
        <v>1675.5199999999998</v>
      </c>
      <c r="H7" s="11">
        <f t="shared" si="5"/>
        <v>2113.1</v>
      </c>
      <c r="I7" s="11">
        <f t="shared" si="6"/>
        <v>2531.1999999999998</v>
      </c>
    </row>
    <row r="8" spans="1:9" x14ac:dyDescent="0.45">
      <c r="A8" s="7">
        <v>7</v>
      </c>
      <c r="B8" s="8">
        <v>48.6</v>
      </c>
      <c r="C8" s="10">
        <f t="shared" si="0"/>
        <v>37.4</v>
      </c>
      <c r="D8" s="10">
        <f t="shared" si="3"/>
        <v>44.8</v>
      </c>
      <c r="E8" s="11">
        <f t="shared" si="1"/>
        <v>1398.76</v>
      </c>
      <c r="F8" s="11">
        <f t="shared" si="4"/>
        <v>2007.0399999999997</v>
      </c>
      <c r="G8" s="11">
        <f t="shared" si="2"/>
        <v>1817.6399999999999</v>
      </c>
      <c r="H8" s="11">
        <f t="shared" si="5"/>
        <v>2177.2799999999997</v>
      </c>
      <c r="I8" s="11">
        <f t="shared" si="6"/>
        <v>1675.5199999999998</v>
      </c>
    </row>
    <row r="9" spans="1:9" x14ac:dyDescent="0.45">
      <c r="A9" s="7">
        <v>8</v>
      </c>
      <c r="B9" s="8">
        <v>22.3</v>
      </c>
      <c r="C9" s="10">
        <f t="shared" si="0"/>
        <v>48.6</v>
      </c>
      <c r="D9" s="10">
        <f t="shared" si="3"/>
        <v>37.4</v>
      </c>
      <c r="E9" s="11">
        <f t="shared" si="1"/>
        <v>2361.96</v>
      </c>
      <c r="F9" s="11">
        <f t="shared" si="4"/>
        <v>1398.76</v>
      </c>
      <c r="G9" s="11">
        <f t="shared" si="2"/>
        <v>1083.78</v>
      </c>
      <c r="H9" s="11">
        <f t="shared" si="5"/>
        <v>834.02</v>
      </c>
      <c r="I9" s="11">
        <f t="shared" si="6"/>
        <v>1817.6399999999999</v>
      </c>
    </row>
    <row r="10" spans="1:9" x14ac:dyDescent="0.45">
      <c r="A10" s="7">
        <v>9</v>
      </c>
      <c r="B10" s="8">
        <v>11.1</v>
      </c>
      <c r="C10" s="10">
        <f t="shared" si="0"/>
        <v>22.3</v>
      </c>
      <c r="D10" s="10">
        <f t="shared" si="3"/>
        <v>48.6</v>
      </c>
      <c r="E10" s="11">
        <f t="shared" si="1"/>
        <v>497.29</v>
      </c>
      <c r="F10" s="11">
        <f t="shared" si="4"/>
        <v>2361.96</v>
      </c>
      <c r="G10" s="11">
        <f t="shared" si="2"/>
        <v>247.53</v>
      </c>
      <c r="H10" s="11">
        <f t="shared" si="5"/>
        <v>539.46</v>
      </c>
      <c r="I10" s="11">
        <f t="shared" si="6"/>
        <v>1083.78</v>
      </c>
    </row>
    <row r="11" spans="1:9" x14ac:dyDescent="0.45">
      <c r="A11" s="7">
        <v>10</v>
      </c>
      <c r="B11" s="8">
        <v>26.2</v>
      </c>
      <c r="C11" s="10">
        <f t="shared" si="0"/>
        <v>11.1</v>
      </c>
      <c r="D11" s="10">
        <f t="shared" si="3"/>
        <v>22.3</v>
      </c>
      <c r="E11" s="11">
        <f t="shared" si="1"/>
        <v>123.21</v>
      </c>
      <c r="F11" s="11">
        <f t="shared" si="4"/>
        <v>497.29</v>
      </c>
      <c r="G11" s="11">
        <f t="shared" si="2"/>
        <v>290.82</v>
      </c>
      <c r="H11" s="11">
        <f t="shared" si="5"/>
        <v>584.26</v>
      </c>
      <c r="I11" s="11">
        <f t="shared" si="6"/>
        <v>247.53</v>
      </c>
    </row>
    <row r="12" spans="1:9" x14ac:dyDescent="0.45">
      <c r="A12" s="7">
        <v>11</v>
      </c>
      <c r="B12" s="8">
        <v>104</v>
      </c>
      <c r="C12" s="10">
        <f t="shared" si="0"/>
        <v>26.2</v>
      </c>
      <c r="D12" s="10">
        <f t="shared" si="3"/>
        <v>11.1</v>
      </c>
      <c r="E12" s="11">
        <f t="shared" si="1"/>
        <v>686.43999999999994</v>
      </c>
      <c r="F12" s="11">
        <f t="shared" si="4"/>
        <v>123.21</v>
      </c>
      <c r="G12" s="11">
        <f t="shared" si="2"/>
        <v>2724.7999999999997</v>
      </c>
      <c r="H12" s="11">
        <f t="shared" si="5"/>
        <v>1154.3999999999999</v>
      </c>
      <c r="I12" s="11">
        <f t="shared" si="6"/>
        <v>290.82</v>
      </c>
    </row>
    <row r="13" spans="1:9" x14ac:dyDescent="0.45">
      <c r="A13" s="7">
        <v>12</v>
      </c>
      <c r="B13" s="8">
        <v>72.900000000000006</v>
      </c>
      <c r="C13" s="10">
        <f t="shared" si="0"/>
        <v>104</v>
      </c>
      <c r="D13" s="10">
        <f t="shared" si="3"/>
        <v>26.2</v>
      </c>
      <c r="E13" s="11">
        <f t="shared" si="1"/>
        <v>10816</v>
      </c>
      <c r="F13" s="11">
        <f t="shared" si="4"/>
        <v>686.43999999999994</v>
      </c>
      <c r="G13" s="11">
        <f t="shared" si="2"/>
        <v>7581.6</v>
      </c>
      <c r="H13" s="11">
        <f t="shared" si="5"/>
        <v>1909.98</v>
      </c>
      <c r="I13" s="11">
        <f t="shared" si="6"/>
        <v>2724.7999999999997</v>
      </c>
    </row>
    <row r="14" spans="1:9" x14ac:dyDescent="0.45">
      <c r="A14" s="7">
        <v>13</v>
      </c>
      <c r="B14" s="8">
        <v>46.6</v>
      </c>
      <c r="C14" s="10">
        <f t="shared" si="0"/>
        <v>72.900000000000006</v>
      </c>
      <c r="D14" s="10">
        <f t="shared" si="3"/>
        <v>104</v>
      </c>
      <c r="E14" s="11">
        <f t="shared" si="1"/>
        <v>5314.4100000000008</v>
      </c>
      <c r="F14" s="11">
        <f t="shared" si="4"/>
        <v>10816</v>
      </c>
      <c r="G14" s="11">
        <f t="shared" si="2"/>
        <v>3397.1400000000003</v>
      </c>
      <c r="H14" s="11">
        <f t="shared" si="5"/>
        <v>4846.4000000000005</v>
      </c>
      <c r="I14" s="11">
        <f t="shared" si="6"/>
        <v>7581.6</v>
      </c>
    </row>
    <row r="15" spans="1:9" x14ac:dyDescent="0.45">
      <c r="A15" s="7">
        <v>14</v>
      </c>
      <c r="B15" s="8">
        <v>51.2</v>
      </c>
      <c r="C15" s="10">
        <f t="shared" si="0"/>
        <v>46.6</v>
      </c>
      <c r="D15" s="10">
        <f t="shared" si="3"/>
        <v>72.900000000000006</v>
      </c>
      <c r="E15" s="11">
        <f t="shared" si="1"/>
        <v>2171.56</v>
      </c>
      <c r="F15" s="11">
        <f t="shared" si="4"/>
        <v>5314.4100000000008</v>
      </c>
      <c r="G15" s="11">
        <f t="shared" si="2"/>
        <v>2385.92</v>
      </c>
      <c r="H15" s="11">
        <f t="shared" si="5"/>
        <v>3732.4800000000005</v>
      </c>
      <c r="I15" s="11">
        <f t="shared" si="6"/>
        <v>3397.1400000000003</v>
      </c>
    </row>
    <row r="16" spans="1:9" x14ac:dyDescent="0.45">
      <c r="A16" s="7">
        <v>15</v>
      </c>
      <c r="B16" s="8">
        <v>37.200000000000003</v>
      </c>
      <c r="C16" s="10">
        <f t="shared" si="0"/>
        <v>51.2</v>
      </c>
      <c r="D16" s="10">
        <f t="shared" si="3"/>
        <v>46.6</v>
      </c>
      <c r="E16" s="11">
        <f t="shared" si="1"/>
        <v>2621.4400000000005</v>
      </c>
      <c r="F16" s="11">
        <f t="shared" si="4"/>
        <v>2171.56</v>
      </c>
      <c r="G16" s="11">
        <f t="shared" si="2"/>
        <v>1904.6400000000003</v>
      </c>
      <c r="H16" s="11">
        <f t="shared" si="5"/>
        <v>1733.5200000000002</v>
      </c>
      <c r="I16" s="11">
        <f t="shared" si="6"/>
        <v>2385.92</v>
      </c>
    </row>
    <row r="17" spans="1:9" x14ac:dyDescent="0.45">
      <c r="A17" s="7">
        <v>16</v>
      </c>
      <c r="B17" s="8">
        <v>109.7</v>
      </c>
      <c r="C17" s="10">
        <f t="shared" si="0"/>
        <v>37.200000000000003</v>
      </c>
      <c r="D17" s="10">
        <f t="shared" si="3"/>
        <v>51.2</v>
      </c>
      <c r="E17" s="11">
        <f t="shared" si="1"/>
        <v>1383.8400000000001</v>
      </c>
      <c r="F17" s="11">
        <f t="shared" si="4"/>
        <v>2621.4400000000005</v>
      </c>
      <c r="G17" s="11">
        <f t="shared" si="2"/>
        <v>4080.8400000000006</v>
      </c>
      <c r="H17" s="11">
        <f t="shared" si="5"/>
        <v>5616.64</v>
      </c>
      <c r="I17" s="11">
        <f t="shared" si="6"/>
        <v>1904.6400000000003</v>
      </c>
    </row>
    <row r="18" spans="1:9" x14ac:dyDescent="0.45">
      <c r="A18" s="7">
        <v>17</v>
      </c>
      <c r="B18" s="8">
        <v>98.4</v>
      </c>
      <c r="C18" s="10">
        <f t="shared" si="0"/>
        <v>109.7</v>
      </c>
      <c r="D18" s="10">
        <f t="shared" si="3"/>
        <v>37.200000000000003</v>
      </c>
      <c r="E18" s="11">
        <f t="shared" si="1"/>
        <v>12034.09</v>
      </c>
      <c r="F18" s="11">
        <f t="shared" si="4"/>
        <v>1383.8400000000001</v>
      </c>
      <c r="G18" s="11">
        <f t="shared" si="2"/>
        <v>10794.480000000001</v>
      </c>
      <c r="H18" s="11">
        <f t="shared" si="5"/>
        <v>3660.4800000000005</v>
      </c>
      <c r="I18" s="11">
        <f t="shared" si="6"/>
        <v>4080.8400000000006</v>
      </c>
    </row>
    <row r="19" spans="1:9" x14ac:dyDescent="0.45">
      <c r="A19" s="7">
        <v>18</v>
      </c>
      <c r="B19" s="8">
        <v>84</v>
      </c>
      <c r="C19" s="10">
        <f t="shared" si="0"/>
        <v>98.4</v>
      </c>
      <c r="D19" s="10">
        <f t="shared" si="3"/>
        <v>109.7</v>
      </c>
      <c r="E19" s="11">
        <f t="shared" si="1"/>
        <v>9682.5600000000013</v>
      </c>
      <c r="F19" s="11">
        <f t="shared" si="4"/>
        <v>12034.09</v>
      </c>
      <c r="G19" s="11">
        <f t="shared" si="2"/>
        <v>8265.6</v>
      </c>
      <c r="H19" s="11">
        <f t="shared" si="5"/>
        <v>9214.8000000000011</v>
      </c>
      <c r="I19" s="11">
        <f t="shared" si="6"/>
        <v>10794.480000000001</v>
      </c>
    </row>
    <row r="20" spans="1:9" x14ac:dyDescent="0.45">
      <c r="A20" s="7">
        <v>19</v>
      </c>
      <c r="B20" s="8">
        <v>87.6</v>
      </c>
      <c r="C20" s="10">
        <f t="shared" si="0"/>
        <v>84</v>
      </c>
      <c r="D20" s="10">
        <f t="shared" si="3"/>
        <v>98.4</v>
      </c>
      <c r="E20" s="11">
        <f t="shared" si="1"/>
        <v>7056</v>
      </c>
      <c r="F20" s="11">
        <f t="shared" si="4"/>
        <v>9682.5600000000013</v>
      </c>
      <c r="G20" s="11">
        <f t="shared" si="2"/>
        <v>7358.4</v>
      </c>
      <c r="H20" s="11">
        <f t="shared" si="5"/>
        <v>8619.84</v>
      </c>
      <c r="I20" s="11">
        <f t="shared" si="6"/>
        <v>8265.6</v>
      </c>
    </row>
    <row r="21" spans="1:9" x14ac:dyDescent="0.45">
      <c r="A21" s="7">
        <v>20</v>
      </c>
      <c r="B21" s="8">
        <v>72.599999999999994</v>
      </c>
      <c r="C21" s="10">
        <f t="shared" si="0"/>
        <v>87.6</v>
      </c>
      <c r="D21" s="10">
        <f t="shared" si="3"/>
        <v>84</v>
      </c>
      <c r="E21" s="11">
        <f t="shared" si="1"/>
        <v>7673.7599999999993</v>
      </c>
      <c r="F21" s="11">
        <f t="shared" si="4"/>
        <v>7056</v>
      </c>
      <c r="G21" s="11">
        <f t="shared" si="2"/>
        <v>6359.7599999999993</v>
      </c>
      <c r="H21" s="11">
        <f t="shared" si="5"/>
        <v>6098.4</v>
      </c>
      <c r="I21" s="11">
        <f t="shared" si="6"/>
        <v>7358.4</v>
      </c>
    </row>
    <row r="22" spans="1:9" x14ac:dyDescent="0.45">
      <c r="A22" s="7">
        <v>21</v>
      </c>
      <c r="B22" s="8">
        <v>137.1</v>
      </c>
      <c r="C22" s="10">
        <f t="shared" si="0"/>
        <v>72.599999999999994</v>
      </c>
      <c r="D22" s="10">
        <f t="shared" si="3"/>
        <v>87.6</v>
      </c>
      <c r="E22" s="11">
        <f t="shared" si="1"/>
        <v>5270.7599999999993</v>
      </c>
      <c r="F22" s="11">
        <f t="shared" si="4"/>
        <v>7673.7599999999993</v>
      </c>
      <c r="G22" s="11">
        <f t="shared" si="2"/>
        <v>9953.4599999999991</v>
      </c>
      <c r="H22" s="11">
        <f t="shared" si="5"/>
        <v>12009.96</v>
      </c>
      <c r="I22" s="11">
        <f t="shared" si="6"/>
        <v>6359.7599999999993</v>
      </c>
    </row>
    <row r="23" spans="1:9" x14ac:dyDescent="0.45">
      <c r="A23" s="7">
        <v>22</v>
      </c>
      <c r="B23" s="8">
        <v>111.9</v>
      </c>
      <c r="C23" s="10">
        <f t="shared" si="0"/>
        <v>137.1</v>
      </c>
      <c r="D23" s="10">
        <f t="shared" si="3"/>
        <v>72.599999999999994</v>
      </c>
      <c r="E23" s="11">
        <f t="shared" si="1"/>
        <v>18796.41</v>
      </c>
      <c r="F23" s="11">
        <f t="shared" si="4"/>
        <v>5270.7599999999993</v>
      </c>
      <c r="G23" s="11">
        <f t="shared" si="2"/>
        <v>15341.49</v>
      </c>
      <c r="H23" s="11">
        <f t="shared" si="5"/>
        <v>8123.94</v>
      </c>
      <c r="I23" s="11">
        <f t="shared" si="6"/>
        <v>9953.4599999999991</v>
      </c>
    </row>
    <row r="24" spans="1:9" x14ac:dyDescent="0.45">
      <c r="A24" s="7">
        <v>23</v>
      </c>
      <c r="B24" s="8">
        <v>51.5</v>
      </c>
      <c r="C24" s="10">
        <f t="shared" si="0"/>
        <v>111.9</v>
      </c>
      <c r="D24" s="10">
        <f t="shared" si="3"/>
        <v>137.1</v>
      </c>
      <c r="E24" s="11">
        <f t="shared" si="1"/>
        <v>12521.61</v>
      </c>
      <c r="F24" s="11">
        <f t="shared" si="4"/>
        <v>18796.41</v>
      </c>
      <c r="G24" s="11">
        <f t="shared" si="2"/>
        <v>5762.85</v>
      </c>
      <c r="H24" s="11">
        <f t="shared" si="5"/>
        <v>7060.65</v>
      </c>
      <c r="I24" s="11">
        <f t="shared" si="6"/>
        <v>15341.49</v>
      </c>
    </row>
    <row r="25" spans="1:9" x14ac:dyDescent="0.45">
      <c r="A25" s="7">
        <v>24</v>
      </c>
      <c r="B25" s="8">
        <v>79.599999999999994</v>
      </c>
      <c r="C25" s="10">
        <f t="shared" si="0"/>
        <v>51.5</v>
      </c>
      <c r="D25" s="10">
        <f t="shared" si="3"/>
        <v>111.9</v>
      </c>
      <c r="E25" s="11">
        <f t="shared" si="1"/>
        <v>2652.25</v>
      </c>
      <c r="F25" s="11">
        <f t="shared" si="4"/>
        <v>12521.61</v>
      </c>
      <c r="G25" s="11">
        <f t="shared" si="2"/>
        <v>4099.3999999999996</v>
      </c>
      <c r="H25" s="11">
        <f t="shared" si="5"/>
        <v>8907.24</v>
      </c>
      <c r="I25" s="11">
        <f t="shared" si="6"/>
        <v>5762.85</v>
      </c>
    </row>
    <row r="26" spans="1:9" x14ac:dyDescent="0.45">
      <c r="A26" s="7">
        <v>25</v>
      </c>
      <c r="B26" s="8">
        <v>66.3</v>
      </c>
      <c r="C26" s="10">
        <f t="shared" si="0"/>
        <v>79.599999999999994</v>
      </c>
      <c r="D26" s="10">
        <f t="shared" si="3"/>
        <v>51.5</v>
      </c>
      <c r="E26" s="11">
        <f t="shared" si="1"/>
        <v>6336.1599999999989</v>
      </c>
      <c r="F26" s="11">
        <f t="shared" si="4"/>
        <v>2652.25</v>
      </c>
      <c r="G26" s="11">
        <f t="shared" si="2"/>
        <v>5277.48</v>
      </c>
      <c r="H26" s="11">
        <f t="shared" si="5"/>
        <v>3414.45</v>
      </c>
      <c r="I26" s="11">
        <f t="shared" si="6"/>
        <v>4099.3999999999996</v>
      </c>
    </row>
    <row r="27" spans="1:9" x14ac:dyDescent="0.45">
      <c r="A27" s="7">
        <v>26</v>
      </c>
      <c r="B27" s="8">
        <v>539.6</v>
      </c>
      <c r="C27" s="10">
        <f t="shared" si="0"/>
        <v>66.3</v>
      </c>
      <c r="D27" s="10">
        <f t="shared" si="3"/>
        <v>79.599999999999994</v>
      </c>
      <c r="E27" s="11">
        <f t="shared" si="1"/>
        <v>4395.6899999999996</v>
      </c>
      <c r="F27" s="11">
        <f t="shared" si="4"/>
        <v>6336.1599999999989</v>
      </c>
      <c r="G27" s="11">
        <f t="shared" si="2"/>
        <v>35775.480000000003</v>
      </c>
      <c r="H27" s="11">
        <f t="shared" si="5"/>
        <v>42952.159999999996</v>
      </c>
      <c r="I27" s="11">
        <f t="shared" si="6"/>
        <v>5277.48</v>
      </c>
    </row>
    <row r="28" spans="1:9" x14ac:dyDescent="0.45">
      <c r="A28" s="7">
        <v>27</v>
      </c>
      <c r="B28" s="8">
        <v>1032.3</v>
      </c>
      <c r="C28" s="10">
        <f t="shared" si="0"/>
        <v>539.6</v>
      </c>
      <c r="D28" s="10">
        <f t="shared" si="3"/>
        <v>66.3</v>
      </c>
      <c r="E28" s="11">
        <f t="shared" si="1"/>
        <v>291168.16000000003</v>
      </c>
      <c r="F28" s="11">
        <f t="shared" si="4"/>
        <v>4395.6899999999996</v>
      </c>
      <c r="G28" s="11">
        <f t="shared" si="2"/>
        <v>557029.07999999996</v>
      </c>
      <c r="H28" s="11">
        <f t="shared" si="5"/>
        <v>68441.489999999991</v>
      </c>
      <c r="I28" s="11">
        <f t="shared" si="6"/>
        <v>35775.480000000003</v>
      </c>
    </row>
    <row r="29" spans="1:9" x14ac:dyDescent="0.45">
      <c r="A29" s="7">
        <v>28</v>
      </c>
      <c r="B29" s="8">
        <v>867.6</v>
      </c>
      <c r="C29" s="10">
        <f t="shared" si="0"/>
        <v>1032.3</v>
      </c>
      <c r="D29" s="10">
        <f t="shared" si="3"/>
        <v>539.6</v>
      </c>
      <c r="E29" s="11">
        <f t="shared" si="1"/>
        <v>1065643.2899999998</v>
      </c>
      <c r="F29" s="11">
        <f t="shared" si="4"/>
        <v>291168.16000000003</v>
      </c>
      <c r="G29" s="11">
        <f t="shared" si="2"/>
        <v>895623.48</v>
      </c>
      <c r="H29" s="11">
        <f t="shared" si="5"/>
        <v>468156.96</v>
      </c>
      <c r="I29" s="11">
        <f t="shared" si="6"/>
        <v>557029.07999999996</v>
      </c>
    </row>
    <row r="30" spans="1:9" x14ac:dyDescent="0.45">
      <c r="A30" s="7">
        <v>29</v>
      </c>
      <c r="B30" s="8">
        <v>251.4</v>
      </c>
      <c r="C30" s="10">
        <f t="shared" si="0"/>
        <v>867.6</v>
      </c>
      <c r="D30" s="10">
        <f t="shared" si="3"/>
        <v>1032.3</v>
      </c>
      <c r="E30" s="11">
        <f t="shared" si="1"/>
        <v>752729.76</v>
      </c>
      <c r="F30" s="11">
        <f t="shared" si="4"/>
        <v>1065643.2899999998</v>
      </c>
      <c r="G30" s="11">
        <f t="shared" si="2"/>
        <v>218114.64</v>
      </c>
      <c r="H30" s="11">
        <f t="shared" si="5"/>
        <v>259520.22</v>
      </c>
      <c r="I30" s="11">
        <f t="shared" si="6"/>
        <v>895623.48</v>
      </c>
    </row>
    <row r="31" spans="1:9" x14ac:dyDescent="0.45">
      <c r="A31" s="7">
        <v>30</v>
      </c>
      <c r="B31" s="8">
        <v>151.1</v>
      </c>
      <c r="C31" s="10">
        <f t="shared" si="0"/>
        <v>251.4</v>
      </c>
      <c r="D31" s="10">
        <f t="shared" si="3"/>
        <v>867.6</v>
      </c>
      <c r="E31" s="11">
        <f t="shared" si="1"/>
        <v>63201.960000000006</v>
      </c>
      <c r="F31" s="11">
        <f t="shared" si="4"/>
        <v>752729.76</v>
      </c>
      <c r="G31" s="11">
        <f t="shared" si="2"/>
        <v>37986.54</v>
      </c>
      <c r="H31" s="11">
        <f t="shared" si="5"/>
        <v>131094.35999999999</v>
      </c>
      <c r="I31" s="11">
        <f t="shared" si="6"/>
        <v>218114.64</v>
      </c>
    </row>
    <row r="32" spans="1:9" x14ac:dyDescent="0.45">
      <c r="A32" s="7">
        <v>31</v>
      </c>
      <c r="B32" s="8">
        <v>75.8</v>
      </c>
      <c r="C32" s="10">
        <f t="shared" si="0"/>
        <v>151.1</v>
      </c>
      <c r="D32" s="10">
        <f t="shared" si="3"/>
        <v>251.4</v>
      </c>
      <c r="E32" s="11">
        <f t="shared" si="1"/>
        <v>22831.21</v>
      </c>
      <c r="F32" s="11">
        <f t="shared" si="4"/>
        <v>63201.960000000006</v>
      </c>
      <c r="G32" s="11">
        <f t="shared" si="2"/>
        <v>11453.38</v>
      </c>
      <c r="H32" s="11">
        <f t="shared" si="5"/>
        <v>19056.12</v>
      </c>
      <c r="I32" s="11">
        <f t="shared" si="6"/>
        <v>37986.54</v>
      </c>
    </row>
    <row r="33" spans="1:9" x14ac:dyDescent="0.45">
      <c r="A33" s="7">
        <v>32</v>
      </c>
      <c r="B33" s="8">
        <v>191.3</v>
      </c>
      <c r="C33" s="10">
        <f t="shared" si="0"/>
        <v>75.8</v>
      </c>
      <c r="D33" s="10">
        <f t="shared" si="3"/>
        <v>151.1</v>
      </c>
      <c r="E33" s="11">
        <f t="shared" si="1"/>
        <v>5745.6399999999994</v>
      </c>
      <c r="F33" s="11">
        <f t="shared" si="4"/>
        <v>22831.21</v>
      </c>
      <c r="G33" s="11">
        <f t="shared" si="2"/>
        <v>14500.54</v>
      </c>
      <c r="H33" s="11">
        <f t="shared" si="5"/>
        <v>28905.43</v>
      </c>
      <c r="I33" s="11">
        <f t="shared" si="6"/>
        <v>11453.38</v>
      </c>
    </row>
    <row r="34" spans="1:9" x14ac:dyDescent="0.45">
      <c r="A34" s="7">
        <v>33</v>
      </c>
      <c r="B34" s="8">
        <v>155.1</v>
      </c>
      <c r="C34" s="10">
        <f t="shared" si="0"/>
        <v>191.3</v>
      </c>
      <c r="D34" s="10">
        <f t="shared" si="3"/>
        <v>75.8</v>
      </c>
      <c r="E34" s="11">
        <f t="shared" si="1"/>
        <v>36595.69</v>
      </c>
      <c r="F34" s="11">
        <f t="shared" si="4"/>
        <v>5745.6399999999994</v>
      </c>
      <c r="G34" s="11">
        <f t="shared" si="2"/>
        <v>29670.63</v>
      </c>
      <c r="H34" s="11">
        <f t="shared" si="5"/>
        <v>11756.58</v>
      </c>
      <c r="I34" s="11">
        <f t="shared" si="6"/>
        <v>14500.54</v>
      </c>
    </row>
    <row r="35" spans="1:9" x14ac:dyDescent="0.45">
      <c r="A35" s="7">
        <v>34</v>
      </c>
      <c r="B35" s="8">
        <v>239.4</v>
      </c>
      <c r="C35" s="10">
        <f t="shared" ref="C35:C66" si="7">B34</f>
        <v>155.1</v>
      </c>
      <c r="D35" s="10">
        <f t="shared" si="3"/>
        <v>191.3</v>
      </c>
      <c r="E35" s="11">
        <f t="shared" ref="E35:E66" si="8">C35^2</f>
        <v>24056.01</v>
      </c>
      <c r="F35" s="11">
        <f t="shared" si="4"/>
        <v>36595.69</v>
      </c>
      <c r="G35" s="11">
        <f t="shared" ref="G35:G66" si="9">B35*C35</f>
        <v>37130.94</v>
      </c>
      <c r="H35" s="11">
        <f t="shared" si="5"/>
        <v>45797.22</v>
      </c>
      <c r="I35" s="11">
        <f t="shared" si="6"/>
        <v>29670.63</v>
      </c>
    </row>
    <row r="36" spans="1:9" x14ac:dyDescent="0.45">
      <c r="A36" s="7">
        <v>35</v>
      </c>
      <c r="B36" s="8">
        <v>118.7</v>
      </c>
      <c r="C36" s="10">
        <f t="shared" si="7"/>
        <v>239.4</v>
      </c>
      <c r="D36" s="10">
        <f t="shared" ref="D36:D67" si="10">B34</f>
        <v>155.1</v>
      </c>
      <c r="E36" s="11">
        <f t="shared" si="8"/>
        <v>57312.36</v>
      </c>
      <c r="F36" s="11">
        <f t="shared" ref="F36:F67" si="11">D36^2</f>
        <v>24056.01</v>
      </c>
      <c r="G36" s="11">
        <f t="shared" si="9"/>
        <v>28416.780000000002</v>
      </c>
      <c r="H36" s="11">
        <f t="shared" ref="H36:H67" si="12">B36*D36</f>
        <v>18410.37</v>
      </c>
      <c r="I36" s="11">
        <f t="shared" ref="I36:I67" si="13">C36*D36</f>
        <v>37130.94</v>
      </c>
    </row>
    <row r="37" spans="1:9" x14ac:dyDescent="0.45">
      <c r="A37" s="7">
        <v>36</v>
      </c>
      <c r="B37" s="8">
        <v>263.3</v>
      </c>
      <c r="C37" s="10">
        <f t="shared" si="7"/>
        <v>118.7</v>
      </c>
      <c r="D37" s="10">
        <f t="shared" si="10"/>
        <v>239.4</v>
      </c>
      <c r="E37" s="11">
        <f t="shared" si="8"/>
        <v>14089.69</v>
      </c>
      <c r="F37" s="11">
        <f t="shared" si="11"/>
        <v>57312.36</v>
      </c>
      <c r="G37" s="11">
        <f t="shared" si="9"/>
        <v>31253.710000000003</v>
      </c>
      <c r="H37" s="11">
        <f t="shared" si="12"/>
        <v>63034.020000000004</v>
      </c>
      <c r="I37" s="11">
        <f t="shared" si="13"/>
        <v>28416.780000000002</v>
      </c>
    </row>
    <row r="38" spans="1:9" x14ac:dyDescent="0.45">
      <c r="A38" s="7">
        <v>37</v>
      </c>
      <c r="B38" s="8">
        <v>262.8</v>
      </c>
      <c r="C38" s="10">
        <f t="shared" si="7"/>
        <v>263.3</v>
      </c>
      <c r="D38" s="10">
        <f t="shared" si="10"/>
        <v>118.7</v>
      </c>
      <c r="E38" s="11">
        <f t="shared" si="8"/>
        <v>69326.89</v>
      </c>
      <c r="F38" s="11">
        <f t="shared" si="11"/>
        <v>14089.69</v>
      </c>
      <c r="G38" s="11">
        <f t="shared" si="9"/>
        <v>69195.240000000005</v>
      </c>
      <c r="H38" s="11">
        <f t="shared" si="12"/>
        <v>31194.36</v>
      </c>
      <c r="I38" s="11">
        <f t="shared" si="13"/>
        <v>31253.710000000003</v>
      </c>
    </row>
    <row r="39" spans="1:9" x14ac:dyDescent="0.45">
      <c r="A39" s="7">
        <v>38</v>
      </c>
      <c r="B39" s="8">
        <v>231.4</v>
      </c>
      <c r="C39" s="10">
        <f t="shared" si="7"/>
        <v>262.8</v>
      </c>
      <c r="D39" s="10">
        <f t="shared" si="10"/>
        <v>263.3</v>
      </c>
      <c r="E39" s="11">
        <f t="shared" si="8"/>
        <v>69063.840000000011</v>
      </c>
      <c r="F39" s="11">
        <f t="shared" si="11"/>
        <v>69326.89</v>
      </c>
      <c r="G39" s="11">
        <f t="shared" si="9"/>
        <v>60811.920000000006</v>
      </c>
      <c r="H39" s="11">
        <f t="shared" si="12"/>
        <v>60927.62</v>
      </c>
      <c r="I39" s="11">
        <f t="shared" si="13"/>
        <v>69195.240000000005</v>
      </c>
    </row>
    <row r="40" spans="1:9" x14ac:dyDescent="0.45">
      <c r="A40" s="7">
        <v>39</v>
      </c>
      <c r="B40" s="8">
        <v>303.7</v>
      </c>
      <c r="C40" s="10">
        <f t="shared" si="7"/>
        <v>231.4</v>
      </c>
      <c r="D40" s="10">
        <f t="shared" si="10"/>
        <v>262.8</v>
      </c>
      <c r="E40" s="11">
        <f t="shared" si="8"/>
        <v>53545.96</v>
      </c>
      <c r="F40" s="11">
        <f t="shared" si="11"/>
        <v>69063.840000000011</v>
      </c>
      <c r="G40" s="11">
        <f t="shared" si="9"/>
        <v>70276.179999999993</v>
      </c>
      <c r="H40" s="11">
        <f t="shared" si="12"/>
        <v>79812.36</v>
      </c>
      <c r="I40" s="11">
        <f t="shared" si="13"/>
        <v>60811.920000000006</v>
      </c>
    </row>
    <row r="41" spans="1:9" x14ac:dyDescent="0.45">
      <c r="A41" s="7">
        <v>40</v>
      </c>
      <c r="B41" s="8">
        <v>283.5</v>
      </c>
      <c r="C41" s="10">
        <f t="shared" si="7"/>
        <v>303.7</v>
      </c>
      <c r="D41" s="10">
        <f t="shared" si="10"/>
        <v>231.4</v>
      </c>
      <c r="E41" s="11">
        <f t="shared" si="8"/>
        <v>92233.689999999988</v>
      </c>
      <c r="F41" s="11">
        <f t="shared" si="11"/>
        <v>53545.96</v>
      </c>
      <c r="G41" s="11">
        <f t="shared" si="9"/>
        <v>86098.95</v>
      </c>
      <c r="H41" s="11">
        <f t="shared" si="12"/>
        <v>65601.900000000009</v>
      </c>
      <c r="I41" s="11">
        <f t="shared" si="13"/>
        <v>70276.179999999993</v>
      </c>
    </row>
    <row r="42" spans="1:9" x14ac:dyDescent="0.45">
      <c r="A42" s="7">
        <v>41</v>
      </c>
      <c r="B42" s="8">
        <v>17.399999999999999</v>
      </c>
      <c r="C42" s="10">
        <f t="shared" si="7"/>
        <v>283.5</v>
      </c>
      <c r="D42" s="10">
        <f t="shared" si="10"/>
        <v>303.7</v>
      </c>
      <c r="E42" s="11">
        <f t="shared" si="8"/>
        <v>80372.25</v>
      </c>
      <c r="F42" s="11">
        <f t="shared" si="11"/>
        <v>92233.689999999988</v>
      </c>
      <c r="G42" s="11">
        <f t="shared" si="9"/>
        <v>4932.8999999999996</v>
      </c>
      <c r="H42" s="11">
        <f t="shared" si="12"/>
        <v>5284.3799999999992</v>
      </c>
      <c r="I42" s="11">
        <f t="shared" si="13"/>
        <v>86098.95</v>
      </c>
    </row>
    <row r="43" spans="1:9" x14ac:dyDescent="0.45">
      <c r="A43" s="7">
        <v>42</v>
      </c>
      <c r="B43" s="8">
        <v>155.5</v>
      </c>
      <c r="C43" s="10">
        <f t="shared" si="7"/>
        <v>17.399999999999999</v>
      </c>
      <c r="D43" s="10">
        <f t="shared" si="10"/>
        <v>283.5</v>
      </c>
      <c r="E43" s="11">
        <f t="shared" si="8"/>
        <v>302.75999999999993</v>
      </c>
      <c r="F43" s="11">
        <f t="shared" si="11"/>
        <v>80372.25</v>
      </c>
      <c r="G43" s="11">
        <f t="shared" si="9"/>
        <v>2705.7</v>
      </c>
      <c r="H43" s="11">
        <f t="shared" si="12"/>
        <v>44084.25</v>
      </c>
      <c r="I43" s="11">
        <f t="shared" si="13"/>
        <v>4932.8999999999996</v>
      </c>
    </row>
    <row r="44" spans="1:9" x14ac:dyDescent="0.45">
      <c r="A44" s="7">
        <v>43</v>
      </c>
      <c r="B44" s="8">
        <v>207.6</v>
      </c>
      <c r="C44" s="10">
        <f t="shared" si="7"/>
        <v>155.5</v>
      </c>
      <c r="D44" s="10">
        <f t="shared" si="10"/>
        <v>17.399999999999999</v>
      </c>
      <c r="E44" s="11">
        <f t="shared" si="8"/>
        <v>24180.25</v>
      </c>
      <c r="F44" s="11">
        <f t="shared" si="11"/>
        <v>302.75999999999993</v>
      </c>
      <c r="G44" s="11">
        <f t="shared" si="9"/>
        <v>32281.8</v>
      </c>
      <c r="H44" s="11">
        <f t="shared" si="12"/>
        <v>3612.24</v>
      </c>
      <c r="I44" s="11">
        <f t="shared" si="13"/>
        <v>2705.7</v>
      </c>
    </row>
    <row r="45" spans="1:9" x14ac:dyDescent="0.45">
      <c r="A45" s="7">
        <v>44</v>
      </c>
      <c r="B45" s="8">
        <v>140.1</v>
      </c>
      <c r="C45" s="10">
        <f t="shared" si="7"/>
        <v>207.6</v>
      </c>
      <c r="D45" s="10">
        <f t="shared" si="10"/>
        <v>155.5</v>
      </c>
      <c r="E45" s="11">
        <f t="shared" si="8"/>
        <v>43097.759999999995</v>
      </c>
      <c r="F45" s="11">
        <f t="shared" si="11"/>
        <v>24180.25</v>
      </c>
      <c r="G45" s="11">
        <f t="shared" si="9"/>
        <v>29084.76</v>
      </c>
      <c r="H45" s="11">
        <f t="shared" si="12"/>
        <v>21785.55</v>
      </c>
      <c r="I45" s="11">
        <f t="shared" si="13"/>
        <v>32281.8</v>
      </c>
    </row>
    <row r="46" spans="1:9" x14ac:dyDescent="0.45">
      <c r="A46" s="7">
        <v>45</v>
      </c>
      <c r="B46" s="8">
        <v>179.6</v>
      </c>
      <c r="C46" s="10">
        <f t="shared" si="7"/>
        <v>140.1</v>
      </c>
      <c r="D46" s="10">
        <f t="shared" si="10"/>
        <v>207.6</v>
      </c>
      <c r="E46" s="11">
        <f t="shared" si="8"/>
        <v>19628.009999999998</v>
      </c>
      <c r="F46" s="11">
        <f t="shared" si="11"/>
        <v>43097.759999999995</v>
      </c>
      <c r="G46" s="11">
        <f t="shared" si="9"/>
        <v>25161.96</v>
      </c>
      <c r="H46" s="11">
        <f t="shared" si="12"/>
        <v>37284.959999999999</v>
      </c>
      <c r="I46" s="11">
        <f t="shared" si="13"/>
        <v>29084.76</v>
      </c>
    </row>
    <row r="47" spans="1:9" x14ac:dyDescent="0.45">
      <c r="A47" s="7">
        <v>46</v>
      </c>
      <c r="B47" s="8">
        <v>174.9</v>
      </c>
      <c r="C47" s="10">
        <f t="shared" si="7"/>
        <v>179.6</v>
      </c>
      <c r="D47" s="10">
        <f t="shared" si="10"/>
        <v>140.1</v>
      </c>
      <c r="E47" s="11">
        <f t="shared" si="8"/>
        <v>32256.159999999996</v>
      </c>
      <c r="F47" s="11">
        <f t="shared" si="11"/>
        <v>19628.009999999998</v>
      </c>
      <c r="G47" s="11">
        <f t="shared" si="9"/>
        <v>31412.04</v>
      </c>
      <c r="H47" s="11">
        <f t="shared" si="12"/>
        <v>24503.49</v>
      </c>
      <c r="I47" s="11">
        <f t="shared" si="13"/>
        <v>25161.96</v>
      </c>
    </row>
    <row r="48" spans="1:9" x14ac:dyDescent="0.45">
      <c r="A48" s="7">
        <v>47</v>
      </c>
      <c r="B48" s="8">
        <v>163</v>
      </c>
      <c r="C48" s="10">
        <f t="shared" si="7"/>
        <v>174.9</v>
      </c>
      <c r="D48" s="10">
        <f t="shared" si="10"/>
        <v>179.6</v>
      </c>
      <c r="E48" s="11">
        <f t="shared" si="8"/>
        <v>30590.010000000002</v>
      </c>
      <c r="F48" s="11">
        <f t="shared" si="11"/>
        <v>32256.159999999996</v>
      </c>
      <c r="G48" s="11">
        <f t="shared" si="9"/>
        <v>28508.7</v>
      </c>
      <c r="H48" s="11">
        <f t="shared" si="12"/>
        <v>29274.799999999999</v>
      </c>
      <c r="I48" s="11">
        <f t="shared" si="13"/>
        <v>31412.04</v>
      </c>
    </row>
    <row r="49" spans="1:9" x14ac:dyDescent="0.45">
      <c r="A49" s="7">
        <v>48</v>
      </c>
      <c r="B49" s="8">
        <v>151.6</v>
      </c>
      <c r="C49" s="10">
        <f t="shared" si="7"/>
        <v>163</v>
      </c>
      <c r="D49" s="10">
        <f t="shared" si="10"/>
        <v>174.9</v>
      </c>
      <c r="E49" s="11">
        <f t="shared" si="8"/>
        <v>26569</v>
      </c>
      <c r="F49" s="11">
        <f t="shared" si="11"/>
        <v>30590.010000000002</v>
      </c>
      <c r="G49" s="11">
        <f t="shared" si="9"/>
        <v>24710.799999999999</v>
      </c>
      <c r="H49" s="11">
        <f t="shared" si="12"/>
        <v>26514.84</v>
      </c>
      <c r="I49" s="11">
        <f t="shared" si="13"/>
        <v>28508.7</v>
      </c>
    </row>
    <row r="50" spans="1:9" x14ac:dyDescent="0.45">
      <c r="A50" s="7">
        <v>49</v>
      </c>
      <c r="B50" s="8">
        <v>75.099999999999994</v>
      </c>
      <c r="C50" s="10">
        <f t="shared" si="7"/>
        <v>151.6</v>
      </c>
      <c r="D50" s="10">
        <f t="shared" si="10"/>
        <v>163</v>
      </c>
      <c r="E50" s="11">
        <f t="shared" si="8"/>
        <v>22982.559999999998</v>
      </c>
      <c r="F50" s="11">
        <f t="shared" si="11"/>
        <v>26569</v>
      </c>
      <c r="G50" s="11">
        <f t="shared" si="9"/>
        <v>11385.159999999998</v>
      </c>
      <c r="H50" s="11">
        <f t="shared" si="12"/>
        <v>12241.3</v>
      </c>
      <c r="I50" s="11">
        <f t="shared" si="13"/>
        <v>24710.799999999999</v>
      </c>
    </row>
    <row r="51" spans="1:9" x14ac:dyDescent="0.45">
      <c r="A51" s="7">
        <v>50</v>
      </c>
      <c r="B51" s="8">
        <v>62</v>
      </c>
      <c r="C51" s="10">
        <f t="shared" si="7"/>
        <v>75.099999999999994</v>
      </c>
      <c r="D51" s="10">
        <f t="shared" si="10"/>
        <v>151.6</v>
      </c>
      <c r="E51" s="11">
        <f t="shared" si="8"/>
        <v>5640.0099999999993</v>
      </c>
      <c r="F51" s="11">
        <f t="shared" si="11"/>
        <v>22982.559999999998</v>
      </c>
      <c r="G51" s="11">
        <f t="shared" si="9"/>
        <v>4656.2</v>
      </c>
      <c r="H51" s="11">
        <f t="shared" si="12"/>
        <v>9399.1999999999989</v>
      </c>
      <c r="I51" s="11">
        <f t="shared" si="13"/>
        <v>11385.159999999998</v>
      </c>
    </row>
    <row r="52" spans="1:9" x14ac:dyDescent="0.45">
      <c r="A52" s="7">
        <v>51</v>
      </c>
      <c r="B52" s="8">
        <v>-17.8</v>
      </c>
      <c r="C52" s="10">
        <f t="shared" si="7"/>
        <v>62</v>
      </c>
      <c r="D52" s="10">
        <f t="shared" si="10"/>
        <v>75.099999999999994</v>
      </c>
      <c r="E52" s="11">
        <f t="shared" si="8"/>
        <v>3844</v>
      </c>
      <c r="F52" s="11">
        <f t="shared" si="11"/>
        <v>5640.0099999999993</v>
      </c>
      <c r="G52" s="11">
        <f t="shared" si="9"/>
        <v>-1103.6000000000001</v>
      </c>
      <c r="H52" s="11">
        <f t="shared" si="12"/>
        <v>-1336.78</v>
      </c>
      <c r="I52" s="11">
        <f t="shared" si="13"/>
        <v>4656.2</v>
      </c>
    </row>
    <row r="53" spans="1:9" x14ac:dyDescent="0.45">
      <c r="A53" s="7">
        <v>52</v>
      </c>
      <c r="B53" s="8">
        <v>-49.5</v>
      </c>
      <c r="C53" s="10">
        <f t="shared" si="7"/>
        <v>-17.8</v>
      </c>
      <c r="D53" s="10">
        <f t="shared" si="10"/>
        <v>62</v>
      </c>
      <c r="E53" s="11">
        <f t="shared" si="8"/>
        <v>316.84000000000003</v>
      </c>
      <c r="F53" s="11">
        <f t="shared" si="11"/>
        <v>3844</v>
      </c>
      <c r="G53" s="11">
        <f t="shared" si="9"/>
        <v>881.1</v>
      </c>
      <c r="H53" s="11">
        <f t="shared" si="12"/>
        <v>-3069</v>
      </c>
      <c r="I53" s="11">
        <f t="shared" si="13"/>
        <v>-1103.6000000000001</v>
      </c>
    </row>
    <row r="54" spans="1:9" x14ac:dyDescent="0.45">
      <c r="A54" s="7">
        <v>53</v>
      </c>
      <c r="B54" s="8">
        <v>-68.400000000000006</v>
      </c>
      <c r="C54" s="10">
        <f t="shared" si="7"/>
        <v>-49.5</v>
      </c>
      <c r="D54" s="10">
        <f t="shared" si="10"/>
        <v>-17.8</v>
      </c>
      <c r="E54" s="11">
        <f t="shared" si="8"/>
        <v>2450.25</v>
      </c>
      <c r="F54" s="11">
        <f t="shared" si="11"/>
        <v>316.84000000000003</v>
      </c>
      <c r="G54" s="11">
        <f t="shared" si="9"/>
        <v>3385.8</v>
      </c>
      <c r="H54" s="11">
        <f t="shared" si="12"/>
        <v>1217.5200000000002</v>
      </c>
      <c r="I54" s="11">
        <f t="shared" si="13"/>
        <v>881.1</v>
      </c>
    </row>
    <row r="55" spans="1:9" x14ac:dyDescent="0.45">
      <c r="A55" s="7">
        <v>54</v>
      </c>
      <c r="B55" s="8">
        <v>1.4</v>
      </c>
      <c r="C55" s="10">
        <f t="shared" si="7"/>
        <v>-68.400000000000006</v>
      </c>
      <c r="D55" s="10">
        <f t="shared" si="10"/>
        <v>-49.5</v>
      </c>
      <c r="E55" s="11">
        <f t="shared" si="8"/>
        <v>4678.5600000000004</v>
      </c>
      <c r="F55" s="11">
        <f t="shared" si="11"/>
        <v>2450.25</v>
      </c>
      <c r="G55" s="11">
        <f t="shared" si="9"/>
        <v>-95.76</v>
      </c>
      <c r="H55" s="11">
        <f t="shared" si="12"/>
        <v>-69.3</v>
      </c>
      <c r="I55" s="11">
        <f t="shared" si="13"/>
        <v>3385.8</v>
      </c>
    </row>
    <row r="56" spans="1:9" x14ac:dyDescent="0.45">
      <c r="A56" s="7">
        <v>55</v>
      </c>
      <c r="B56" s="8">
        <v>-14.5</v>
      </c>
      <c r="C56" s="10">
        <f t="shared" si="7"/>
        <v>1.4</v>
      </c>
      <c r="D56" s="10">
        <f t="shared" si="10"/>
        <v>-68.400000000000006</v>
      </c>
      <c r="E56" s="11">
        <f t="shared" si="8"/>
        <v>1.9599999999999997</v>
      </c>
      <c r="F56" s="11">
        <f t="shared" si="11"/>
        <v>4678.5600000000004</v>
      </c>
      <c r="G56" s="11">
        <f t="shared" si="9"/>
        <v>-20.299999999999997</v>
      </c>
      <c r="H56" s="11">
        <f t="shared" si="12"/>
        <v>991.80000000000007</v>
      </c>
      <c r="I56" s="11">
        <f t="shared" si="13"/>
        <v>-95.76</v>
      </c>
    </row>
    <row r="57" spans="1:9" x14ac:dyDescent="0.45">
      <c r="A57" s="7">
        <v>56</v>
      </c>
      <c r="B57" s="8">
        <v>-101.7</v>
      </c>
      <c r="C57" s="10">
        <f t="shared" si="7"/>
        <v>-14.5</v>
      </c>
      <c r="D57" s="10">
        <f t="shared" si="10"/>
        <v>1.4</v>
      </c>
      <c r="E57" s="11">
        <f t="shared" si="8"/>
        <v>210.25</v>
      </c>
      <c r="F57" s="11">
        <f t="shared" si="11"/>
        <v>1.9599999999999997</v>
      </c>
      <c r="G57" s="11">
        <f t="shared" si="9"/>
        <v>1474.65</v>
      </c>
      <c r="H57" s="11">
        <f t="shared" si="12"/>
        <v>-142.38</v>
      </c>
      <c r="I57" s="11">
        <f t="shared" si="13"/>
        <v>-20.299999999999997</v>
      </c>
    </row>
    <row r="58" spans="1:9" x14ac:dyDescent="0.45">
      <c r="A58" s="7">
        <v>57</v>
      </c>
      <c r="B58" s="8">
        <v>-75</v>
      </c>
      <c r="C58" s="10">
        <f t="shared" si="7"/>
        <v>-101.7</v>
      </c>
      <c r="D58" s="10">
        <f t="shared" si="10"/>
        <v>-14.5</v>
      </c>
      <c r="E58" s="11">
        <f t="shared" si="8"/>
        <v>10342.890000000001</v>
      </c>
      <c r="F58" s="11">
        <f t="shared" si="11"/>
        <v>210.25</v>
      </c>
      <c r="G58" s="11">
        <f t="shared" si="9"/>
        <v>7627.5</v>
      </c>
      <c r="H58" s="11">
        <f t="shared" si="12"/>
        <v>1087.5</v>
      </c>
      <c r="I58" s="11">
        <f t="shared" si="13"/>
        <v>1474.65</v>
      </c>
    </row>
    <row r="59" spans="1:9" x14ac:dyDescent="0.45">
      <c r="A59" s="7">
        <v>58</v>
      </c>
      <c r="B59" s="8">
        <v>-55</v>
      </c>
      <c r="C59" s="10">
        <f t="shared" si="7"/>
        <v>-75</v>
      </c>
      <c r="D59" s="10">
        <f t="shared" si="10"/>
        <v>-101.7</v>
      </c>
      <c r="E59" s="11">
        <f t="shared" si="8"/>
        <v>5625</v>
      </c>
      <c r="F59" s="11">
        <f t="shared" si="11"/>
        <v>10342.890000000001</v>
      </c>
      <c r="G59" s="11">
        <f t="shared" si="9"/>
        <v>4125</v>
      </c>
      <c r="H59" s="11">
        <f t="shared" si="12"/>
        <v>5593.5</v>
      </c>
      <c r="I59" s="11">
        <f t="shared" si="13"/>
        <v>7627.5</v>
      </c>
    </row>
    <row r="60" spans="1:9" x14ac:dyDescent="0.45">
      <c r="A60" s="7">
        <v>59</v>
      </c>
      <c r="B60" s="8">
        <v>-115.8</v>
      </c>
      <c r="C60" s="10">
        <f t="shared" si="7"/>
        <v>-55</v>
      </c>
      <c r="D60" s="10">
        <f t="shared" si="10"/>
        <v>-75</v>
      </c>
      <c r="E60" s="11">
        <f t="shared" si="8"/>
        <v>3025</v>
      </c>
      <c r="F60" s="11">
        <f t="shared" si="11"/>
        <v>5625</v>
      </c>
      <c r="G60" s="11">
        <f t="shared" si="9"/>
        <v>6369</v>
      </c>
      <c r="H60" s="11">
        <f t="shared" si="12"/>
        <v>8685</v>
      </c>
      <c r="I60" s="11">
        <f t="shared" si="13"/>
        <v>4125</v>
      </c>
    </row>
    <row r="61" spans="1:9" x14ac:dyDescent="0.45">
      <c r="A61" s="7">
        <v>60</v>
      </c>
      <c r="B61" s="8">
        <v>-11</v>
      </c>
      <c r="C61" s="10">
        <f t="shared" si="7"/>
        <v>-115.8</v>
      </c>
      <c r="D61" s="10">
        <f t="shared" si="10"/>
        <v>-55</v>
      </c>
      <c r="E61" s="11">
        <f t="shared" si="8"/>
        <v>13409.64</v>
      </c>
      <c r="F61" s="11">
        <f t="shared" si="11"/>
        <v>3025</v>
      </c>
      <c r="G61" s="11">
        <f t="shared" si="9"/>
        <v>1273.8</v>
      </c>
      <c r="H61" s="11">
        <f t="shared" si="12"/>
        <v>605</v>
      </c>
      <c r="I61" s="11">
        <f t="shared" si="13"/>
        <v>6369</v>
      </c>
    </row>
    <row r="62" spans="1:9" x14ac:dyDescent="0.45">
      <c r="A62" s="7">
        <v>61</v>
      </c>
      <c r="B62" s="8">
        <v>-36.200000000000003</v>
      </c>
      <c r="C62" s="10">
        <f t="shared" si="7"/>
        <v>-11</v>
      </c>
      <c r="D62" s="10">
        <f t="shared" si="10"/>
        <v>-115.8</v>
      </c>
      <c r="E62" s="11">
        <f t="shared" si="8"/>
        <v>121</v>
      </c>
      <c r="F62" s="11">
        <f t="shared" si="11"/>
        <v>13409.64</v>
      </c>
      <c r="G62" s="11">
        <f t="shared" si="9"/>
        <v>398.20000000000005</v>
      </c>
      <c r="H62" s="11">
        <f t="shared" si="12"/>
        <v>4191.96</v>
      </c>
      <c r="I62" s="11">
        <f t="shared" si="13"/>
        <v>1273.8</v>
      </c>
    </row>
    <row r="63" spans="1:9" x14ac:dyDescent="0.45">
      <c r="A63" s="7">
        <v>62</v>
      </c>
      <c r="B63" s="8">
        <v>-296.3</v>
      </c>
      <c r="C63" s="10">
        <f t="shared" si="7"/>
        <v>-36.200000000000003</v>
      </c>
      <c r="D63" s="10">
        <f t="shared" si="10"/>
        <v>-11</v>
      </c>
      <c r="E63" s="11">
        <f t="shared" si="8"/>
        <v>1310.4400000000003</v>
      </c>
      <c r="F63" s="11">
        <f t="shared" si="11"/>
        <v>121</v>
      </c>
      <c r="G63" s="11">
        <f t="shared" si="9"/>
        <v>10726.060000000001</v>
      </c>
      <c r="H63" s="11">
        <f t="shared" si="12"/>
        <v>3259.3</v>
      </c>
      <c r="I63" s="11">
        <f t="shared" si="13"/>
        <v>398.20000000000005</v>
      </c>
    </row>
    <row r="64" spans="1:9" x14ac:dyDescent="0.45">
      <c r="A64" s="7">
        <v>63</v>
      </c>
      <c r="B64" s="8">
        <v>-186</v>
      </c>
      <c r="C64" s="10">
        <f t="shared" si="7"/>
        <v>-296.3</v>
      </c>
      <c r="D64" s="10">
        <f t="shared" si="10"/>
        <v>-36.200000000000003</v>
      </c>
      <c r="E64" s="11">
        <f t="shared" si="8"/>
        <v>87793.69</v>
      </c>
      <c r="F64" s="11">
        <f t="shared" si="11"/>
        <v>1310.4400000000003</v>
      </c>
      <c r="G64" s="11">
        <f t="shared" si="9"/>
        <v>55111.8</v>
      </c>
      <c r="H64" s="11">
        <f t="shared" si="12"/>
        <v>6733.2000000000007</v>
      </c>
      <c r="I64" s="11">
        <f t="shared" si="13"/>
        <v>10726.060000000001</v>
      </c>
    </row>
    <row r="65" spans="1:9" x14ac:dyDescent="0.45">
      <c r="A65" s="7">
        <v>64</v>
      </c>
      <c r="B65" s="8">
        <v>68.2</v>
      </c>
      <c r="C65" s="10">
        <f t="shared" si="7"/>
        <v>-186</v>
      </c>
      <c r="D65" s="10">
        <f t="shared" si="10"/>
        <v>-296.3</v>
      </c>
      <c r="E65" s="11">
        <f t="shared" si="8"/>
        <v>34596</v>
      </c>
      <c r="F65" s="11">
        <f t="shared" si="11"/>
        <v>87793.69</v>
      </c>
      <c r="G65" s="11">
        <f t="shared" si="9"/>
        <v>-12685.2</v>
      </c>
      <c r="H65" s="11">
        <f t="shared" si="12"/>
        <v>-20207.66</v>
      </c>
      <c r="I65" s="11">
        <f t="shared" si="13"/>
        <v>55111.8</v>
      </c>
    </row>
    <row r="66" spans="1:9" x14ac:dyDescent="0.45">
      <c r="A66" s="7">
        <v>65</v>
      </c>
      <c r="B66" s="8">
        <v>-30.2</v>
      </c>
      <c r="C66" s="10">
        <f t="shared" si="7"/>
        <v>68.2</v>
      </c>
      <c r="D66" s="10">
        <f t="shared" si="10"/>
        <v>-186</v>
      </c>
      <c r="E66" s="11">
        <f t="shared" si="8"/>
        <v>4651.2400000000007</v>
      </c>
      <c r="F66" s="11">
        <f t="shared" si="11"/>
        <v>34596</v>
      </c>
      <c r="G66" s="11">
        <f t="shared" si="9"/>
        <v>-2059.64</v>
      </c>
      <c r="H66" s="11">
        <f t="shared" si="12"/>
        <v>5617.2</v>
      </c>
      <c r="I66" s="11">
        <f t="shared" si="13"/>
        <v>-12685.2</v>
      </c>
    </row>
    <row r="67" spans="1:9" x14ac:dyDescent="0.45">
      <c r="A67" s="7">
        <v>66</v>
      </c>
      <c r="B67" s="8">
        <v>-8</v>
      </c>
      <c r="C67" s="10">
        <f t="shared" ref="C67:C80" si="14">B66</f>
        <v>-30.2</v>
      </c>
      <c r="D67" s="10">
        <f t="shared" si="10"/>
        <v>68.2</v>
      </c>
      <c r="E67" s="11">
        <f t="shared" ref="E67:E80" si="15">C67^2</f>
        <v>912.04</v>
      </c>
      <c r="F67" s="11">
        <f t="shared" si="11"/>
        <v>4651.2400000000007</v>
      </c>
      <c r="G67" s="11">
        <f t="shared" ref="G67:G80" si="16">B67*C67</f>
        <v>241.6</v>
      </c>
      <c r="H67" s="11">
        <f t="shared" si="12"/>
        <v>-545.6</v>
      </c>
      <c r="I67" s="11">
        <f t="shared" si="13"/>
        <v>-2059.64</v>
      </c>
    </row>
    <row r="68" spans="1:9" x14ac:dyDescent="0.45">
      <c r="A68" s="7">
        <v>67</v>
      </c>
      <c r="B68" s="8">
        <v>-13.9</v>
      </c>
      <c r="C68" s="10">
        <f t="shared" si="14"/>
        <v>-8</v>
      </c>
      <c r="D68" s="10">
        <f t="shared" ref="D68:D99" si="17">B66</f>
        <v>-30.2</v>
      </c>
      <c r="E68" s="11">
        <f t="shared" si="15"/>
        <v>64</v>
      </c>
      <c r="F68" s="11">
        <f t="shared" ref="F68:F80" si="18">D68^2</f>
        <v>912.04</v>
      </c>
      <c r="G68" s="11">
        <f t="shared" si="16"/>
        <v>111.2</v>
      </c>
      <c r="H68" s="11">
        <f t="shared" ref="H68:H80" si="19">B68*D68</f>
        <v>419.78</v>
      </c>
      <c r="I68" s="11">
        <f t="shared" ref="I68:I80" si="20">C68*D68</f>
        <v>241.6</v>
      </c>
    </row>
    <row r="69" spans="1:9" x14ac:dyDescent="0.45">
      <c r="A69" s="7">
        <v>68</v>
      </c>
      <c r="B69" s="8">
        <v>-29.7</v>
      </c>
      <c r="C69" s="10">
        <f t="shared" si="14"/>
        <v>-13.9</v>
      </c>
      <c r="D69" s="10">
        <f t="shared" si="17"/>
        <v>-8</v>
      </c>
      <c r="E69" s="11">
        <f t="shared" si="15"/>
        <v>193.21</v>
      </c>
      <c r="F69" s="11">
        <f t="shared" si="18"/>
        <v>64</v>
      </c>
      <c r="G69" s="11">
        <f t="shared" si="16"/>
        <v>412.83</v>
      </c>
      <c r="H69" s="11">
        <f t="shared" si="19"/>
        <v>237.6</v>
      </c>
      <c r="I69" s="11">
        <f t="shared" si="20"/>
        <v>111.2</v>
      </c>
    </row>
    <row r="70" spans="1:9" x14ac:dyDescent="0.45">
      <c r="A70" s="7">
        <v>69</v>
      </c>
      <c r="B70" s="8">
        <v>-14.9</v>
      </c>
      <c r="C70" s="10">
        <f t="shared" si="14"/>
        <v>-29.7</v>
      </c>
      <c r="D70" s="10">
        <f t="shared" si="17"/>
        <v>-13.9</v>
      </c>
      <c r="E70" s="11">
        <f t="shared" si="15"/>
        <v>882.08999999999992</v>
      </c>
      <c r="F70" s="11">
        <f t="shared" si="18"/>
        <v>193.21</v>
      </c>
      <c r="G70" s="11">
        <f t="shared" si="16"/>
        <v>442.53</v>
      </c>
      <c r="H70" s="11">
        <f t="shared" si="19"/>
        <v>207.11</v>
      </c>
      <c r="I70" s="11">
        <f t="shared" si="20"/>
        <v>412.83</v>
      </c>
    </row>
    <row r="71" spans="1:9" x14ac:dyDescent="0.45">
      <c r="A71" s="7">
        <v>70</v>
      </c>
      <c r="B71" s="8">
        <v>13.5</v>
      </c>
      <c r="C71" s="10">
        <f t="shared" si="14"/>
        <v>-14.9</v>
      </c>
      <c r="D71" s="10">
        <f t="shared" si="17"/>
        <v>-29.7</v>
      </c>
      <c r="E71" s="11">
        <f t="shared" si="15"/>
        <v>222.01000000000002</v>
      </c>
      <c r="F71" s="11">
        <f t="shared" si="18"/>
        <v>882.08999999999992</v>
      </c>
      <c r="G71" s="11">
        <f t="shared" si="16"/>
        <v>-201.15</v>
      </c>
      <c r="H71" s="11">
        <f t="shared" si="19"/>
        <v>-400.95</v>
      </c>
      <c r="I71" s="11">
        <f t="shared" si="20"/>
        <v>442.53</v>
      </c>
    </row>
    <row r="72" spans="1:9" x14ac:dyDescent="0.45">
      <c r="A72" s="7">
        <v>71</v>
      </c>
      <c r="B72" s="8">
        <v>31.4</v>
      </c>
      <c r="C72" s="10">
        <f t="shared" si="14"/>
        <v>13.5</v>
      </c>
      <c r="D72" s="10">
        <f t="shared" si="17"/>
        <v>-14.9</v>
      </c>
      <c r="E72" s="11">
        <f t="shared" si="15"/>
        <v>182.25</v>
      </c>
      <c r="F72" s="11">
        <f t="shared" si="18"/>
        <v>222.01000000000002</v>
      </c>
      <c r="G72" s="11">
        <f t="shared" si="16"/>
        <v>423.9</v>
      </c>
      <c r="H72" s="11">
        <f t="shared" si="19"/>
        <v>-467.86</v>
      </c>
      <c r="I72" s="11">
        <f t="shared" si="20"/>
        <v>-201.15</v>
      </c>
    </row>
    <row r="73" spans="1:9" x14ac:dyDescent="0.45">
      <c r="A73" s="7">
        <v>72</v>
      </c>
      <c r="B73" s="8">
        <v>65.900000000000006</v>
      </c>
      <c r="C73" s="10">
        <f t="shared" si="14"/>
        <v>31.4</v>
      </c>
      <c r="D73" s="10">
        <f t="shared" si="17"/>
        <v>13.5</v>
      </c>
      <c r="E73" s="11">
        <f t="shared" si="15"/>
        <v>985.95999999999992</v>
      </c>
      <c r="F73" s="11">
        <f t="shared" si="18"/>
        <v>182.25</v>
      </c>
      <c r="G73" s="11">
        <f t="shared" si="16"/>
        <v>2069.2600000000002</v>
      </c>
      <c r="H73" s="11">
        <f t="shared" si="19"/>
        <v>889.65000000000009</v>
      </c>
      <c r="I73" s="11">
        <f t="shared" si="20"/>
        <v>423.9</v>
      </c>
    </row>
    <row r="74" spans="1:9" x14ac:dyDescent="0.45">
      <c r="A74" s="7">
        <v>73</v>
      </c>
      <c r="B74" s="8">
        <v>83.2</v>
      </c>
      <c r="C74" s="10">
        <f t="shared" si="14"/>
        <v>65.900000000000006</v>
      </c>
      <c r="D74" s="10">
        <f t="shared" si="17"/>
        <v>31.4</v>
      </c>
      <c r="E74" s="11">
        <f t="shared" si="15"/>
        <v>4342.8100000000004</v>
      </c>
      <c r="F74" s="11">
        <f t="shared" si="18"/>
        <v>985.95999999999992</v>
      </c>
      <c r="G74" s="11">
        <f t="shared" si="16"/>
        <v>5482.880000000001</v>
      </c>
      <c r="H74" s="11">
        <f t="shared" si="19"/>
        <v>2612.48</v>
      </c>
      <c r="I74" s="11">
        <f t="shared" si="20"/>
        <v>2069.2600000000002</v>
      </c>
    </row>
    <row r="75" spans="1:9" x14ac:dyDescent="0.45">
      <c r="A75" s="7">
        <v>74</v>
      </c>
      <c r="B75" s="8">
        <v>46.3</v>
      </c>
      <c r="C75" s="10">
        <f t="shared" si="14"/>
        <v>83.2</v>
      </c>
      <c r="D75" s="10">
        <f t="shared" si="17"/>
        <v>65.900000000000006</v>
      </c>
      <c r="E75" s="11">
        <f t="shared" si="15"/>
        <v>6922.2400000000007</v>
      </c>
      <c r="F75" s="11">
        <f t="shared" si="18"/>
        <v>4342.8100000000004</v>
      </c>
      <c r="G75" s="11">
        <f t="shared" si="16"/>
        <v>3852.16</v>
      </c>
      <c r="H75" s="11">
        <f t="shared" si="19"/>
        <v>3051.17</v>
      </c>
      <c r="I75" s="11">
        <f t="shared" si="20"/>
        <v>5482.880000000001</v>
      </c>
    </row>
    <row r="76" spans="1:9" x14ac:dyDescent="0.45">
      <c r="A76" s="7">
        <v>75</v>
      </c>
      <c r="B76" s="8">
        <v>-14.4</v>
      </c>
      <c r="C76" s="10">
        <f t="shared" si="14"/>
        <v>46.3</v>
      </c>
      <c r="D76" s="10">
        <f t="shared" si="17"/>
        <v>83.2</v>
      </c>
      <c r="E76" s="11">
        <f t="shared" si="15"/>
        <v>2143.6899999999996</v>
      </c>
      <c r="F76" s="11">
        <f t="shared" si="18"/>
        <v>6922.2400000000007</v>
      </c>
      <c r="G76" s="11">
        <f t="shared" si="16"/>
        <v>-666.72</v>
      </c>
      <c r="H76" s="11">
        <f t="shared" si="19"/>
        <v>-1198.0800000000002</v>
      </c>
      <c r="I76" s="11">
        <f t="shared" si="20"/>
        <v>3852.16</v>
      </c>
    </row>
    <row r="77" spans="1:9" x14ac:dyDescent="0.45">
      <c r="A77" s="7">
        <v>76</v>
      </c>
      <c r="B77" s="8">
        <v>61.1</v>
      </c>
      <c r="C77" s="10">
        <f t="shared" si="14"/>
        <v>-14.4</v>
      </c>
      <c r="D77" s="10">
        <f t="shared" si="17"/>
        <v>46.3</v>
      </c>
      <c r="E77" s="11">
        <f t="shared" si="15"/>
        <v>207.36</v>
      </c>
      <c r="F77" s="11">
        <f t="shared" si="18"/>
        <v>2143.6899999999996</v>
      </c>
      <c r="G77" s="11">
        <f t="shared" si="16"/>
        <v>-879.84</v>
      </c>
      <c r="H77" s="11">
        <f t="shared" si="19"/>
        <v>2828.93</v>
      </c>
      <c r="I77" s="11">
        <f t="shared" si="20"/>
        <v>-666.72</v>
      </c>
    </row>
    <row r="78" spans="1:9" x14ac:dyDescent="0.45">
      <c r="A78" s="7">
        <v>77</v>
      </c>
      <c r="B78" s="8">
        <v>47.8</v>
      </c>
      <c r="C78" s="10">
        <f t="shared" si="14"/>
        <v>61.1</v>
      </c>
      <c r="D78" s="10">
        <f t="shared" si="17"/>
        <v>-14.4</v>
      </c>
      <c r="E78" s="11">
        <f t="shared" si="15"/>
        <v>3733.21</v>
      </c>
      <c r="F78" s="11">
        <f t="shared" si="18"/>
        <v>207.36</v>
      </c>
      <c r="G78" s="11">
        <f t="shared" si="16"/>
        <v>2920.58</v>
      </c>
      <c r="H78" s="11">
        <f t="shared" si="19"/>
        <v>-688.31999999999994</v>
      </c>
      <c r="I78" s="11">
        <f t="shared" si="20"/>
        <v>-879.84</v>
      </c>
    </row>
    <row r="79" spans="1:9" x14ac:dyDescent="0.45">
      <c r="A79" s="7">
        <v>78</v>
      </c>
      <c r="B79" s="8">
        <v>26.7</v>
      </c>
      <c r="C79" s="10">
        <f t="shared" si="14"/>
        <v>47.8</v>
      </c>
      <c r="D79" s="10">
        <f t="shared" si="17"/>
        <v>61.1</v>
      </c>
      <c r="E79" s="11">
        <f t="shared" si="15"/>
        <v>2284.8399999999997</v>
      </c>
      <c r="F79" s="11">
        <f t="shared" si="18"/>
        <v>3733.21</v>
      </c>
      <c r="G79" s="11">
        <f t="shared" si="16"/>
        <v>1276.26</v>
      </c>
      <c r="H79" s="11">
        <f t="shared" si="19"/>
        <v>1631.37</v>
      </c>
      <c r="I79" s="11">
        <f t="shared" si="20"/>
        <v>2920.58</v>
      </c>
    </row>
    <row r="80" spans="1:9" x14ac:dyDescent="0.45">
      <c r="A80" s="7">
        <v>79</v>
      </c>
      <c r="B80" s="8">
        <v>91.4</v>
      </c>
      <c r="C80" s="10">
        <f t="shared" si="14"/>
        <v>26.7</v>
      </c>
      <c r="D80" s="10">
        <f t="shared" si="17"/>
        <v>47.8</v>
      </c>
      <c r="E80" s="11">
        <f t="shared" si="15"/>
        <v>712.89</v>
      </c>
      <c r="F80" s="11">
        <f t="shared" si="18"/>
        <v>2284.8399999999997</v>
      </c>
      <c r="G80" s="11">
        <f t="shared" si="16"/>
        <v>2440.38</v>
      </c>
      <c r="H80" s="11">
        <f t="shared" si="19"/>
        <v>4368.92</v>
      </c>
      <c r="I80" s="11">
        <f t="shared" si="20"/>
        <v>1276.26</v>
      </c>
    </row>
    <row r="82" spans="1:9" x14ac:dyDescent="0.45">
      <c r="A82" s="5" t="s">
        <v>9</v>
      </c>
      <c r="B82" s="5"/>
      <c r="C82" s="12">
        <f t="shared" ref="C82:I82" si="21">SUM(C5:C80)</f>
        <v>7081.7000000000025</v>
      </c>
      <c r="D82" s="12">
        <f t="shared" si="21"/>
        <v>7118.4000000000024</v>
      </c>
      <c r="E82" s="12">
        <f t="shared" si="21"/>
        <v>3218860.0099999979</v>
      </c>
      <c r="F82" s="12">
        <f t="shared" si="21"/>
        <v>3222166.6799999983</v>
      </c>
      <c r="G82" s="12">
        <f t="shared" si="21"/>
        <v>2575756.9399999995</v>
      </c>
      <c r="H82" s="12">
        <f t="shared" si="21"/>
        <v>1731722.0000000002</v>
      </c>
      <c r="I82" s="12">
        <f t="shared" si="21"/>
        <v>2574787.4399999995</v>
      </c>
    </row>
  </sheetData>
  <mergeCells count="1">
    <mergeCell ref="A82:B8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tabSelected="1" zoomScaleNormal="100" workbookViewId="0">
      <selection sqref="A1:C1"/>
    </sheetView>
  </sheetViews>
  <sheetFormatPr defaultColWidth="8.6640625" defaultRowHeight="14.25" x14ac:dyDescent="0.45"/>
  <cols>
    <col min="1" max="1" width="38" customWidth="1"/>
    <col min="2" max="2" width="42" customWidth="1"/>
    <col min="3" max="3" width="25.46484375" customWidth="1"/>
  </cols>
  <sheetData>
    <row r="1" spans="1:3" ht="21.75" customHeight="1" x14ac:dyDescent="0.45">
      <c r="A1" s="4" t="s">
        <v>10</v>
      </c>
      <c r="B1" s="4"/>
      <c r="C1" s="4"/>
    </row>
    <row r="3" spans="1:3" ht="18" customHeight="1" x14ac:dyDescent="0.45">
      <c r="A3" s="6" t="s">
        <v>11</v>
      </c>
      <c r="B3" s="6" t="s">
        <v>12</v>
      </c>
      <c r="C3" s="6" t="s">
        <v>13</v>
      </c>
    </row>
    <row r="4" spans="1:3" x14ac:dyDescent="0.45">
      <c r="A4" s="13" t="s">
        <v>14</v>
      </c>
      <c r="B4" s="14">
        <f>Data!E82</f>
        <v>3218860.0099999979</v>
      </c>
      <c r="C4" s="15">
        <f>Data!E82</f>
        <v>3218860.0099999979</v>
      </c>
    </row>
    <row r="5" spans="1:3" x14ac:dyDescent="0.45">
      <c r="A5" s="13" t="s">
        <v>15</v>
      </c>
      <c r="B5" s="14">
        <f>Data!F82</f>
        <v>3222166.6799999983</v>
      </c>
      <c r="C5" s="15">
        <f>Data!F82</f>
        <v>3222166.6799999983</v>
      </c>
    </row>
    <row r="6" spans="1:3" x14ac:dyDescent="0.45">
      <c r="A6" s="13" t="s">
        <v>16</v>
      </c>
      <c r="B6" s="14">
        <f>Data!G82</f>
        <v>2575756.9399999995</v>
      </c>
      <c r="C6" s="15">
        <f>Data!G82</f>
        <v>2575756.9399999995</v>
      </c>
    </row>
    <row r="7" spans="1:3" x14ac:dyDescent="0.45">
      <c r="A7" s="13" t="s">
        <v>17</v>
      </c>
      <c r="B7" s="14">
        <f>Data!H82</f>
        <v>1731722.0000000002</v>
      </c>
      <c r="C7" s="15">
        <f>Data!H82</f>
        <v>1731722.0000000002</v>
      </c>
    </row>
    <row r="8" spans="1:3" x14ac:dyDescent="0.45">
      <c r="A8" s="13" t="s">
        <v>18</v>
      </c>
      <c r="B8" s="14">
        <f>Data!I82</f>
        <v>2574787.4399999995</v>
      </c>
      <c r="C8" s="15">
        <f>Data!I82</f>
        <v>2574787.4399999995</v>
      </c>
    </row>
    <row r="9" spans="1:3" x14ac:dyDescent="0.45">
      <c r="A9" s="3" t="s">
        <v>19</v>
      </c>
      <c r="B9" s="3"/>
      <c r="C9" s="3"/>
    </row>
    <row r="10" spans="1:3" x14ac:dyDescent="0.45">
      <c r="A10" s="13" t="s">
        <v>20</v>
      </c>
      <c r="B10" s="16">
        <f>C4*C7</f>
        <v>5574170694237.2168</v>
      </c>
      <c r="C10" s="15">
        <f>C4*C7</f>
        <v>5574170694237.2168</v>
      </c>
    </row>
    <row r="11" spans="1:3" x14ac:dyDescent="0.45">
      <c r="A11" s="13" t="s">
        <v>21</v>
      </c>
      <c r="B11" s="16">
        <f>C8*C6</f>
        <v>6632026617604.8311</v>
      </c>
      <c r="C11" s="15">
        <f>C8*C6</f>
        <v>6632026617604.8311</v>
      </c>
    </row>
    <row r="12" spans="1:3" x14ac:dyDescent="0.45">
      <c r="A12" s="13" t="s">
        <v>22</v>
      </c>
      <c r="B12" s="16">
        <f>C10-C11</f>
        <v>-1057855923367.6143</v>
      </c>
      <c r="C12" s="15">
        <f>C10-C11</f>
        <v>-1057855923367.6143</v>
      </c>
    </row>
    <row r="13" spans="1:3" x14ac:dyDescent="0.45">
      <c r="A13" s="3" t="s">
        <v>23</v>
      </c>
      <c r="B13" s="3"/>
      <c r="C13" s="3"/>
    </row>
    <row r="14" spans="1:3" x14ac:dyDescent="0.45">
      <c r="A14" s="13" t="s">
        <v>24</v>
      </c>
      <c r="B14" s="16">
        <f>C4*C5</f>
        <v>10371703471806.455</v>
      </c>
      <c r="C14" s="15">
        <f>C4*C5</f>
        <v>10371703471806.455</v>
      </c>
    </row>
    <row r="15" spans="1:3" x14ac:dyDescent="0.45">
      <c r="A15" s="13" t="s">
        <v>25</v>
      </c>
      <c r="B15" s="16">
        <f>C8^2</f>
        <v>6629530361181.751</v>
      </c>
      <c r="C15" s="15">
        <f>C8^2</f>
        <v>6629530361181.751</v>
      </c>
    </row>
    <row r="16" spans="1:3" x14ac:dyDescent="0.45">
      <c r="A16" s="13" t="s">
        <v>26</v>
      </c>
      <c r="B16" s="16">
        <f>C14-C15</f>
        <v>3742173110624.7041</v>
      </c>
      <c r="C16" s="15">
        <f>C14-C15</f>
        <v>3742173110624.7041</v>
      </c>
    </row>
    <row r="17" spans="1:3" x14ac:dyDescent="0.45">
      <c r="A17" s="2" t="s">
        <v>27</v>
      </c>
      <c r="B17" s="2"/>
      <c r="C17" s="2"/>
    </row>
    <row r="18" spans="1:3" x14ac:dyDescent="0.45">
      <c r="A18" s="17" t="s">
        <v>28</v>
      </c>
      <c r="B18" s="18">
        <f>C12/C16</f>
        <v>-0.28268492453333349</v>
      </c>
      <c r="C18" s="19">
        <f>C12/C16</f>
        <v>-0.28268492453333349</v>
      </c>
    </row>
    <row r="20" spans="1:3" x14ac:dyDescent="0.45">
      <c r="A20" s="1" t="s">
        <v>29</v>
      </c>
      <c r="B20" s="1"/>
      <c r="C20" s="1"/>
    </row>
  </sheetData>
  <mergeCells count="5">
    <mergeCell ref="A1:C1"/>
    <mergeCell ref="A9:C9"/>
    <mergeCell ref="A13:C13"/>
    <mergeCell ref="A17:C17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</vt:lpstr>
      <vt:lpstr>Hitung phi2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Putri Fradila</dc:creator>
  <dc:description/>
  <cp:lastModifiedBy>Putri fradila</cp:lastModifiedBy>
  <cp:revision>0</cp:revision>
  <dcterms:created xsi:type="dcterms:W3CDTF">2026-05-31T09:21:22Z</dcterms:created>
  <dcterms:modified xsi:type="dcterms:W3CDTF">2026-06-02T13:17:22Z</dcterms:modified>
  <dc:language>en-US</dc:language>
</cp:coreProperties>
</file>