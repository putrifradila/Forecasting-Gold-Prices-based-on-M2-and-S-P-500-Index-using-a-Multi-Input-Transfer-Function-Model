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Asli" sheetId="1" state="visible" r:id="rId3"/>
    <sheet name="Fitted Value In-Sample" sheetId="2" state="visible" r:id="rId4"/>
    <sheet name="Forecast Out-Sampl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<sst xmlns="http://schemas.openxmlformats.org/spreadsheetml/2006/main" count="165" uniqueCount="144">
  <si>
    <t xml:space="preserve">OBS</t>
  </si>
  <si>
    <t xml:space="preserve">M2SL</t>
  </si>
  <si>
    <t xml:space="preserve">SP</t>
  </si>
  <si>
    <t xml:space="preserve">EMAS</t>
  </si>
  <si>
    <t xml:space="preserve">2018-01-01</t>
  </si>
  <si>
    <t xml:space="preserve">2018-02-01</t>
  </si>
  <si>
    <t xml:space="preserve">2018-03-01</t>
  </si>
  <si>
    <t xml:space="preserve">2018-04-01</t>
  </si>
  <si>
    <t xml:space="preserve">2018-05-01</t>
  </si>
  <si>
    <t xml:space="preserve">2018-06-01</t>
  </si>
  <si>
    <t xml:space="preserve">2018-07-01</t>
  </si>
  <si>
    <t xml:space="preserve">2018-08-01</t>
  </si>
  <si>
    <t xml:space="preserve">2018-09-01</t>
  </si>
  <si>
    <t xml:space="preserve">2018-10-01</t>
  </si>
  <si>
    <t xml:space="preserve">2018-11-01</t>
  </si>
  <si>
    <t xml:space="preserve">2018-12-01</t>
  </si>
  <si>
    <t xml:space="preserve">2019-01-01</t>
  </si>
  <si>
    <t xml:space="preserve">2019-02-01</t>
  </si>
  <si>
    <t xml:space="preserve">2019-03-01</t>
  </si>
  <si>
    <t xml:space="preserve">2019-04-01</t>
  </si>
  <si>
    <t xml:space="preserve">2019-05-01</t>
  </si>
  <si>
    <t xml:space="preserve">2019-06-01</t>
  </si>
  <si>
    <t xml:space="preserve">2019-07-01</t>
  </si>
  <si>
    <t xml:space="preserve">2019-08-01</t>
  </si>
  <si>
    <t xml:space="preserve">2019-09-01</t>
  </si>
  <si>
    <t xml:space="preserve">2019-10-01</t>
  </si>
  <si>
    <t xml:space="preserve">2019-11-01</t>
  </si>
  <si>
    <t xml:space="preserve">2019-12-01</t>
  </si>
  <si>
    <t xml:space="preserve">2020-01-01</t>
  </si>
  <si>
    <t xml:space="preserve">2020-02-01</t>
  </si>
  <si>
    <t xml:space="preserve">2020-03-01</t>
  </si>
  <si>
    <t xml:space="preserve">2020-04-01</t>
  </si>
  <si>
    <t xml:space="preserve">2020-05-01</t>
  </si>
  <si>
    <t xml:space="preserve">2020-06-01</t>
  </si>
  <si>
    <t xml:space="preserve">2020-07-01</t>
  </si>
  <si>
    <t xml:space="preserve">2020-08-01</t>
  </si>
  <si>
    <t xml:space="preserve">2020-09-01</t>
  </si>
  <si>
    <t xml:space="preserve">2020-10-01</t>
  </si>
  <si>
    <t xml:space="preserve">2020-11-01</t>
  </si>
  <si>
    <t xml:space="preserve">2020-12-01</t>
  </si>
  <si>
    <t xml:space="preserve">2021-01-01</t>
  </si>
  <si>
    <t xml:space="preserve">2021-02-01</t>
  </si>
  <si>
    <t xml:space="preserve">2021-03-01</t>
  </si>
  <si>
    <t xml:space="preserve">2021-04-01</t>
  </si>
  <si>
    <t xml:space="preserve">2021-05-01</t>
  </si>
  <si>
    <t xml:space="preserve">2021-06-01</t>
  </si>
  <si>
    <t xml:space="preserve">2021-07-01</t>
  </si>
  <si>
    <t xml:space="preserve">2021-08-01</t>
  </si>
  <si>
    <t xml:space="preserve">2021-09-01</t>
  </si>
  <si>
    <t xml:space="preserve">2021-10-01</t>
  </si>
  <si>
    <t xml:space="preserve">2021-11-01</t>
  </si>
  <si>
    <t xml:space="preserve">2021-12-01</t>
  </si>
  <si>
    <t xml:space="preserve">2022-01-01</t>
  </si>
  <si>
    <t xml:space="preserve">2022-02-01</t>
  </si>
  <si>
    <t xml:space="preserve">2022-03-01</t>
  </si>
  <si>
    <t xml:space="preserve">2022-04-01</t>
  </si>
  <si>
    <t xml:space="preserve">2022-05-01</t>
  </si>
  <si>
    <t xml:space="preserve">2022-06-01</t>
  </si>
  <si>
    <t xml:space="preserve">2022-07-01</t>
  </si>
  <si>
    <t xml:space="preserve">2022-08-01</t>
  </si>
  <si>
    <t xml:space="preserve">2022-09-01</t>
  </si>
  <si>
    <t xml:space="preserve">2022-10-01</t>
  </si>
  <si>
    <t xml:space="preserve">2022-11-01</t>
  </si>
  <si>
    <t xml:space="preserve">2022-12-01</t>
  </si>
  <si>
    <t xml:space="preserve">2023-01-01</t>
  </si>
  <si>
    <t xml:space="preserve">2023-02-01</t>
  </si>
  <si>
    <t xml:space="preserve">2023-03-01</t>
  </si>
  <si>
    <t xml:space="preserve">2023-04-01</t>
  </si>
  <si>
    <t xml:space="preserve">2023-05-01</t>
  </si>
  <si>
    <t xml:space="preserve">2023-06-01</t>
  </si>
  <si>
    <t xml:space="preserve">2023-07-01</t>
  </si>
  <si>
    <t xml:space="preserve">2023-08-01</t>
  </si>
  <si>
    <t xml:space="preserve">2023-09-01</t>
  </si>
  <si>
    <t xml:space="preserve">2023-10-01</t>
  </si>
  <si>
    <t xml:space="preserve">2023-11-01</t>
  </si>
  <si>
    <t xml:space="preserve">2023-12-01</t>
  </si>
  <si>
    <t xml:space="preserve">2024-01-01</t>
  </si>
  <si>
    <t xml:space="preserve">2024-02-01</t>
  </si>
  <si>
    <t xml:space="preserve">2024-03-01</t>
  </si>
  <si>
    <t xml:space="preserve">2024-04-01</t>
  </si>
  <si>
    <t xml:space="preserve">2024-05-01</t>
  </si>
  <si>
    <t xml:space="preserve">2024-06-01</t>
  </si>
  <si>
    <t xml:space="preserve">2024-07-01</t>
  </si>
  <si>
    <t xml:space="preserve">2024-08-01</t>
  </si>
  <si>
    <t xml:space="preserve">2024-09-01</t>
  </si>
  <si>
    <t xml:space="preserve">2024-10-01</t>
  </si>
  <si>
    <t xml:space="preserve">2024-11-01</t>
  </si>
  <si>
    <t xml:space="preserve">2024-12-01</t>
  </si>
  <si>
    <t xml:space="preserve">2025-01-01</t>
  </si>
  <si>
    <t xml:space="preserve">2025-02-01</t>
  </si>
  <si>
    <t xml:space="preserve">2025-03-01</t>
  </si>
  <si>
    <t xml:space="preserve">2025-04-01</t>
  </si>
  <si>
    <t xml:space="preserve">2025-05-01</t>
  </si>
  <si>
    <t xml:space="preserve">2025-06-01</t>
  </si>
  <si>
    <t xml:space="preserve">2025-07-01</t>
  </si>
  <si>
    <t xml:space="preserve">2025-08-01</t>
  </si>
  <si>
    <t xml:space="preserve">2025-09-01</t>
  </si>
  <si>
    <t xml:space="preserve">2025-10-01</t>
  </si>
  <si>
    <t xml:space="preserve">2025-11-01</t>
  </si>
  <si>
    <t xml:space="preserve">2025-12-01</t>
  </si>
  <si>
    <t xml:space="preserve">2026-01-01</t>
  </si>
  <si>
    <t xml:space="preserve">2026-02-01</t>
  </si>
  <si>
    <t xml:space="preserve">KOEFISIEN MODEL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</si>
  <si>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</si>
  <si>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</si>
  <si>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</si>
  <si>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</si>
  <si>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</si>
  <si>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t</t>
  </si>
  <si>
    <t xml:space="preserve">dM2SL(t-25)
=M2SL[t-25]-M2SL[t-26]</t>
  </si>
  <si>
    <t xml:space="preserve">dM2SL(t-26)
=M2SL[t-26]-M2SL[t-27]</t>
  </si>
  <si>
    <t xml:space="preserve">dM2SL(t-27)
=M2SL[t-27]-M2SL[t-28]</t>
  </si>
  <si>
    <t xml:space="preserve">dSP(t-12)
=SP[t-12]-SP[t-13]</t>
  </si>
  <si>
    <t xml:space="preserve">at-5
(residual t-5)</t>
  </si>
  <si>
    <t xml:space="preserve">c1 x dM2SL(t-25)</t>
  </si>
  <si>
    <t xml:space="preserve">c2 x dM2SL(t-26)</t>
  </si>
  <si>
    <t xml:space="preserve">c3 x dM2SL(t-27)</t>
  </si>
  <si>
    <t xml:space="preserve">c4 x dSP(t-12)</t>
  </si>
  <si>
    <t xml:space="preserve">c5 x at-5</t>
  </si>
  <si>
    <t xml:space="preserve">Y* Fitted (diff)</t>
  </si>
  <si>
    <t xml:space="preserve">EMAS(t-1)</t>
  </si>
  <si>
    <t xml:space="preserve">Fitted Level</t>
  </si>
  <si>
    <t xml:space="preserve">EMAS Aktual</t>
  </si>
  <si>
    <t xml:space="preserve">Residual (at)</t>
  </si>
  <si>
    <t xml:space="preserve">Catatan: at-5 = residual aktual in-sample jika t-5 ≤ 98, else = 0 (out-sample)</t>
  </si>
  <si>
    <t xml:space="preserve">M2SL[t-25]</t>
  </si>
  <si>
    <t xml:space="preserve">M2SL[t-26]</t>
  </si>
  <si>
    <t xml:space="preserve">M2SL[t-27]</t>
  </si>
  <si>
    <t xml:space="preserve">M2SL[t-28]</t>
  </si>
  <si>
    <t xml:space="preserve">SP[t-12]</t>
  </si>
  <si>
    <t xml:space="preserve">SP[t-13]</t>
  </si>
  <si>
    <t xml:space="preserve">at-5</t>
  </si>
  <si>
    <t xml:space="preserve">Y* Forecast
(diff)</t>
  </si>
  <si>
    <t xml:space="preserve">Forecast Level</t>
  </si>
  <si>
    <t xml:space="preserve">2026-03-01</t>
  </si>
  <si>
    <t xml:space="preserve">2026-04-01</t>
  </si>
  <si>
    <t xml:space="preserve">2026-05-01</t>
  </si>
  <si>
    <t xml:space="preserve">2026-06-01</t>
  </si>
  <si>
    <t xml:space="preserve">2026-07-01</t>
  </si>
  <si>
    <t xml:space="preserve">2026-08-01</t>
  </si>
  <si>
    <t xml:space="preserve">2026-09-01</t>
  </si>
  <si>
    <t xml:space="preserve">2026-10-01</t>
  </si>
  <si>
    <t xml:space="preserve">2026-11-01</t>
  </si>
  <si>
    <t xml:space="preserve">2026-12-01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</si>
</sst>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"/>
    <numFmt numFmtId="166" formatCode="0.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7F3F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EBF3FB"/>
      </patternFill>
    </fill>
    <fill>
      <patternFill patternType="solid">
        <fgColor rgb="FFEBF3FB"/>
        <b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C65911"/>
        <bgColor rgb="FF7F3F00"/>
      </patternFill>
    </fill>
    <fill>
      <patternFill patternType="solid">
        <fgColor rgb="FFFFF2CC"/>
        <bgColor rgb="FFEBF3FB"/>
      </patternFill>
    </fill>
    <fill>
      <patternFill patternType="solid">
        <fgColor rgb="FFFFCC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EBF3FB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7F3F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2" t="n">
        <v>13900.3</v>
      </c>
      <c r="C2" s="0" t="n">
        <v>2823.81</v>
      </c>
      <c r="D2" s="0" t="n">
        <v>1344.7</v>
      </c>
    </row>
    <row r="3" customFormat="false" ht="15" hidden="false" customHeight="false" outlineLevel="0" collapsed="false">
      <c r="A3" s="0" t="s">
        <v>5</v>
      </c>
      <c r="B3" s="2" t="n">
        <v>13949.3</v>
      </c>
      <c r="C3" s="0" t="n">
        <v>2713.83</v>
      </c>
      <c r="D3" s="0" t="n">
        <v>1317.66</v>
      </c>
    </row>
    <row r="4" customFormat="false" ht="15" hidden="false" customHeight="false" outlineLevel="0" collapsed="false">
      <c r="A4" s="0" t="s">
        <v>6</v>
      </c>
      <c r="B4" s="2" t="n">
        <v>14012.7</v>
      </c>
      <c r="C4" s="0" t="n">
        <v>2640.87</v>
      </c>
      <c r="D4" s="0" t="n">
        <v>1324</v>
      </c>
    </row>
    <row r="5" customFormat="false" ht="15" hidden="false" customHeight="false" outlineLevel="0" collapsed="false">
      <c r="A5" s="0" t="s">
        <v>7</v>
      </c>
      <c r="B5" s="2" t="n">
        <v>14035.9</v>
      </c>
      <c r="C5" s="0" t="n">
        <v>2648.05</v>
      </c>
      <c r="D5" s="0" t="n">
        <v>1314.95</v>
      </c>
    </row>
    <row r="6" customFormat="false" ht="15" hidden="false" customHeight="false" outlineLevel="0" collapsed="false">
      <c r="A6" s="0" t="s">
        <v>8</v>
      </c>
      <c r="B6" s="2" t="n">
        <v>14092.4</v>
      </c>
      <c r="C6" s="0" t="n">
        <v>2705.27</v>
      </c>
      <c r="D6" s="0" t="n">
        <v>1297.92</v>
      </c>
    </row>
    <row r="7" customFormat="false" ht="15" hidden="false" customHeight="false" outlineLevel="0" collapsed="false">
      <c r="A7" s="0" t="s">
        <v>9</v>
      </c>
      <c r="B7" s="2" t="n">
        <v>14137.2</v>
      </c>
      <c r="C7" s="0" t="n">
        <v>2718.37</v>
      </c>
      <c r="D7" s="0" t="n">
        <v>1252.25</v>
      </c>
    </row>
    <row r="8" customFormat="false" ht="15" hidden="false" customHeight="false" outlineLevel="0" collapsed="false">
      <c r="A8" s="0" t="s">
        <v>10</v>
      </c>
      <c r="B8" s="2" t="n">
        <v>14174.6</v>
      </c>
      <c r="C8" s="0" t="n">
        <v>2816.29</v>
      </c>
      <c r="D8" s="0" t="n">
        <v>1223.41</v>
      </c>
    </row>
    <row r="9" customFormat="false" ht="15" hidden="false" customHeight="false" outlineLevel="0" collapsed="false">
      <c r="A9" s="0" t="s">
        <v>11</v>
      </c>
      <c r="B9" s="2" t="n">
        <v>14223.2</v>
      </c>
      <c r="C9" s="0" t="n">
        <v>2901.52</v>
      </c>
      <c r="D9" s="0" t="n">
        <v>1200.71</v>
      </c>
    </row>
    <row r="10" customFormat="false" ht="15" hidden="false" customHeight="false" outlineLevel="0" collapsed="false">
      <c r="A10" s="0" t="s">
        <v>12</v>
      </c>
      <c r="B10" s="2" t="n">
        <v>14245.5</v>
      </c>
      <c r="C10" s="0" t="n">
        <v>2913.98</v>
      </c>
      <c r="D10" s="0" t="n">
        <v>1191.69</v>
      </c>
    </row>
    <row r="11" customFormat="false" ht="15" hidden="false" customHeight="false" outlineLevel="0" collapsed="false">
      <c r="A11" s="0" t="s">
        <v>13</v>
      </c>
      <c r="B11" s="2" t="n">
        <v>14256.6</v>
      </c>
      <c r="C11" s="0" t="n">
        <v>2711.74</v>
      </c>
      <c r="D11" s="0" t="n">
        <v>1214.14</v>
      </c>
    </row>
    <row r="12" customFormat="false" ht="15" hidden="false" customHeight="false" outlineLevel="0" collapsed="false">
      <c r="A12" s="0" t="s">
        <v>14</v>
      </c>
      <c r="B12" s="2" t="n">
        <v>14282.8</v>
      </c>
      <c r="C12" s="0" t="n">
        <v>2760.17</v>
      </c>
      <c r="D12" s="0" t="n">
        <v>1221.88</v>
      </c>
    </row>
    <row r="13" customFormat="false" ht="15" hidden="false" customHeight="false" outlineLevel="0" collapsed="false">
      <c r="A13" s="0" t="s">
        <v>15</v>
      </c>
      <c r="B13" s="2" t="n">
        <v>14386.8</v>
      </c>
      <c r="C13" s="0" t="n">
        <v>2506.85</v>
      </c>
      <c r="D13" s="0" t="n">
        <v>1282.73</v>
      </c>
    </row>
    <row r="14" customFormat="false" ht="15" hidden="false" customHeight="false" outlineLevel="0" collapsed="false">
      <c r="A14" s="0" t="s">
        <v>16</v>
      </c>
      <c r="B14" s="2" t="n">
        <v>14459.7</v>
      </c>
      <c r="C14" s="0" t="n">
        <v>2704.1</v>
      </c>
      <c r="D14" s="0" t="n">
        <v>1320.56</v>
      </c>
    </row>
    <row r="15" customFormat="false" ht="15" hidden="false" customHeight="false" outlineLevel="0" collapsed="false">
      <c r="A15" s="0" t="s">
        <v>17</v>
      </c>
      <c r="B15" s="2" t="n">
        <v>14506.3</v>
      </c>
      <c r="C15" s="0" t="n">
        <v>2784.49</v>
      </c>
      <c r="D15" s="0" t="n">
        <v>1312.66</v>
      </c>
    </row>
    <row r="16" customFormat="false" ht="15" hidden="false" customHeight="false" outlineLevel="0" collapsed="false">
      <c r="A16" s="0" t="s">
        <v>18</v>
      </c>
      <c r="B16" s="2" t="n">
        <v>14557.5</v>
      </c>
      <c r="C16" s="0" t="n">
        <v>2834.4</v>
      </c>
      <c r="D16" s="0" t="n">
        <v>1291.9</v>
      </c>
    </row>
    <row r="17" customFormat="false" ht="15" hidden="false" customHeight="false" outlineLevel="0" collapsed="false">
      <c r="A17" s="0" t="s">
        <v>19</v>
      </c>
      <c r="B17" s="2" t="n">
        <v>14594.7</v>
      </c>
      <c r="C17" s="0" t="n">
        <v>2945.83</v>
      </c>
      <c r="D17" s="0" t="n">
        <v>1283.35</v>
      </c>
    </row>
    <row r="18" customFormat="false" ht="15" hidden="false" customHeight="false" outlineLevel="0" collapsed="false">
      <c r="A18" s="0" t="s">
        <v>20</v>
      </c>
      <c r="B18" s="2" t="n">
        <v>14704.4</v>
      </c>
      <c r="C18" s="0" t="n">
        <v>2752.06</v>
      </c>
      <c r="D18" s="0" t="n">
        <v>1305.25</v>
      </c>
    </row>
    <row r="19" customFormat="false" ht="15" hidden="false" customHeight="false" outlineLevel="0" collapsed="false">
      <c r="A19" s="0" t="s">
        <v>21</v>
      </c>
      <c r="B19" s="2" t="n">
        <v>14802.8</v>
      </c>
      <c r="C19" s="0" t="n">
        <v>2941.76</v>
      </c>
      <c r="D19" s="0" t="n">
        <v>1409.1</v>
      </c>
    </row>
    <row r="20" customFormat="false" ht="15" hidden="false" customHeight="false" outlineLevel="0" collapsed="false">
      <c r="A20" s="0" t="s">
        <v>22</v>
      </c>
      <c r="B20" s="2" t="n">
        <v>14886.8</v>
      </c>
      <c r="C20" s="0" t="n">
        <v>2980.38</v>
      </c>
      <c r="D20" s="0" t="n">
        <v>1413.55</v>
      </c>
    </row>
    <row r="21" customFormat="false" ht="15" hidden="false" customHeight="false" outlineLevel="0" collapsed="false">
      <c r="A21" s="0" t="s">
        <v>23</v>
      </c>
      <c r="B21" s="2" t="n">
        <v>14974.4</v>
      </c>
      <c r="C21" s="0" t="n">
        <v>2926.46</v>
      </c>
      <c r="D21" s="0" t="n">
        <v>1519.85</v>
      </c>
    </row>
    <row r="22" customFormat="false" ht="15" hidden="false" customHeight="false" outlineLevel="0" collapsed="false">
      <c r="A22" s="0" t="s">
        <v>24</v>
      </c>
      <c r="B22" s="2" t="n">
        <v>15047</v>
      </c>
      <c r="C22" s="0" t="n">
        <v>2976.74</v>
      </c>
      <c r="D22" s="0" t="n">
        <v>1472</v>
      </c>
    </row>
    <row r="23" customFormat="false" ht="15" hidden="false" customHeight="false" outlineLevel="0" collapsed="false">
      <c r="A23" s="0" t="s">
        <v>25</v>
      </c>
      <c r="B23" s="2" t="n">
        <v>15184.1</v>
      </c>
      <c r="C23" s="0" t="n">
        <v>3037.56</v>
      </c>
      <c r="D23" s="0" t="n">
        <v>1513.16</v>
      </c>
    </row>
    <row r="24" customFormat="false" ht="15" hidden="false" customHeight="false" outlineLevel="0" collapsed="false">
      <c r="A24" s="0" t="s">
        <v>26</v>
      </c>
      <c r="B24" s="2" t="n">
        <v>15296</v>
      </c>
      <c r="C24" s="0" t="n">
        <v>3140.98</v>
      </c>
      <c r="D24" s="0" t="n">
        <v>1463.9</v>
      </c>
    </row>
    <row r="25" customFormat="false" ht="15" hidden="false" customHeight="false" outlineLevel="0" collapsed="false">
      <c r="A25" s="0" t="s">
        <v>27</v>
      </c>
      <c r="B25" s="2" t="n">
        <v>15347.5</v>
      </c>
      <c r="C25" s="0" t="n">
        <v>3230.78</v>
      </c>
      <c r="D25" s="0" t="n">
        <v>1517.01</v>
      </c>
    </row>
    <row r="26" customFormat="false" ht="15" hidden="false" customHeight="false" outlineLevel="0" collapsed="false">
      <c r="A26" s="0" t="s">
        <v>28</v>
      </c>
      <c r="B26" s="2" t="n">
        <v>15427.1</v>
      </c>
      <c r="C26" s="0" t="n">
        <v>3225.52</v>
      </c>
      <c r="D26" s="0" t="n">
        <v>1589.81</v>
      </c>
    </row>
    <row r="27" customFormat="false" ht="15" hidden="false" customHeight="false" outlineLevel="0" collapsed="false">
      <c r="A27" s="0" t="s">
        <v>29</v>
      </c>
      <c r="B27" s="2" t="n">
        <v>15493.4</v>
      </c>
      <c r="C27" s="0" t="n">
        <v>2954.22</v>
      </c>
      <c r="D27" s="0" t="n">
        <v>1584.74</v>
      </c>
    </row>
    <row r="28" customFormat="false" ht="15" hidden="false" customHeight="false" outlineLevel="0" collapsed="false">
      <c r="A28" s="0" t="s">
        <v>30</v>
      </c>
      <c r="B28" s="2" t="n">
        <v>16033</v>
      </c>
      <c r="C28" s="0" t="n">
        <v>2584.59</v>
      </c>
      <c r="D28" s="0" t="n">
        <v>1571.05</v>
      </c>
    </row>
    <row r="29" customFormat="false" ht="15" hidden="false" customHeight="false" outlineLevel="0" collapsed="false">
      <c r="A29" s="0" t="s">
        <v>31</v>
      </c>
      <c r="B29" s="2" t="n">
        <v>17065.3</v>
      </c>
      <c r="C29" s="0" t="n">
        <v>2912.43</v>
      </c>
      <c r="D29" s="0" t="n">
        <v>1680.09</v>
      </c>
    </row>
    <row r="30" customFormat="false" ht="15" hidden="false" customHeight="false" outlineLevel="0" collapsed="false">
      <c r="A30" s="0" t="s">
        <v>32</v>
      </c>
      <c r="B30" s="2" t="n">
        <v>17932.9</v>
      </c>
      <c r="C30" s="0" t="n">
        <v>3044.31</v>
      </c>
      <c r="D30" s="0" t="n">
        <v>1726.3</v>
      </c>
    </row>
    <row r="31" customFormat="false" ht="15" hidden="false" customHeight="false" outlineLevel="0" collapsed="false">
      <c r="A31" s="0" t="s">
        <v>33</v>
      </c>
      <c r="B31" s="2" t="n">
        <v>18184.3</v>
      </c>
      <c r="C31" s="0" t="n">
        <v>3100.29</v>
      </c>
      <c r="D31" s="0" t="n">
        <v>1780.67</v>
      </c>
    </row>
    <row r="32" customFormat="false" ht="15" hidden="false" customHeight="false" outlineLevel="0" collapsed="false">
      <c r="A32" s="0" t="s">
        <v>34</v>
      </c>
      <c r="B32" s="2" t="n">
        <v>18335.4</v>
      </c>
      <c r="C32" s="0" t="n">
        <v>3271.12</v>
      </c>
      <c r="D32" s="0" t="n">
        <v>1974.69</v>
      </c>
    </row>
    <row r="33" customFormat="false" ht="15" hidden="false" customHeight="false" outlineLevel="0" collapsed="false">
      <c r="A33" s="0" t="s">
        <v>35</v>
      </c>
      <c r="B33" s="2" t="n">
        <v>18411.2</v>
      </c>
      <c r="C33" s="0" t="n">
        <v>3500.31</v>
      </c>
      <c r="D33" s="0" t="n">
        <v>1969.75</v>
      </c>
    </row>
    <row r="34" customFormat="false" ht="15" hidden="false" customHeight="false" outlineLevel="0" collapsed="false">
      <c r="A34" s="0" t="s">
        <v>36</v>
      </c>
      <c r="B34" s="2" t="n">
        <v>18602.5</v>
      </c>
      <c r="C34" s="0" t="n">
        <v>3363</v>
      </c>
      <c r="D34" s="0" t="n">
        <v>1885.44</v>
      </c>
    </row>
    <row r="35" customFormat="false" ht="15" hidden="false" customHeight="false" outlineLevel="0" collapsed="false">
      <c r="A35" s="0" t="s">
        <v>37</v>
      </c>
      <c r="B35" s="2" t="n">
        <v>18757.6</v>
      </c>
      <c r="C35" s="0" t="n">
        <v>3269.96</v>
      </c>
      <c r="D35" s="0" t="n">
        <v>1877.95</v>
      </c>
    </row>
    <row r="36" customFormat="false" ht="15" hidden="false" customHeight="false" outlineLevel="0" collapsed="false">
      <c r="A36" s="0" t="s">
        <v>38</v>
      </c>
      <c r="B36" s="2" t="n">
        <v>18997</v>
      </c>
      <c r="C36" s="0" t="n">
        <v>3621.63</v>
      </c>
      <c r="D36" s="0" t="n">
        <v>1777.02</v>
      </c>
    </row>
    <row r="37" customFormat="false" ht="15" hidden="false" customHeight="false" outlineLevel="0" collapsed="false">
      <c r="A37" s="0" t="s">
        <v>39</v>
      </c>
      <c r="B37" s="2" t="n">
        <v>19115.7</v>
      </c>
      <c r="C37" s="0" t="n">
        <v>3756.07</v>
      </c>
      <c r="D37" s="0" t="n">
        <v>1896.49</v>
      </c>
    </row>
    <row r="38" customFormat="false" ht="15" hidden="false" customHeight="false" outlineLevel="0" collapsed="false">
      <c r="A38" s="0" t="s">
        <v>40</v>
      </c>
      <c r="B38" s="2" t="n">
        <v>19379</v>
      </c>
      <c r="C38" s="0" t="n">
        <v>3714.24</v>
      </c>
      <c r="D38" s="0" t="n">
        <v>1846.09</v>
      </c>
    </row>
    <row r="39" customFormat="false" ht="15" hidden="false" customHeight="false" outlineLevel="0" collapsed="false">
      <c r="A39" s="0" t="s">
        <v>41</v>
      </c>
      <c r="B39" s="2" t="n">
        <v>19641.8</v>
      </c>
      <c r="C39" s="0" t="n">
        <v>3811.15</v>
      </c>
      <c r="D39" s="0" t="n">
        <v>1733.49</v>
      </c>
    </row>
    <row r="40" customFormat="false" ht="15" hidden="false" customHeight="false" outlineLevel="0" collapsed="false">
      <c r="A40" s="0" t="s">
        <v>42</v>
      </c>
      <c r="B40" s="2" t="n">
        <v>19873.2</v>
      </c>
      <c r="C40" s="0" t="n">
        <v>3972.89</v>
      </c>
      <c r="D40" s="0" t="n">
        <v>1707.01</v>
      </c>
    </row>
    <row r="41" customFormat="false" ht="15" hidden="false" customHeight="false" outlineLevel="0" collapsed="false">
      <c r="A41" s="0" t="s">
        <v>43</v>
      </c>
      <c r="B41" s="2" t="n">
        <v>20176.9</v>
      </c>
      <c r="C41" s="0" t="n">
        <v>4181.17</v>
      </c>
      <c r="D41" s="0" t="n">
        <v>1768.59</v>
      </c>
    </row>
    <row r="42" customFormat="false" ht="15" hidden="false" customHeight="false" outlineLevel="0" collapsed="false">
      <c r="A42" s="0" t="s">
        <v>44</v>
      </c>
      <c r="B42" s="2" t="n">
        <v>20460.4</v>
      </c>
      <c r="C42" s="0" t="n">
        <v>4204.11</v>
      </c>
      <c r="D42" s="0" t="n">
        <v>1906.36</v>
      </c>
    </row>
    <row r="43" customFormat="false" ht="15" hidden="false" customHeight="false" outlineLevel="0" collapsed="false">
      <c r="A43" s="0" t="s">
        <v>45</v>
      </c>
      <c r="B43" s="2" t="n">
        <v>20477.8</v>
      </c>
      <c r="C43" s="0" t="n">
        <v>4297.5</v>
      </c>
      <c r="D43" s="0" t="n">
        <v>1769.8</v>
      </c>
    </row>
    <row r="44" customFormat="false" ht="15" hidden="false" customHeight="false" outlineLevel="0" collapsed="false">
      <c r="A44" s="0" t="s">
        <v>46</v>
      </c>
      <c r="B44" s="2" t="n">
        <v>20633.3</v>
      </c>
      <c r="C44" s="0" t="n">
        <v>4395.26</v>
      </c>
      <c r="D44" s="0" t="n">
        <v>1813.58</v>
      </c>
    </row>
    <row r="45" customFormat="false" ht="15" hidden="false" customHeight="false" outlineLevel="0" collapsed="false">
      <c r="A45" s="0" t="s">
        <v>47</v>
      </c>
      <c r="B45" s="2" t="n">
        <v>20840.9</v>
      </c>
      <c r="C45" s="0" t="n">
        <v>4522.68</v>
      </c>
      <c r="D45" s="0" t="n">
        <v>1813.43</v>
      </c>
    </row>
    <row r="46" customFormat="false" ht="15" hidden="false" customHeight="false" outlineLevel="0" collapsed="false">
      <c r="A46" s="0" t="s">
        <v>48</v>
      </c>
      <c r="B46" s="2" t="n">
        <v>20981</v>
      </c>
      <c r="C46" s="0" t="n">
        <v>4307.54</v>
      </c>
      <c r="D46" s="0" t="n">
        <v>1756.66</v>
      </c>
    </row>
    <row r="47" customFormat="false" ht="15" hidden="false" customHeight="false" outlineLevel="0" collapsed="false">
      <c r="A47" s="0" t="s">
        <v>49</v>
      </c>
      <c r="B47" s="2" t="n">
        <v>21160.6</v>
      </c>
      <c r="C47" s="0" t="n">
        <v>4605.38</v>
      </c>
      <c r="D47" s="0" t="n">
        <v>1782.81</v>
      </c>
    </row>
    <row r="48" customFormat="false" ht="15" hidden="false" customHeight="false" outlineLevel="0" collapsed="false">
      <c r="A48" s="0" t="s">
        <v>50</v>
      </c>
      <c r="B48" s="2" t="n">
        <v>21335.5</v>
      </c>
      <c r="C48" s="0" t="n">
        <v>4567</v>
      </c>
      <c r="D48" s="0" t="n">
        <v>1773.78</v>
      </c>
    </row>
    <row r="49" customFormat="false" ht="15" hidden="false" customHeight="false" outlineLevel="0" collapsed="false">
      <c r="A49" s="0" t="s">
        <v>51</v>
      </c>
      <c r="B49" s="2" t="n">
        <v>21498.5</v>
      </c>
      <c r="C49" s="0" t="n">
        <v>4766.18</v>
      </c>
      <c r="D49" s="0" t="n">
        <v>1828.39</v>
      </c>
    </row>
    <row r="50" customFormat="false" ht="15" hidden="false" customHeight="false" outlineLevel="0" collapsed="false">
      <c r="A50" s="0" t="s">
        <v>52</v>
      </c>
      <c r="B50" s="2" t="n">
        <v>21650.1</v>
      </c>
      <c r="C50" s="0" t="n">
        <v>4515.55</v>
      </c>
      <c r="D50" s="0" t="n">
        <v>1796.47</v>
      </c>
    </row>
    <row r="51" customFormat="false" ht="15" hidden="false" customHeight="false" outlineLevel="0" collapsed="false">
      <c r="A51" s="0" t="s">
        <v>53</v>
      </c>
      <c r="B51" s="2" t="n">
        <v>21725.2</v>
      </c>
      <c r="C51" s="0" t="n">
        <v>4373.94</v>
      </c>
      <c r="D51" s="0" t="n">
        <v>1907.9</v>
      </c>
    </row>
    <row r="52" customFormat="false" ht="15" hidden="false" customHeight="false" outlineLevel="0" collapsed="false">
      <c r="A52" s="0" t="s">
        <v>54</v>
      </c>
      <c r="B52" s="2" t="n">
        <v>21787.2</v>
      </c>
      <c r="C52" s="0" t="n">
        <v>4530.41</v>
      </c>
      <c r="D52" s="0" t="n">
        <v>1937.23</v>
      </c>
    </row>
    <row r="53" customFormat="false" ht="15" hidden="false" customHeight="false" outlineLevel="0" collapsed="false">
      <c r="A53" s="0" t="s">
        <v>55</v>
      </c>
      <c r="B53" s="2" t="n">
        <v>21769.4</v>
      </c>
      <c r="C53" s="0" t="n">
        <v>4131.93</v>
      </c>
      <c r="D53" s="0" t="n">
        <v>1896.4</v>
      </c>
    </row>
    <row r="54" customFormat="false" ht="15" hidden="false" customHeight="false" outlineLevel="0" collapsed="false">
      <c r="A54" s="0" t="s">
        <v>56</v>
      </c>
      <c r="B54" s="2" t="n">
        <v>21719.9</v>
      </c>
      <c r="C54" s="0" t="n">
        <v>4132.15</v>
      </c>
      <c r="D54" s="0" t="n">
        <v>1837.09</v>
      </c>
    </row>
    <row r="55" customFormat="false" ht="15" hidden="false" customHeight="false" outlineLevel="0" collapsed="false">
      <c r="A55" s="0" t="s">
        <v>57</v>
      </c>
      <c r="B55" s="2" t="n">
        <v>21651.5</v>
      </c>
      <c r="C55" s="0" t="n">
        <v>3785.38</v>
      </c>
      <c r="D55" s="0" t="n">
        <v>1806.89</v>
      </c>
    </row>
    <row r="56" customFormat="false" ht="15" hidden="false" customHeight="false" outlineLevel="0" collapsed="false">
      <c r="A56" s="0" t="s">
        <v>58</v>
      </c>
      <c r="B56" s="2" t="n">
        <v>21652.9</v>
      </c>
      <c r="C56" s="0" t="n">
        <v>4130.29</v>
      </c>
      <c r="D56" s="0" t="n">
        <v>1765.22</v>
      </c>
    </row>
    <row r="57" customFormat="false" ht="15" hidden="false" customHeight="false" outlineLevel="0" collapsed="false">
      <c r="A57" s="0" t="s">
        <v>59</v>
      </c>
      <c r="B57" s="2" t="n">
        <v>21638.4</v>
      </c>
      <c r="C57" s="0" t="n">
        <v>3955</v>
      </c>
      <c r="D57" s="0" t="n">
        <v>1710.7</v>
      </c>
    </row>
    <row r="58" customFormat="false" ht="15" hidden="false" customHeight="false" outlineLevel="0" collapsed="false">
      <c r="A58" s="0" t="s">
        <v>60</v>
      </c>
      <c r="B58" s="2" t="n">
        <v>21536.7</v>
      </c>
      <c r="C58" s="0" t="n">
        <v>3585.62</v>
      </c>
      <c r="D58" s="0" t="n">
        <v>1659.67</v>
      </c>
    </row>
    <row r="59" customFormat="false" ht="15" hidden="false" customHeight="false" outlineLevel="0" collapsed="false">
      <c r="A59" s="0" t="s">
        <v>61</v>
      </c>
      <c r="B59" s="2" t="n">
        <v>21461.7</v>
      </c>
      <c r="C59" s="0" t="n">
        <v>3871.98</v>
      </c>
      <c r="D59" s="0" t="n">
        <v>1633.12</v>
      </c>
    </row>
    <row r="60" customFormat="false" ht="15" hidden="false" customHeight="false" outlineLevel="0" collapsed="false">
      <c r="A60" s="0" t="s">
        <v>62</v>
      </c>
      <c r="B60" s="2" t="n">
        <v>21406.7</v>
      </c>
      <c r="C60" s="0" t="n">
        <v>4080.11</v>
      </c>
      <c r="D60" s="0" t="n">
        <v>1768.45</v>
      </c>
    </row>
    <row r="61" customFormat="false" ht="15" hidden="false" customHeight="false" outlineLevel="0" collapsed="false">
      <c r="A61" s="0" t="s">
        <v>63</v>
      </c>
      <c r="B61" s="2" t="n">
        <v>21290.9</v>
      </c>
      <c r="C61" s="0" t="n">
        <v>3839.5</v>
      </c>
      <c r="D61" s="0" t="n">
        <v>1824.4</v>
      </c>
    </row>
    <row r="62" customFormat="false" ht="15" hidden="false" customHeight="false" outlineLevel="0" collapsed="false">
      <c r="A62" s="0" t="s">
        <v>64</v>
      </c>
      <c r="B62" s="2" t="n">
        <v>21279.9</v>
      </c>
      <c r="C62" s="0" t="n">
        <v>4076.6</v>
      </c>
      <c r="D62" s="0" t="n">
        <v>1927.88</v>
      </c>
    </row>
    <row r="63" customFormat="false" ht="15" hidden="false" customHeight="false" outlineLevel="0" collapsed="false">
      <c r="A63" s="0" t="s">
        <v>65</v>
      </c>
      <c r="B63" s="2" t="n">
        <v>21243.7</v>
      </c>
      <c r="C63" s="0" t="n">
        <v>3970.15</v>
      </c>
      <c r="D63" s="0" t="n">
        <v>1827.15</v>
      </c>
    </row>
    <row r="64" customFormat="false" ht="15" hidden="false" customHeight="false" outlineLevel="0" collapsed="false">
      <c r="A64" s="0" t="s">
        <v>66</v>
      </c>
      <c r="B64" s="2" t="n">
        <v>20947.4</v>
      </c>
      <c r="C64" s="0" t="n">
        <v>4109.31</v>
      </c>
      <c r="D64" s="0" t="n">
        <v>1967.9</v>
      </c>
    </row>
    <row r="65" customFormat="false" ht="15" hidden="false" customHeight="false" outlineLevel="0" collapsed="false">
      <c r="A65" s="0" t="s">
        <v>67</v>
      </c>
      <c r="B65" s="2" t="n">
        <v>20761.4</v>
      </c>
      <c r="C65" s="0" t="n">
        <v>4169.48</v>
      </c>
      <c r="D65" s="0" t="n">
        <v>1989.65</v>
      </c>
    </row>
    <row r="66" customFormat="false" ht="15" hidden="false" customHeight="false" outlineLevel="0" collapsed="false">
      <c r="A66" s="0" t="s">
        <v>68</v>
      </c>
      <c r="B66" s="2" t="n">
        <v>20829.6</v>
      </c>
      <c r="C66" s="0" t="n">
        <v>4179.83</v>
      </c>
      <c r="D66" s="0" t="n">
        <v>1962.3</v>
      </c>
    </row>
    <row r="67" customFormat="false" ht="15" hidden="false" customHeight="false" outlineLevel="0" collapsed="false">
      <c r="A67" s="0" t="s">
        <v>69</v>
      </c>
      <c r="B67" s="2" t="n">
        <v>20799.4</v>
      </c>
      <c r="C67" s="0" t="n">
        <v>4450.38</v>
      </c>
      <c r="D67" s="0" t="n">
        <v>1919.57</v>
      </c>
    </row>
    <row r="68" customFormat="false" ht="15" hidden="false" customHeight="false" outlineLevel="0" collapsed="false">
      <c r="A68" s="0" t="s">
        <v>70</v>
      </c>
      <c r="B68" s="2" t="n">
        <v>20791.4</v>
      </c>
      <c r="C68" s="0" t="n">
        <v>4588.96</v>
      </c>
      <c r="D68" s="0" t="n">
        <v>1964.19</v>
      </c>
    </row>
    <row r="69" customFormat="false" ht="15" hidden="false" customHeight="false" outlineLevel="0" collapsed="false">
      <c r="A69" s="0" t="s">
        <v>71</v>
      </c>
      <c r="B69" s="2" t="n">
        <v>20777.5</v>
      </c>
      <c r="C69" s="0" t="n">
        <v>4507.66</v>
      </c>
      <c r="D69" s="0" t="n">
        <v>1939.74</v>
      </c>
    </row>
    <row r="70" customFormat="false" ht="15" hidden="false" customHeight="false" outlineLevel="0" collapsed="false">
      <c r="A70" s="0" t="s">
        <v>72</v>
      </c>
      <c r="B70" s="2" t="n">
        <v>20747.8</v>
      </c>
      <c r="C70" s="0" t="n">
        <v>4288.05</v>
      </c>
      <c r="D70" s="0" t="n">
        <v>1848.31</v>
      </c>
    </row>
    <row r="71" customFormat="false" ht="15" hidden="false" customHeight="false" outlineLevel="0" collapsed="false">
      <c r="A71" s="0" t="s">
        <v>73</v>
      </c>
      <c r="B71" s="2" t="n">
        <v>20732.9</v>
      </c>
      <c r="C71" s="0" t="n">
        <v>4193.8</v>
      </c>
      <c r="D71" s="0" t="n">
        <v>1982.7</v>
      </c>
    </row>
    <row r="72" customFormat="false" ht="15" hidden="false" customHeight="false" outlineLevel="0" collapsed="false">
      <c r="A72" s="0" t="s">
        <v>74</v>
      </c>
      <c r="B72" s="2" t="n">
        <v>20746.4</v>
      </c>
      <c r="C72" s="0" t="n">
        <v>4567.8</v>
      </c>
      <c r="D72" s="0" t="n">
        <v>2035.75</v>
      </c>
    </row>
    <row r="73" customFormat="false" ht="15" hidden="false" customHeight="false" outlineLevel="0" collapsed="false">
      <c r="A73" s="0" t="s">
        <v>75</v>
      </c>
      <c r="B73" s="2" t="n">
        <v>20777.8</v>
      </c>
      <c r="C73" s="0" t="n">
        <v>4769.83</v>
      </c>
      <c r="D73" s="0" t="n">
        <v>2062.59</v>
      </c>
    </row>
    <row r="74" customFormat="false" ht="15" hidden="false" customHeight="false" outlineLevel="0" collapsed="false">
      <c r="A74" s="0" t="s">
        <v>76</v>
      </c>
      <c r="B74" s="2" t="n">
        <v>20843.7</v>
      </c>
      <c r="C74" s="0" t="n">
        <v>4845.65</v>
      </c>
      <c r="D74" s="0" t="n">
        <v>2037.19</v>
      </c>
    </row>
    <row r="75" customFormat="false" ht="15" hidden="false" customHeight="false" outlineLevel="0" collapsed="false">
      <c r="A75" s="0" t="s">
        <v>77</v>
      </c>
      <c r="B75" s="2" t="n">
        <v>20926.9</v>
      </c>
      <c r="C75" s="0" t="n">
        <v>5096.27</v>
      </c>
      <c r="D75" s="0" t="n">
        <v>2043.24</v>
      </c>
    </row>
    <row r="76" customFormat="false" ht="15" hidden="false" customHeight="false" outlineLevel="0" collapsed="false">
      <c r="A76" s="0" t="s">
        <v>78</v>
      </c>
      <c r="B76" s="2" t="n">
        <v>20973.2</v>
      </c>
      <c r="C76" s="0" t="n">
        <v>5254.35</v>
      </c>
      <c r="D76" s="0" t="n">
        <v>2232.38</v>
      </c>
    </row>
    <row r="77" customFormat="false" ht="15" hidden="false" customHeight="false" outlineLevel="0" collapsed="false">
      <c r="A77" s="0" t="s">
        <v>79</v>
      </c>
      <c r="B77" s="2" t="n">
        <v>20958.8</v>
      </c>
      <c r="C77" s="0" t="n">
        <v>5035.69</v>
      </c>
      <c r="D77" s="0" t="n">
        <v>2285.57</v>
      </c>
    </row>
    <row r="78" customFormat="false" ht="15" hidden="false" customHeight="false" outlineLevel="0" collapsed="false">
      <c r="A78" s="0" t="s">
        <v>80</v>
      </c>
      <c r="B78" s="2" t="n">
        <v>21019.9</v>
      </c>
      <c r="C78" s="0" t="n">
        <v>5277.51</v>
      </c>
      <c r="D78" s="0" t="n">
        <v>2326.97</v>
      </c>
    </row>
    <row r="79" customFormat="false" ht="15" hidden="false" customHeight="false" outlineLevel="0" collapsed="false">
      <c r="A79" s="0" t="s">
        <v>81</v>
      </c>
      <c r="B79" s="2" t="n">
        <v>21067.7</v>
      </c>
      <c r="C79" s="0" t="n">
        <v>5460.48</v>
      </c>
      <c r="D79" s="0" t="n">
        <v>2325.71</v>
      </c>
    </row>
    <row r="80" customFormat="false" ht="15" hidden="false" customHeight="false" outlineLevel="0" collapsed="false">
      <c r="A80" s="0" t="s">
        <v>82</v>
      </c>
      <c r="B80" s="2" t="n">
        <v>21094.4</v>
      </c>
      <c r="C80" s="0" t="n">
        <v>5522.3</v>
      </c>
      <c r="D80" s="0" t="n">
        <v>2448.1</v>
      </c>
    </row>
    <row r="81" customFormat="false" ht="15" hidden="false" customHeight="false" outlineLevel="0" collapsed="false">
      <c r="A81" s="0" t="s">
        <v>83</v>
      </c>
      <c r="B81" s="2" t="n">
        <v>21185.8</v>
      </c>
      <c r="C81" s="0" t="n">
        <v>5648.4</v>
      </c>
      <c r="D81" s="0" t="n">
        <v>2503.03</v>
      </c>
    </row>
    <row r="82" customFormat="false" ht="15" hidden="false" customHeight="false" outlineLevel="0" collapsed="false">
      <c r="A82" s="0" t="s">
        <v>84</v>
      </c>
      <c r="B82" s="2" t="n">
        <v>21268.6</v>
      </c>
      <c r="C82" s="0" t="n">
        <v>5762.48</v>
      </c>
      <c r="D82" s="0" t="n">
        <v>2634.49</v>
      </c>
    </row>
    <row r="83" customFormat="false" ht="15" hidden="false" customHeight="false" outlineLevel="0" collapsed="false">
      <c r="A83" s="0" t="s">
        <v>85</v>
      </c>
      <c r="B83" s="2" t="n">
        <v>21331</v>
      </c>
      <c r="C83" s="0" t="n">
        <v>5705.45</v>
      </c>
      <c r="D83" s="0" t="n">
        <v>2743.8</v>
      </c>
    </row>
    <row r="84" customFormat="false" ht="15" hidden="false" customHeight="false" outlineLevel="0" collapsed="false">
      <c r="A84" s="0" t="s">
        <v>86</v>
      </c>
      <c r="B84" s="2" t="n">
        <v>21451.6</v>
      </c>
      <c r="C84" s="0" t="n">
        <v>6032.38</v>
      </c>
      <c r="D84" s="0" t="n">
        <v>2653.55</v>
      </c>
    </row>
    <row r="85" customFormat="false" ht="15" hidden="false" customHeight="false" outlineLevel="0" collapsed="false">
      <c r="A85" s="0" t="s">
        <v>87</v>
      </c>
      <c r="B85" s="2" t="n">
        <v>21485.3</v>
      </c>
      <c r="C85" s="0" t="n">
        <v>5881.63</v>
      </c>
      <c r="D85" s="0" t="n">
        <v>2623.81</v>
      </c>
    </row>
    <row r="86" customFormat="false" ht="15" hidden="false" customHeight="false" outlineLevel="0" collapsed="false">
      <c r="A86" s="0" t="s">
        <v>88</v>
      </c>
      <c r="B86" s="2" t="n">
        <v>21547.6</v>
      </c>
      <c r="C86" s="0" t="n">
        <v>6040.53</v>
      </c>
      <c r="D86" s="0" t="n">
        <v>2801.18</v>
      </c>
    </row>
    <row r="87" customFormat="false" ht="15" hidden="false" customHeight="false" outlineLevel="0" collapsed="false">
      <c r="A87" s="0" t="s">
        <v>89</v>
      </c>
      <c r="B87" s="2" t="n">
        <v>21613.2</v>
      </c>
      <c r="C87" s="0" t="n">
        <v>5954.5</v>
      </c>
      <c r="D87" s="0" t="n">
        <v>2858.77</v>
      </c>
    </row>
    <row r="88" customFormat="false" ht="15" hidden="false" customHeight="false" outlineLevel="0" collapsed="false">
      <c r="A88" s="0" t="s">
        <v>90</v>
      </c>
      <c r="B88" s="2" t="n">
        <v>21693.5</v>
      </c>
      <c r="C88" s="0" t="n">
        <v>5611.85</v>
      </c>
      <c r="D88" s="0" t="n">
        <v>3123.35</v>
      </c>
    </row>
    <row r="89" customFormat="false" ht="15" hidden="false" customHeight="false" outlineLevel="0" collapsed="false">
      <c r="A89" s="0" t="s">
        <v>91</v>
      </c>
      <c r="B89" s="2" t="n">
        <v>21775.5</v>
      </c>
      <c r="C89" s="0" t="n">
        <v>5569.06</v>
      </c>
      <c r="D89" s="0" t="n">
        <v>3288.59</v>
      </c>
    </row>
    <row r="90" customFormat="false" ht="15" hidden="false" customHeight="false" outlineLevel="0" collapsed="false">
      <c r="A90" s="0" t="s">
        <v>92</v>
      </c>
      <c r="B90" s="2" t="n">
        <v>21833.8</v>
      </c>
      <c r="C90" s="0" t="n">
        <v>5911.69</v>
      </c>
      <c r="D90" s="0" t="n">
        <v>3289.4</v>
      </c>
    </row>
    <row r="91" customFormat="false" ht="15" hidden="false" customHeight="false" outlineLevel="0" collapsed="false">
      <c r="A91" s="0" t="s">
        <v>93</v>
      </c>
      <c r="B91" s="2" t="n">
        <v>21938.7</v>
      </c>
      <c r="C91" s="0" t="n">
        <v>6204.95</v>
      </c>
      <c r="D91" s="0" t="n">
        <v>3303.69</v>
      </c>
    </row>
    <row r="92" customFormat="false" ht="15" hidden="false" customHeight="false" outlineLevel="0" collapsed="false">
      <c r="A92" s="0" t="s">
        <v>94</v>
      </c>
      <c r="B92" s="2" t="n">
        <v>22019.9</v>
      </c>
      <c r="C92" s="0" t="n">
        <v>6339.39</v>
      </c>
      <c r="D92" s="0" t="n">
        <v>3290.32</v>
      </c>
    </row>
    <row r="93" customFormat="false" ht="15" hidden="false" customHeight="false" outlineLevel="0" collapsed="false">
      <c r="A93" s="0" t="s">
        <v>95</v>
      </c>
      <c r="B93" s="2" t="n">
        <v>22086.8</v>
      </c>
      <c r="C93" s="0" t="n">
        <v>6460.26</v>
      </c>
      <c r="D93" s="0" t="n">
        <v>3448</v>
      </c>
    </row>
    <row r="94" customFormat="false" ht="15" hidden="false" customHeight="false" outlineLevel="0" collapsed="false">
      <c r="A94" s="0" t="s">
        <v>96</v>
      </c>
      <c r="B94" s="2" t="n">
        <v>22169.8</v>
      </c>
      <c r="C94" s="0" t="n">
        <v>6688.46</v>
      </c>
      <c r="D94" s="0" t="n">
        <v>3858.51</v>
      </c>
    </row>
    <row r="95" customFormat="false" ht="15" hidden="false" customHeight="false" outlineLevel="0" collapsed="false">
      <c r="A95" s="0" t="s">
        <v>97</v>
      </c>
      <c r="B95" s="2" t="n">
        <v>22250.4</v>
      </c>
      <c r="C95" s="0" t="n">
        <v>6840.2</v>
      </c>
      <c r="D95" s="0" t="n">
        <v>4002.28</v>
      </c>
    </row>
    <row r="96" customFormat="false" ht="15" hidden="false" customHeight="false" outlineLevel="0" collapsed="false">
      <c r="A96" s="0" t="s">
        <v>98</v>
      </c>
      <c r="B96" s="2" t="n">
        <v>22296.5</v>
      </c>
      <c r="C96" s="0" t="n">
        <v>6849.09</v>
      </c>
      <c r="D96" s="0" t="n">
        <v>4230.63</v>
      </c>
    </row>
    <row r="97" customFormat="false" ht="15" hidden="false" customHeight="false" outlineLevel="0" collapsed="false">
      <c r="A97" s="0" t="s">
        <v>99</v>
      </c>
      <c r="B97" s="2" t="n">
        <v>22386.9</v>
      </c>
      <c r="C97" s="0" t="n">
        <v>6845.5</v>
      </c>
      <c r="D97" s="0" t="n">
        <v>4315.09</v>
      </c>
    </row>
    <row r="98" customFormat="false" ht="15" hidden="false" customHeight="false" outlineLevel="0" collapsed="false">
      <c r="A98" s="0" t="s">
        <v>100</v>
      </c>
      <c r="B98" s="2" t="n">
        <v>22469.1</v>
      </c>
      <c r="C98" s="0" t="n">
        <v>6939.03</v>
      </c>
      <c r="D98" s="0" t="n">
        <v>4865.35</v>
      </c>
    </row>
    <row r="99" customFormat="false" ht="15" hidden="false" customHeight="false" outlineLevel="0" collapsed="false">
      <c r="A99" s="0" t="s">
        <v>101</v>
      </c>
      <c r="B99" s="2" t="n">
        <v>22667.3</v>
      </c>
      <c r="C99" s="0" t="n">
        <v>6878.88</v>
      </c>
      <c r="D99" s="0" t="n">
        <v>5277.9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6" min="3" style="0" width="16"/>
    <col collapsed="false" customWidth="true" hidden="false" outlineLevel="0" max="7" min="7" style="0" width="14"/>
    <col collapsed="false" customWidth="true" hidden="false" outlineLevel="0" max="11" min="8" style="0" width="15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4"/>
    <col collapsed="false" customWidth="true" hidden="false" outlineLevel="0" max="16" min="16" style="0" width="13"/>
    <col collapsed="false" customWidth="true" hidden="false" outlineLevel="0" max="17" min="17" style="0" width="14"/>
  </cols>
  <sheetData>
    <row r="1" customFormat="false" ht="15" hidden="false" customHeight="false" outlineLevel="0" collapsed="false">
      <c r="A1" s="3" t="s">
        <v>102</v>
      </c>
    </row>
    <row r="2" customFormat="false" ht="15" hidden="false" customHeight="false" outlineLevel="0" collapsed="false">
      <c r="B2" s="4" t="s">
        <v>103</v>
      </c>
      <c r="C2" s="4" t="s">
        <v>104</v>
      </c>
      <c r="D2" s="4" t="s">
        <v>105</v>
      </c>
      <c r="E2" s="4" t="s">
        <v>106</v>
      </c>
      <c r="F2" s="4" t="s">
        <v>107</v>
      </c>
    </row>
    <row r="3" customFormat="false" ht="15" hidden="false" customHeight="false" outlineLevel="0" collapsed="false">
      <c r="B3" s="5" t="n">
        <v>-0.165</v>
      </c>
      <c r="C3" s="5" t="n">
        <v>0.18432</v>
      </c>
      <c r="D3" s="5" t="n">
        <v>-0.22046</v>
      </c>
      <c r="E3" s="5" t="n">
        <v>0.13989</v>
      </c>
      <c r="F3" s="5" t="n">
        <v>0.35556</v>
      </c>
    </row>
    <row r="5" customFormat="false" ht="49.5" hidden="false" customHeight="true" outlineLevel="0" collapsed="false">
      <c r="A5" s="6" t="s">
        <v>108</v>
      </c>
      <c r="B5" s="6" t="s">
        <v>0</v>
      </c>
      <c r="C5" s="6" t="s">
        <v>109</v>
      </c>
      <c r="D5" s="6" t="s">
        <v>110</v>
      </c>
      <c r="E5" s="6" t="s">
        <v>111</v>
      </c>
      <c r="F5" s="6" t="s">
        <v>112</v>
      </c>
      <c r="G5" s="6" t="s">
        <v>113</v>
      </c>
      <c r="H5" s="6" t="s">
        <v>114</v>
      </c>
      <c r="I5" s="6" t="s">
        <v>115</v>
      </c>
      <c r="J5" s="6" t="s">
        <v>116</v>
      </c>
      <c r="K5" s="6" t="s">
        <v>117</v>
      </c>
      <c r="L5" s="6" t="s">
        <v>118</v>
      </c>
      <c r="M5" s="6" t="s">
        <v>119</v>
      </c>
      <c r="N5" s="6" t="s">
        <v>120</v>
      </c>
      <c r="O5" s="6" t="s">
        <v>121</v>
      </c>
      <c r="P5" s="6" t="s">
        <v>122</v>
      </c>
      <c r="Q5" s="6" t="s">
        <v>123</v>
      </c>
    </row>
    <row r="6" customFormat="false" ht="15" hidden="false" customHeight="false" outlineLevel="0" collapsed="false">
      <c r="A6" s="7" t="n">
        <v>29</v>
      </c>
      <c r="B6" s="8" t="str">
        <f aca="false">'Data Asli'!A30</f>
        <v>2020-05-01</v>
      </c>
      <c r="C6" s="7" t="n">
        <f aca="false">'Data Asli'!B5-'Data Asli'!B4</f>
        <v>23.1999999999989</v>
      </c>
      <c r="D6" s="7" t="n">
        <f aca="false">'Data Asli'!B4-'Data Asli'!B3</f>
        <v>63.4000000000015</v>
      </c>
      <c r="E6" s="7" t="n">
        <f aca="false">'Data Asli'!B3-'Data Asli'!B2</f>
        <v>49</v>
      </c>
      <c r="F6" s="7" t="n">
        <f aca="false">'Data Asli'!C18-'Data Asli'!C17</f>
        <v>-193.77</v>
      </c>
      <c r="G6" s="7" t="n">
        <v>0</v>
      </c>
      <c r="H6" s="7" t="n">
        <f aca="false">$B$3*C6</f>
        <v>-3.82799999999982</v>
      </c>
      <c r="I6" s="7" t="n">
        <f aca="false">$C$3*D6</f>
        <v>11.6858880000003</v>
      </c>
      <c r="J6" s="7" t="n">
        <f aca="false">$D$3*E6</f>
        <v>-10.80254</v>
      </c>
      <c r="K6" s="7" t="n">
        <f aca="false">$E$3*F6</f>
        <v>-27.1064853</v>
      </c>
      <c r="L6" s="7" t="n">
        <f aca="false">$F$3*G6</f>
        <v>0</v>
      </c>
      <c r="M6" s="7" t="n">
        <f aca="false">H6+I6+J6+K6+L6</f>
        <v>-30.0511372999995</v>
      </c>
      <c r="N6" s="7" t="n">
        <f aca="false">'Data Asli'!D29</f>
        <v>1680.09</v>
      </c>
      <c r="O6" s="9" t="n">
        <f aca="false">M6+N6</f>
        <v>1650.0388627</v>
      </c>
      <c r="P6" s="7" t="n">
        <f aca="false">'Data Asli'!D30</f>
        <v>1726.3</v>
      </c>
      <c r="Q6" s="7" t="n">
        <f aca="false">(P6-N6)-M6</f>
        <v>76.2611372999996</v>
      </c>
    </row>
    <row r="7" customFormat="false" ht="15" hidden="false" customHeight="false" outlineLevel="0" collapsed="false">
      <c r="A7" s="10" t="n">
        <v>30</v>
      </c>
      <c r="B7" s="11" t="str">
        <f aca="false">'Data Asli'!A31</f>
        <v>2020-06-01</v>
      </c>
      <c r="C7" s="10" t="n">
        <f aca="false">'Data Asli'!B6-'Data Asli'!B5</f>
        <v>56.5</v>
      </c>
      <c r="D7" s="10" t="n">
        <f aca="false">'Data Asli'!B5-'Data Asli'!B4</f>
        <v>23.1999999999989</v>
      </c>
      <c r="E7" s="10" t="n">
        <f aca="false">'Data Asli'!B4-'Data Asli'!B3</f>
        <v>63.4000000000015</v>
      </c>
      <c r="F7" s="10" t="n">
        <f aca="false">'Data Asli'!C19-'Data Asli'!C18</f>
        <v>189.7</v>
      </c>
      <c r="G7" s="10" t="n">
        <v>0</v>
      </c>
      <c r="H7" s="10" t="n">
        <f aca="false">$B$3*C7</f>
        <v>-9.3225</v>
      </c>
      <c r="I7" s="10" t="n">
        <f aca="false">$C$3*D7</f>
        <v>4.2762239999998</v>
      </c>
      <c r="J7" s="10" t="n">
        <f aca="false">$D$3*E7</f>
        <v>-13.9771640000003</v>
      </c>
      <c r="K7" s="10" t="n">
        <f aca="false">$E$3*F7</f>
        <v>26.537133</v>
      </c>
      <c r="L7" s="10" t="n">
        <f aca="false">$F$3*G7</f>
        <v>0</v>
      </c>
      <c r="M7" s="10" t="n">
        <f aca="false">H7+I7+J7+K7+L7</f>
        <v>7.51369299999952</v>
      </c>
      <c r="N7" s="10" t="n">
        <f aca="false">'Data Asli'!D30</f>
        <v>1726.3</v>
      </c>
      <c r="O7" s="9" t="n">
        <f aca="false">M7+N7</f>
        <v>1733.813693</v>
      </c>
      <c r="P7" s="10" t="n">
        <f aca="false">'Data Asli'!D31</f>
        <v>1780.67</v>
      </c>
      <c r="Q7" s="10" t="n">
        <f aca="false">(P7-N7)-M7</f>
        <v>46.8563070000006</v>
      </c>
    </row>
    <row r="8" customFormat="false" ht="15" hidden="false" customHeight="false" outlineLevel="0" collapsed="false">
      <c r="A8" s="7" t="n">
        <v>31</v>
      </c>
      <c r="B8" s="8" t="str">
        <f aca="false">'Data Asli'!A32</f>
        <v>2020-07-01</v>
      </c>
      <c r="C8" s="7" t="n">
        <f aca="false">'Data Asli'!B7-'Data Asli'!B6</f>
        <v>44.8000000000011</v>
      </c>
      <c r="D8" s="7" t="n">
        <f aca="false">'Data Asli'!B6-'Data Asli'!B5</f>
        <v>56.5</v>
      </c>
      <c r="E8" s="7" t="n">
        <f aca="false">'Data Asli'!B5-'Data Asli'!B4</f>
        <v>23.1999999999989</v>
      </c>
      <c r="F8" s="7" t="n">
        <f aca="false">'Data Asli'!C20-'Data Asli'!C19</f>
        <v>38.6199999999999</v>
      </c>
      <c r="G8" s="7" t="n">
        <v>0</v>
      </c>
      <c r="H8" s="7" t="n">
        <f aca="false">$B$3*C8</f>
        <v>-7.39200000000018</v>
      </c>
      <c r="I8" s="7" t="n">
        <f aca="false">$C$3*D8</f>
        <v>10.41408</v>
      </c>
      <c r="J8" s="7" t="n">
        <f aca="false">$D$3*E8</f>
        <v>-5.11467199999976</v>
      </c>
      <c r="K8" s="7" t="n">
        <f aca="false">$E$3*F8</f>
        <v>5.40255179999998</v>
      </c>
      <c r="L8" s="7" t="n">
        <f aca="false">$F$3*G8</f>
        <v>0</v>
      </c>
      <c r="M8" s="7" t="n">
        <f aca="false">H8+I8+J8+K8+L8</f>
        <v>3.30995980000005</v>
      </c>
      <c r="N8" s="7" t="n">
        <f aca="false">'Data Asli'!D31</f>
        <v>1780.67</v>
      </c>
      <c r="O8" s="9" t="n">
        <f aca="false">M8+N8</f>
        <v>1783.9799598</v>
      </c>
      <c r="P8" s="7" t="n">
        <f aca="false">'Data Asli'!D32</f>
        <v>1974.69</v>
      </c>
      <c r="Q8" s="7" t="n">
        <f aca="false">(P8-N8)-M8</f>
        <v>190.7100402</v>
      </c>
    </row>
    <row r="9" customFormat="false" ht="15" hidden="false" customHeight="false" outlineLevel="0" collapsed="false">
      <c r="A9" s="10" t="n">
        <v>32</v>
      </c>
      <c r="B9" s="11" t="str">
        <f aca="false">'Data Asli'!A33</f>
        <v>2020-08-01</v>
      </c>
      <c r="C9" s="10" t="n">
        <f aca="false">'Data Asli'!B8-'Data Asli'!B7</f>
        <v>37.3999999999996</v>
      </c>
      <c r="D9" s="10" t="n">
        <f aca="false">'Data Asli'!B7-'Data Asli'!B6</f>
        <v>44.8000000000011</v>
      </c>
      <c r="E9" s="10" t="n">
        <f aca="false">'Data Asli'!B6-'Data Asli'!B5</f>
        <v>56.5</v>
      </c>
      <c r="F9" s="10" t="n">
        <f aca="false">'Data Asli'!C21-'Data Asli'!C20</f>
        <v>-53.9200000000001</v>
      </c>
      <c r="G9" s="10" t="n">
        <v>0</v>
      </c>
      <c r="H9" s="10" t="n">
        <f aca="false">$B$3*C9</f>
        <v>-6.17099999999994</v>
      </c>
      <c r="I9" s="10" t="n">
        <f aca="false">$C$3*D9</f>
        <v>8.2575360000002</v>
      </c>
      <c r="J9" s="10" t="n">
        <f aca="false">$D$3*E9</f>
        <v>-12.45599</v>
      </c>
      <c r="K9" s="10" t="n">
        <f aca="false">$E$3*F9</f>
        <v>-7.54286880000001</v>
      </c>
      <c r="L9" s="10" t="n">
        <f aca="false">$F$3*G9</f>
        <v>0</v>
      </c>
      <c r="M9" s="10" t="n">
        <f aca="false">H9+I9+J9+K9+L9</f>
        <v>-17.9123227999998</v>
      </c>
      <c r="N9" s="10" t="n">
        <f aca="false">'Data Asli'!D32</f>
        <v>1974.69</v>
      </c>
      <c r="O9" s="9" t="n">
        <f aca="false">M9+N9</f>
        <v>1956.7776772</v>
      </c>
      <c r="P9" s="10" t="n">
        <f aca="false">'Data Asli'!D33</f>
        <v>1969.75</v>
      </c>
      <c r="Q9" s="10" t="n">
        <f aca="false">(P9-N9)-M9</f>
        <v>12.9723227999997</v>
      </c>
    </row>
    <row r="10" customFormat="false" ht="15" hidden="false" customHeight="false" outlineLevel="0" collapsed="false">
      <c r="A10" s="7" t="n">
        <v>33</v>
      </c>
      <c r="B10" s="8" t="str">
        <f aca="false">'Data Asli'!A34</f>
        <v>2020-09-01</v>
      </c>
      <c r="C10" s="7" t="n">
        <f aca="false">'Data Asli'!B9-'Data Asli'!B8</f>
        <v>48.6000000000004</v>
      </c>
      <c r="D10" s="7" t="n">
        <f aca="false">'Data Asli'!B8-'Data Asli'!B7</f>
        <v>37.3999999999996</v>
      </c>
      <c r="E10" s="7" t="n">
        <f aca="false">'Data Asli'!B7-'Data Asli'!B6</f>
        <v>44.8000000000011</v>
      </c>
      <c r="F10" s="7" t="n">
        <f aca="false">'Data Asli'!C22-'Data Asli'!C21</f>
        <v>50.2799999999997</v>
      </c>
      <c r="G10" s="7" t="n">
        <v>0</v>
      </c>
      <c r="H10" s="7" t="n">
        <f aca="false">$B$3*C10</f>
        <v>-8.01900000000006</v>
      </c>
      <c r="I10" s="7" t="n">
        <f aca="false">$C$3*D10</f>
        <v>6.89356799999993</v>
      </c>
      <c r="J10" s="7" t="n">
        <f aca="false">$D$3*E10</f>
        <v>-9.87660800000024</v>
      </c>
      <c r="K10" s="7" t="n">
        <f aca="false">$E$3*F10</f>
        <v>7.03366919999996</v>
      </c>
      <c r="L10" s="7" t="n">
        <f aca="false">$F$3*G10</f>
        <v>0</v>
      </c>
      <c r="M10" s="7" t="n">
        <f aca="false">H10+I10+J10+K10+L10</f>
        <v>-3.9683708000004</v>
      </c>
      <c r="N10" s="7" t="n">
        <f aca="false">'Data Asli'!D33</f>
        <v>1969.75</v>
      </c>
      <c r="O10" s="9" t="n">
        <f aca="false">M10+N10</f>
        <v>1965.7816292</v>
      </c>
      <c r="P10" s="7" t="n">
        <f aca="false">'Data Asli'!D34</f>
        <v>1885.44</v>
      </c>
      <c r="Q10" s="7" t="n">
        <f aca="false">(P10-N10)-M10</f>
        <v>-80.3416291999996</v>
      </c>
    </row>
    <row r="11" customFormat="false" ht="15" hidden="false" customHeight="false" outlineLevel="0" collapsed="false">
      <c r="A11" s="10" t="n">
        <v>34</v>
      </c>
      <c r="B11" s="11" t="str">
        <f aca="false">'Data Asli'!A35</f>
        <v>2020-10-01</v>
      </c>
      <c r="C11" s="10" t="n">
        <f aca="false">'Data Asli'!B10-'Data Asli'!B9</f>
        <v>22.2999999999993</v>
      </c>
      <c r="D11" s="10" t="n">
        <f aca="false">'Data Asli'!B9-'Data Asli'!B8</f>
        <v>48.6000000000004</v>
      </c>
      <c r="E11" s="10" t="n">
        <f aca="false">'Data Asli'!B8-'Data Asli'!B7</f>
        <v>37.3999999999996</v>
      </c>
      <c r="F11" s="10" t="n">
        <f aca="false">'Data Asli'!C23-'Data Asli'!C22</f>
        <v>60.8200000000002</v>
      </c>
      <c r="G11" s="10" t="n">
        <f aca="false">Q6</f>
        <v>76.2611372999996</v>
      </c>
      <c r="H11" s="10" t="n">
        <f aca="false">$B$3*C11</f>
        <v>-3.67949999999988</v>
      </c>
      <c r="I11" s="10" t="n">
        <f aca="false">$C$3*D11</f>
        <v>8.95795200000007</v>
      </c>
      <c r="J11" s="10" t="n">
        <f aca="false">$D$3*E11</f>
        <v>-8.24520399999992</v>
      </c>
      <c r="K11" s="10" t="n">
        <f aca="false">$E$3*F11</f>
        <v>8.50810980000002</v>
      </c>
      <c r="L11" s="10" t="n">
        <f aca="false">$F$3*G11</f>
        <v>27.1154099783879</v>
      </c>
      <c r="M11" s="10" t="n">
        <f aca="false">H11+I11+J11+K11+L11</f>
        <v>32.6567677783881</v>
      </c>
      <c r="N11" s="10" t="n">
        <f aca="false">'Data Asli'!D34</f>
        <v>1885.44</v>
      </c>
      <c r="O11" s="9" t="n">
        <f aca="false">M11+N11</f>
        <v>1918.09676777839</v>
      </c>
      <c r="P11" s="10" t="n">
        <f aca="false">'Data Asli'!D35</f>
        <v>1877.95</v>
      </c>
      <c r="Q11" s="10" t="n">
        <f aca="false">(P11-N11)-M11</f>
        <v>-40.1467677783882</v>
      </c>
    </row>
    <row r="12" customFormat="false" ht="15" hidden="false" customHeight="false" outlineLevel="0" collapsed="false">
      <c r="A12" s="7" t="n">
        <v>35</v>
      </c>
      <c r="B12" s="8" t="str">
        <f aca="false">'Data Asli'!A36</f>
        <v>2020-11-01</v>
      </c>
      <c r="C12" s="7" t="n">
        <f aca="false">'Data Asli'!B11-'Data Asli'!B10</f>
        <v>11.1000000000004</v>
      </c>
      <c r="D12" s="7" t="n">
        <f aca="false">'Data Asli'!B10-'Data Asli'!B9</f>
        <v>22.2999999999993</v>
      </c>
      <c r="E12" s="7" t="n">
        <f aca="false">'Data Asli'!B9-'Data Asli'!B8</f>
        <v>48.6000000000004</v>
      </c>
      <c r="F12" s="7" t="n">
        <f aca="false">'Data Asli'!C24-'Data Asli'!C23</f>
        <v>103.42</v>
      </c>
      <c r="G12" s="7" t="n">
        <f aca="false">Q7</f>
        <v>46.8563070000006</v>
      </c>
      <c r="H12" s="7" t="n">
        <f aca="false">$B$3*C12</f>
        <v>-1.83150000000006</v>
      </c>
      <c r="I12" s="7" t="n">
        <f aca="false">$C$3*D12</f>
        <v>4.11033599999987</v>
      </c>
      <c r="J12" s="7" t="n">
        <f aca="false">$D$3*E12</f>
        <v>-10.7143560000001</v>
      </c>
      <c r="K12" s="7" t="n">
        <f aca="false">$E$3*F12</f>
        <v>14.4674238</v>
      </c>
      <c r="L12" s="7" t="n">
        <f aca="false">$F$3*G12</f>
        <v>16.6602285169202</v>
      </c>
      <c r="M12" s="7" t="n">
        <f aca="false">H12+I12+J12+K12+L12</f>
        <v>22.69213231692</v>
      </c>
      <c r="N12" s="7" t="n">
        <f aca="false">'Data Asli'!D35</f>
        <v>1877.95</v>
      </c>
      <c r="O12" s="9" t="n">
        <f aca="false">M12+N12</f>
        <v>1900.64213231692</v>
      </c>
      <c r="P12" s="7" t="n">
        <f aca="false">'Data Asli'!D36</f>
        <v>1777.02</v>
      </c>
      <c r="Q12" s="7" t="n">
        <f aca="false">(P12-N12)-M12</f>
        <v>-123.62213231692</v>
      </c>
    </row>
    <row r="13" customFormat="false" ht="15" hidden="false" customHeight="false" outlineLevel="0" collapsed="false">
      <c r="A13" s="10" t="n">
        <v>36</v>
      </c>
      <c r="B13" s="11" t="str">
        <f aca="false">'Data Asli'!A37</f>
        <v>2020-12-01</v>
      </c>
      <c r="C13" s="10" t="n">
        <f aca="false">'Data Asli'!B12-'Data Asli'!B11</f>
        <v>26.1999999999989</v>
      </c>
      <c r="D13" s="10" t="n">
        <f aca="false">'Data Asli'!B11-'Data Asli'!B10</f>
        <v>11.1000000000004</v>
      </c>
      <c r="E13" s="10" t="n">
        <f aca="false">'Data Asli'!B10-'Data Asli'!B9</f>
        <v>22.2999999999993</v>
      </c>
      <c r="F13" s="10" t="n">
        <f aca="false">'Data Asli'!C25-'Data Asli'!C24</f>
        <v>89.8000000000002</v>
      </c>
      <c r="G13" s="10" t="n">
        <f aca="false">Q8</f>
        <v>190.7100402</v>
      </c>
      <c r="H13" s="10" t="n">
        <f aca="false">$B$3*C13</f>
        <v>-4.32299999999982</v>
      </c>
      <c r="I13" s="10" t="n">
        <f aca="false">$C$3*D13</f>
        <v>2.04595200000007</v>
      </c>
      <c r="J13" s="10" t="n">
        <f aca="false">$D$3*E13</f>
        <v>-4.91625799999984</v>
      </c>
      <c r="K13" s="10" t="n">
        <f aca="false">$E$3*F13</f>
        <v>12.562122</v>
      </c>
      <c r="L13" s="10" t="n">
        <f aca="false">$F$3*G13</f>
        <v>67.808861893512</v>
      </c>
      <c r="M13" s="10" t="n">
        <f aca="false">H13+I13+J13+K13+L13</f>
        <v>73.1776778935124</v>
      </c>
      <c r="N13" s="10" t="n">
        <f aca="false">'Data Asli'!D36</f>
        <v>1777.02</v>
      </c>
      <c r="O13" s="9" t="n">
        <f aca="false">M13+N13</f>
        <v>1850.19767789351</v>
      </c>
      <c r="P13" s="10" t="n">
        <f aca="false">'Data Asli'!D37</f>
        <v>1896.49</v>
      </c>
      <c r="Q13" s="10" t="n">
        <f aca="false">(P13-N13)-M13</f>
        <v>46.2923221064876</v>
      </c>
    </row>
    <row r="14" customFormat="false" ht="15" hidden="false" customHeight="false" outlineLevel="0" collapsed="false">
      <c r="A14" s="7" t="n">
        <v>37</v>
      </c>
      <c r="B14" s="8" t="str">
        <f aca="false">'Data Asli'!A38</f>
        <v>2021-01-01</v>
      </c>
      <c r="C14" s="7" t="n">
        <f aca="false">'Data Asli'!B13-'Data Asli'!B12</f>
        <v>104</v>
      </c>
      <c r="D14" s="7" t="n">
        <f aca="false">'Data Asli'!B12-'Data Asli'!B11</f>
        <v>26.1999999999989</v>
      </c>
      <c r="E14" s="7" t="n">
        <f aca="false">'Data Asli'!B11-'Data Asli'!B10</f>
        <v>11.1000000000004</v>
      </c>
      <c r="F14" s="7" t="n">
        <f aca="false">'Data Asli'!C26-'Data Asli'!C25</f>
        <v>-5.26000000000022</v>
      </c>
      <c r="G14" s="7" t="n">
        <f aca="false">Q9</f>
        <v>12.9723227999997</v>
      </c>
      <c r="H14" s="7" t="n">
        <f aca="false">$B$3*C14</f>
        <v>-17.16</v>
      </c>
      <c r="I14" s="7" t="n">
        <f aca="false">$C$3*D14</f>
        <v>4.8291839999998</v>
      </c>
      <c r="J14" s="7" t="n">
        <f aca="false">$D$3*E14</f>
        <v>-2.44710600000008</v>
      </c>
      <c r="K14" s="7" t="n">
        <f aca="false">$E$3*F14</f>
        <v>-0.735821400000031</v>
      </c>
      <c r="L14" s="7" t="n">
        <f aca="false">$F$3*G14</f>
        <v>4.61243909476789</v>
      </c>
      <c r="M14" s="7" t="n">
        <f aca="false">H14+I14+J14+K14+L14</f>
        <v>-10.9013043052324</v>
      </c>
      <c r="N14" s="7" t="n">
        <f aca="false">'Data Asli'!D37</f>
        <v>1896.49</v>
      </c>
      <c r="O14" s="9" t="n">
        <f aca="false">M14+N14</f>
        <v>1885.58869569477</v>
      </c>
      <c r="P14" s="7" t="n">
        <f aca="false">'Data Asli'!D38</f>
        <v>1846.09</v>
      </c>
      <c r="Q14" s="7" t="n">
        <f aca="false">(P14-N14)-M14</f>
        <v>-39.4986956947677</v>
      </c>
    </row>
    <row r="15" customFormat="false" ht="15" hidden="false" customHeight="false" outlineLevel="0" collapsed="false">
      <c r="A15" s="10" t="n">
        <v>38</v>
      </c>
      <c r="B15" s="11" t="str">
        <f aca="false">'Data Asli'!A39</f>
        <v>2021-02-01</v>
      </c>
      <c r="C15" s="10" t="n">
        <f aca="false">'Data Asli'!B14-'Data Asli'!B13</f>
        <v>72.9000000000015</v>
      </c>
      <c r="D15" s="10" t="n">
        <f aca="false">'Data Asli'!B13-'Data Asli'!B12</f>
        <v>104</v>
      </c>
      <c r="E15" s="10" t="n">
        <f aca="false">'Data Asli'!B12-'Data Asli'!B11</f>
        <v>26.1999999999989</v>
      </c>
      <c r="F15" s="10" t="n">
        <f aca="false">'Data Asli'!C27-'Data Asli'!C26</f>
        <v>-271.3</v>
      </c>
      <c r="G15" s="10" t="n">
        <f aca="false">Q10</f>
        <v>-80.3416291999996</v>
      </c>
      <c r="H15" s="10" t="n">
        <f aca="false">$B$3*C15</f>
        <v>-12.0285000000002</v>
      </c>
      <c r="I15" s="10" t="n">
        <f aca="false">$C$3*D15</f>
        <v>19.16928</v>
      </c>
      <c r="J15" s="10" t="n">
        <f aca="false">$D$3*E15</f>
        <v>-5.77605199999976</v>
      </c>
      <c r="K15" s="10" t="n">
        <f aca="false">$E$3*F15</f>
        <v>-37.952157</v>
      </c>
      <c r="L15" s="10" t="n">
        <f aca="false">$F$3*G15</f>
        <v>-28.5662696783518</v>
      </c>
      <c r="M15" s="10" t="n">
        <f aca="false">H15+I15+J15+K15+L15</f>
        <v>-65.1536986783519</v>
      </c>
      <c r="N15" s="10" t="n">
        <f aca="false">'Data Asli'!D38</f>
        <v>1846.09</v>
      </c>
      <c r="O15" s="9" t="n">
        <f aca="false">M15+N15</f>
        <v>1780.93630132165</v>
      </c>
      <c r="P15" s="10" t="n">
        <f aca="false">'Data Asli'!D39</f>
        <v>1733.49</v>
      </c>
      <c r="Q15" s="10" t="n">
        <f aca="false">(P15-N15)-M15</f>
        <v>-47.4463013216481</v>
      </c>
    </row>
    <row r="16" customFormat="false" ht="15" hidden="false" customHeight="false" outlineLevel="0" collapsed="false">
      <c r="A16" s="7" t="n">
        <v>39</v>
      </c>
      <c r="B16" s="8" t="str">
        <f aca="false">'Data Asli'!A40</f>
        <v>2021-03-01</v>
      </c>
      <c r="C16" s="7" t="n">
        <f aca="false">'Data Asli'!B15-'Data Asli'!B14</f>
        <v>46.5999999999985</v>
      </c>
      <c r="D16" s="7" t="n">
        <f aca="false">'Data Asli'!B14-'Data Asli'!B13</f>
        <v>72.9000000000015</v>
      </c>
      <c r="E16" s="7" t="n">
        <f aca="false">'Data Asli'!B13-'Data Asli'!B12</f>
        <v>104</v>
      </c>
      <c r="F16" s="7" t="n">
        <f aca="false">'Data Asli'!C28-'Data Asli'!C27</f>
        <v>-369.63</v>
      </c>
      <c r="G16" s="7" t="n">
        <f aca="false">Q11</f>
        <v>-40.1467677783882</v>
      </c>
      <c r="H16" s="7" t="n">
        <f aca="false">$B$3*C16</f>
        <v>-7.68899999999976</v>
      </c>
      <c r="I16" s="7" t="n">
        <f aca="false">$C$3*D16</f>
        <v>13.4369280000003</v>
      </c>
      <c r="J16" s="7" t="n">
        <f aca="false">$D$3*E16</f>
        <v>-22.92784</v>
      </c>
      <c r="K16" s="7" t="n">
        <f aca="false">$E$3*F16</f>
        <v>-51.7075406999999</v>
      </c>
      <c r="L16" s="7" t="n">
        <f aca="false">$F$3*G16</f>
        <v>-14.2745847512837</v>
      </c>
      <c r="M16" s="7" t="n">
        <f aca="false">H16+I16+J16+K16+L16</f>
        <v>-83.1620374512831</v>
      </c>
      <c r="N16" s="7" t="n">
        <f aca="false">'Data Asli'!D39</f>
        <v>1733.49</v>
      </c>
      <c r="O16" s="9" t="n">
        <f aca="false">M16+N16</f>
        <v>1650.32796254872</v>
      </c>
      <c r="P16" s="7" t="n">
        <f aca="false">'Data Asli'!D40</f>
        <v>1707.01</v>
      </c>
      <c r="Q16" s="7" t="n">
        <f aca="false">(P16-N16)-M16</f>
        <v>56.6820374512831</v>
      </c>
    </row>
    <row r="17" customFormat="false" ht="15" hidden="false" customHeight="false" outlineLevel="0" collapsed="false">
      <c r="A17" s="10" t="n">
        <v>40</v>
      </c>
      <c r="B17" s="11" t="str">
        <f aca="false">'Data Asli'!A41</f>
        <v>2021-04-01</v>
      </c>
      <c r="C17" s="10" t="n">
        <f aca="false">'Data Asli'!B16-'Data Asli'!B15</f>
        <v>51.2000000000007</v>
      </c>
      <c r="D17" s="10" t="n">
        <f aca="false">'Data Asli'!B15-'Data Asli'!B14</f>
        <v>46.5999999999985</v>
      </c>
      <c r="E17" s="10" t="n">
        <f aca="false">'Data Asli'!B14-'Data Asli'!B13</f>
        <v>72.9000000000015</v>
      </c>
      <c r="F17" s="10" t="n">
        <f aca="false">'Data Asli'!C29-'Data Asli'!C28</f>
        <v>327.84</v>
      </c>
      <c r="G17" s="10" t="n">
        <f aca="false">Q12</f>
        <v>-123.62213231692</v>
      </c>
      <c r="H17" s="10" t="n">
        <f aca="false">$B$3*C17</f>
        <v>-8.44800000000012</v>
      </c>
      <c r="I17" s="10" t="n">
        <f aca="false">$C$3*D17</f>
        <v>8.58931199999973</v>
      </c>
      <c r="J17" s="10" t="n">
        <f aca="false">$D$3*E17</f>
        <v>-16.0715340000003</v>
      </c>
      <c r="K17" s="10" t="n">
        <f aca="false">$E$3*F17</f>
        <v>45.8615376</v>
      </c>
      <c r="L17" s="10" t="n">
        <f aca="false">$F$3*G17</f>
        <v>-43.9550853666041</v>
      </c>
      <c r="M17" s="10" t="n">
        <f aca="false">H17+I17+J17+K17+L17</f>
        <v>-14.0237697666048</v>
      </c>
      <c r="N17" s="10" t="n">
        <f aca="false">'Data Asli'!D40</f>
        <v>1707.01</v>
      </c>
      <c r="O17" s="9" t="n">
        <f aca="false">M17+N17</f>
        <v>1692.9862302334</v>
      </c>
      <c r="P17" s="10" t="n">
        <f aca="false">'Data Asli'!D41</f>
        <v>1768.59</v>
      </c>
      <c r="Q17" s="10" t="n">
        <f aca="false">(P17-N17)-M17</f>
        <v>75.6037697666048</v>
      </c>
    </row>
    <row r="18" customFormat="false" ht="15" hidden="false" customHeight="false" outlineLevel="0" collapsed="false">
      <c r="A18" s="7" t="n">
        <v>41</v>
      </c>
      <c r="B18" s="8" t="str">
        <f aca="false">'Data Asli'!A42</f>
        <v>2021-05-01</v>
      </c>
      <c r="C18" s="7" t="n">
        <f aca="false">'Data Asli'!B17-'Data Asli'!B16</f>
        <v>37.2000000000007</v>
      </c>
      <c r="D18" s="7" t="n">
        <f aca="false">'Data Asli'!B16-'Data Asli'!B15</f>
        <v>51.2000000000007</v>
      </c>
      <c r="E18" s="7" t="n">
        <f aca="false">'Data Asli'!B15-'Data Asli'!B14</f>
        <v>46.5999999999985</v>
      </c>
      <c r="F18" s="7" t="n">
        <f aca="false">'Data Asli'!C30-'Data Asli'!C29</f>
        <v>131.88</v>
      </c>
      <c r="G18" s="7" t="n">
        <f aca="false">Q13</f>
        <v>46.2923221064876</v>
      </c>
      <c r="H18" s="7" t="n">
        <f aca="false">$B$3*C18</f>
        <v>-6.13800000000012</v>
      </c>
      <c r="I18" s="7" t="n">
        <f aca="false">$C$3*D18</f>
        <v>9.43718400000014</v>
      </c>
      <c r="J18" s="7" t="n">
        <f aca="false">$D$3*E18</f>
        <v>-10.2734359999997</v>
      </c>
      <c r="K18" s="7" t="n">
        <f aca="false">$E$3*F18</f>
        <v>18.4486932</v>
      </c>
      <c r="L18" s="7" t="n">
        <f aca="false">$F$3*G18</f>
        <v>16.4596980481827</v>
      </c>
      <c r="M18" s="7" t="n">
        <f aca="false">H18+I18+J18+K18+L18</f>
        <v>27.9341392481831</v>
      </c>
      <c r="N18" s="7" t="n">
        <f aca="false">'Data Asli'!D41</f>
        <v>1768.59</v>
      </c>
      <c r="O18" s="9" t="n">
        <f aca="false">M18+N18</f>
        <v>1796.52413924818</v>
      </c>
      <c r="P18" s="7" t="n">
        <f aca="false">'Data Asli'!D42</f>
        <v>1906.36</v>
      </c>
      <c r="Q18" s="7" t="n">
        <f aca="false">(P18-N18)-M18</f>
        <v>109.835860751817</v>
      </c>
    </row>
    <row r="19" customFormat="false" ht="15" hidden="false" customHeight="false" outlineLevel="0" collapsed="false">
      <c r="A19" s="10" t="n">
        <v>42</v>
      </c>
      <c r="B19" s="11" t="str">
        <f aca="false">'Data Asli'!A43</f>
        <v>2021-06-01</v>
      </c>
      <c r="C19" s="10" t="n">
        <f aca="false">'Data Asli'!B18-'Data Asli'!B17</f>
        <v>109.699999999999</v>
      </c>
      <c r="D19" s="10" t="n">
        <f aca="false">'Data Asli'!B17-'Data Asli'!B16</f>
        <v>37.2000000000007</v>
      </c>
      <c r="E19" s="10" t="n">
        <f aca="false">'Data Asli'!B16-'Data Asli'!B15</f>
        <v>51.2000000000007</v>
      </c>
      <c r="F19" s="10" t="n">
        <f aca="false">'Data Asli'!C31-'Data Asli'!C30</f>
        <v>55.98</v>
      </c>
      <c r="G19" s="10" t="n">
        <f aca="false">Q14</f>
        <v>-39.4986956947677</v>
      </c>
      <c r="H19" s="10" t="n">
        <f aca="false">$B$3*C19</f>
        <v>-18.1004999999998</v>
      </c>
      <c r="I19" s="10" t="n">
        <f aca="false">$C$3*D19</f>
        <v>6.85670400000014</v>
      </c>
      <c r="J19" s="10" t="n">
        <f aca="false">$D$3*E19</f>
        <v>-11.2875520000002</v>
      </c>
      <c r="K19" s="10" t="n">
        <f aca="false">$E$3*F19</f>
        <v>7.8310422</v>
      </c>
      <c r="L19" s="10" t="n">
        <f aca="false">$F$3*G19</f>
        <v>-14.0441562412316</v>
      </c>
      <c r="M19" s="10" t="n">
        <f aca="false">H19+I19+J19+K19+L19</f>
        <v>-28.7444620412314</v>
      </c>
      <c r="N19" s="10" t="n">
        <f aca="false">'Data Asli'!D42</f>
        <v>1906.36</v>
      </c>
      <c r="O19" s="9" t="n">
        <f aca="false">M19+N19</f>
        <v>1877.61553795877</v>
      </c>
      <c r="P19" s="10" t="n">
        <f aca="false">'Data Asli'!D43</f>
        <v>1769.8</v>
      </c>
      <c r="Q19" s="10" t="n">
        <f aca="false">(P19-N19)-M19</f>
        <v>-107.815537958769</v>
      </c>
    </row>
    <row r="20" customFormat="false" ht="15" hidden="false" customHeight="false" outlineLevel="0" collapsed="false">
      <c r="A20" s="7" t="n">
        <v>43</v>
      </c>
      <c r="B20" s="8" t="str">
        <f aca="false">'Data Asli'!A44</f>
        <v>2021-07-01</v>
      </c>
      <c r="C20" s="7" t="n">
        <f aca="false">'Data Asli'!B19-'Data Asli'!B18</f>
        <v>98.3999999999996</v>
      </c>
      <c r="D20" s="7" t="n">
        <f aca="false">'Data Asli'!B18-'Data Asli'!B17</f>
        <v>109.699999999999</v>
      </c>
      <c r="E20" s="7" t="n">
        <f aca="false">'Data Asli'!B17-'Data Asli'!B16</f>
        <v>37.2000000000007</v>
      </c>
      <c r="F20" s="7" t="n">
        <f aca="false">'Data Asli'!C32-'Data Asli'!C31</f>
        <v>170.83</v>
      </c>
      <c r="G20" s="7" t="n">
        <f aca="false">Q15</f>
        <v>-47.4463013216481</v>
      </c>
      <c r="H20" s="7" t="n">
        <f aca="false">$B$3*C20</f>
        <v>-16.2359999999999</v>
      </c>
      <c r="I20" s="7" t="n">
        <f aca="false">$C$3*D20</f>
        <v>20.2199039999998</v>
      </c>
      <c r="J20" s="7" t="n">
        <f aca="false">$D$3*E20</f>
        <v>-8.20111200000016</v>
      </c>
      <c r="K20" s="7" t="n">
        <f aca="false">$E$3*F20</f>
        <v>23.8974087</v>
      </c>
      <c r="L20" s="7" t="n">
        <f aca="false">$F$3*G20</f>
        <v>-16.8700068979252</v>
      </c>
      <c r="M20" s="7" t="n">
        <f aca="false">H20+I20+J20+K20+L20</f>
        <v>2.81019380207451</v>
      </c>
      <c r="N20" s="7" t="n">
        <f aca="false">'Data Asli'!D43</f>
        <v>1769.8</v>
      </c>
      <c r="O20" s="9" t="n">
        <f aca="false">M20+N20</f>
        <v>1772.61019380207</v>
      </c>
      <c r="P20" s="7" t="n">
        <f aca="false">'Data Asli'!D44</f>
        <v>1813.58</v>
      </c>
      <c r="Q20" s="7" t="n">
        <f aca="false">(P20-N20)-M20</f>
        <v>40.9698061979255</v>
      </c>
    </row>
    <row r="21" customFormat="false" ht="15" hidden="false" customHeight="false" outlineLevel="0" collapsed="false">
      <c r="A21" s="10" t="n">
        <v>44</v>
      </c>
      <c r="B21" s="11" t="str">
        <f aca="false">'Data Asli'!A45</f>
        <v>2021-08-01</v>
      </c>
      <c r="C21" s="10" t="n">
        <f aca="false">'Data Asli'!B20-'Data Asli'!B19</f>
        <v>84</v>
      </c>
      <c r="D21" s="10" t="n">
        <f aca="false">'Data Asli'!B19-'Data Asli'!B18</f>
        <v>98.3999999999996</v>
      </c>
      <c r="E21" s="10" t="n">
        <f aca="false">'Data Asli'!B18-'Data Asli'!B17</f>
        <v>109.699999999999</v>
      </c>
      <c r="F21" s="10" t="n">
        <f aca="false">'Data Asli'!C33-'Data Asli'!C32</f>
        <v>229.19</v>
      </c>
      <c r="G21" s="10" t="n">
        <f aca="false">Q16</f>
        <v>56.6820374512831</v>
      </c>
      <c r="H21" s="10" t="n">
        <f aca="false">$B$3*C21</f>
        <v>-13.86</v>
      </c>
      <c r="I21" s="10" t="n">
        <f aca="false">$C$3*D21</f>
        <v>18.1370879999999</v>
      </c>
      <c r="J21" s="10" t="n">
        <f aca="false">$D$3*E21</f>
        <v>-24.1844619999998</v>
      </c>
      <c r="K21" s="10" t="n">
        <f aca="false">$E$3*F21</f>
        <v>32.0613891</v>
      </c>
      <c r="L21" s="10" t="n">
        <f aca="false">$F$3*G21</f>
        <v>20.1538652361782</v>
      </c>
      <c r="M21" s="10" t="n">
        <f aca="false">H21+I21+J21+K21+L21</f>
        <v>32.3078803361784</v>
      </c>
      <c r="N21" s="10" t="n">
        <f aca="false">'Data Asli'!D44</f>
        <v>1813.58</v>
      </c>
      <c r="O21" s="9" t="n">
        <f aca="false">M21+N21</f>
        <v>1845.88788033618</v>
      </c>
      <c r="P21" s="10" t="n">
        <f aca="false">'Data Asli'!D45</f>
        <v>1813.43</v>
      </c>
      <c r="Q21" s="10" t="n">
        <f aca="false">(P21-N21)-M21</f>
        <v>-32.4578803361783</v>
      </c>
    </row>
    <row r="22" customFormat="false" ht="15" hidden="false" customHeight="false" outlineLevel="0" collapsed="false">
      <c r="A22" s="7" t="n">
        <v>45</v>
      </c>
      <c r="B22" s="8" t="str">
        <f aca="false">'Data Asli'!A46</f>
        <v>2021-09-01</v>
      </c>
      <c r="C22" s="7" t="n">
        <f aca="false">'Data Asli'!B21-'Data Asli'!B20</f>
        <v>87.6000000000004</v>
      </c>
      <c r="D22" s="7" t="n">
        <f aca="false">'Data Asli'!B20-'Data Asli'!B19</f>
        <v>84</v>
      </c>
      <c r="E22" s="7" t="n">
        <f aca="false">'Data Asli'!B19-'Data Asli'!B18</f>
        <v>98.3999999999996</v>
      </c>
      <c r="F22" s="7" t="n">
        <f aca="false">'Data Asli'!C34-'Data Asli'!C33</f>
        <v>-137.31</v>
      </c>
      <c r="G22" s="7" t="n">
        <f aca="false">Q17</f>
        <v>75.6037697666048</v>
      </c>
      <c r="H22" s="7" t="n">
        <f aca="false">$B$3*C22</f>
        <v>-14.4540000000001</v>
      </c>
      <c r="I22" s="7" t="n">
        <f aca="false">$C$3*D22</f>
        <v>15.48288</v>
      </c>
      <c r="J22" s="7" t="n">
        <f aca="false">$D$3*E22</f>
        <v>-21.6932639999999</v>
      </c>
      <c r="K22" s="7" t="n">
        <f aca="false">$E$3*F22</f>
        <v>-19.2082959</v>
      </c>
      <c r="L22" s="7" t="n">
        <f aca="false">$F$3*G22</f>
        <v>26.881676378214</v>
      </c>
      <c r="M22" s="7" t="n">
        <f aca="false">H22+I22+J22+K22+L22</f>
        <v>-12.991003521786</v>
      </c>
      <c r="N22" s="7" t="n">
        <f aca="false">'Data Asli'!D45</f>
        <v>1813.43</v>
      </c>
      <c r="O22" s="9" t="n">
        <f aca="false">M22+N22</f>
        <v>1800.43899647821</v>
      </c>
      <c r="P22" s="7" t="n">
        <f aca="false">'Data Asli'!D46</f>
        <v>1756.66</v>
      </c>
      <c r="Q22" s="7" t="n">
        <f aca="false">(P22-N22)-M22</f>
        <v>-43.778996478214</v>
      </c>
    </row>
    <row r="23" customFormat="false" ht="15" hidden="false" customHeight="false" outlineLevel="0" collapsed="false">
      <c r="A23" s="10" t="n">
        <v>46</v>
      </c>
      <c r="B23" s="11" t="str">
        <f aca="false">'Data Asli'!A47</f>
        <v>2021-10-01</v>
      </c>
      <c r="C23" s="10" t="n">
        <f aca="false">'Data Asli'!B22-'Data Asli'!B21</f>
        <v>72.6000000000004</v>
      </c>
      <c r="D23" s="10" t="n">
        <f aca="false">'Data Asli'!B21-'Data Asli'!B20</f>
        <v>87.6000000000004</v>
      </c>
      <c r="E23" s="10" t="n">
        <f aca="false">'Data Asli'!B20-'Data Asli'!B19</f>
        <v>84</v>
      </c>
      <c r="F23" s="10" t="n">
        <f aca="false">'Data Asli'!C35-'Data Asli'!C34</f>
        <v>-93.04</v>
      </c>
      <c r="G23" s="10" t="n">
        <f aca="false">Q18</f>
        <v>109.835860751817</v>
      </c>
      <c r="H23" s="10" t="n">
        <f aca="false">$B$3*C23</f>
        <v>-11.9790000000001</v>
      </c>
      <c r="I23" s="10" t="n">
        <f aca="false">$C$3*D23</f>
        <v>16.1464320000001</v>
      </c>
      <c r="J23" s="10" t="n">
        <f aca="false">$D$3*E23</f>
        <v>-18.51864</v>
      </c>
      <c r="K23" s="10" t="n">
        <f aca="false">$E$3*F23</f>
        <v>-13.0153656</v>
      </c>
      <c r="L23" s="10" t="n">
        <f aca="false">$F$3*G23</f>
        <v>39.053238648916</v>
      </c>
      <c r="M23" s="10" t="n">
        <f aca="false">H23+I23+J23+K23+L23</f>
        <v>11.686665048916</v>
      </c>
      <c r="N23" s="10" t="n">
        <f aca="false">'Data Asli'!D46</f>
        <v>1756.66</v>
      </c>
      <c r="O23" s="9" t="n">
        <f aca="false">M23+N23</f>
        <v>1768.34666504892</v>
      </c>
      <c r="P23" s="10" t="n">
        <f aca="false">'Data Asli'!D47</f>
        <v>1782.81</v>
      </c>
      <c r="Q23" s="10" t="n">
        <f aca="false">(P23-N23)-M23</f>
        <v>14.4633349510838</v>
      </c>
    </row>
    <row r="24" customFormat="false" ht="15" hidden="false" customHeight="false" outlineLevel="0" collapsed="false">
      <c r="A24" s="7" t="n">
        <v>47</v>
      </c>
      <c r="B24" s="8" t="str">
        <f aca="false">'Data Asli'!A48</f>
        <v>2021-11-01</v>
      </c>
      <c r="C24" s="7" t="n">
        <f aca="false">'Data Asli'!B23-'Data Asli'!B22</f>
        <v>137.1</v>
      </c>
      <c r="D24" s="7" t="n">
        <f aca="false">'Data Asli'!B22-'Data Asli'!B21</f>
        <v>72.6000000000004</v>
      </c>
      <c r="E24" s="7" t="n">
        <f aca="false">'Data Asli'!B21-'Data Asli'!B20</f>
        <v>87.6000000000004</v>
      </c>
      <c r="F24" s="7" t="n">
        <f aca="false">'Data Asli'!C36-'Data Asli'!C35</f>
        <v>351.67</v>
      </c>
      <c r="G24" s="7" t="n">
        <f aca="false">Q19</f>
        <v>-107.815537958769</v>
      </c>
      <c r="H24" s="7" t="n">
        <f aca="false">$B$3*C24</f>
        <v>-22.6215000000001</v>
      </c>
      <c r="I24" s="7" t="n">
        <f aca="false">$C$3*D24</f>
        <v>13.3816320000001</v>
      </c>
      <c r="J24" s="7" t="n">
        <f aca="false">$D$3*E24</f>
        <v>-19.3122960000001</v>
      </c>
      <c r="K24" s="7" t="n">
        <f aca="false">$E$3*F24</f>
        <v>49.1951163</v>
      </c>
      <c r="L24" s="7" t="n">
        <f aca="false">$F$3*G24</f>
        <v>-38.3348926766197</v>
      </c>
      <c r="M24" s="7" t="n">
        <f aca="false">H24+I24+J24+K24+L24</f>
        <v>-17.6919403766198</v>
      </c>
      <c r="N24" s="7" t="n">
        <f aca="false">'Data Asli'!D47</f>
        <v>1782.81</v>
      </c>
      <c r="O24" s="9" t="n">
        <f aca="false">M24+N24</f>
        <v>1765.11805962338</v>
      </c>
      <c r="P24" s="7" t="n">
        <f aca="false">'Data Asli'!D48</f>
        <v>1773.78</v>
      </c>
      <c r="Q24" s="7" t="n">
        <f aca="false">(P24-N24)-M24</f>
        <v>8.66194037661983</v>
      </c>
    </row>
    <row r="25" customFormat="false" ht="15" hidden="false" customHeight="false" outlineLevel="0" collapsed="false">
      <c r="A25" s="10" t="n">
        <v>48</v>
      </c>
      <c r="B25" s="11" t="str">
        <f aca="false">'Data Asli'!A49</f>
        <v>2021-12-01</v>
      </c>
      <c r="C25" s="10" t="n">
        <f aca="false">'Data Asli'!B24-'Data Asli'!B23</f>
        <v>111.9</v>
      </c>
      <c r="D25" s="10" t="n">
        <f aca="false">'Data Asli'!B23-'Data Asli'!B22</f>
        <v>137.1</v>
      </c>
      <c r="E25" s="10" t="n">
        <f aca="false">'Data Asli'!B22-'Data Asli'!B21</f>
        <v>72.6000000000004</v>
      </c>
      <c r="F25" s="10" t="n">
        <f aca="false">'Data Asli'!C37-'Data Asli'!C36</f>
        <v>134.44</v>
      </c>
      <c r="G25" s="10" t="n">
        <f aca="false">Q20</f>
        <v>40.9698061979255</v>
      </c>
      <c r="H25" s="10" t="n">
        <f aca="false">$B$3*C25</f>
        <v>-18.4634999999999</v>
      </c>
      <c r="I25" s="10" t="n">
        <f aca="false">$C$3*D25</f>
        <v>25.2702720000001</v>
      </c>
      <c r="J25" s="10" t="n">
        <f aca="false">$D$3*E25</f>
        <v>-16.0053960000001</v>
      </c>
      <c r="K25" s="10" t="n">
        <f aca="false">$E$3*F25</f>
        <v>18.8068116</v>
      </c>
      <c r="L25" s="10" t="n">
        <f aca="false">$F$3*G25</f>
        <v>14.5672242917344</v>
      </c>
      <c r="M25" s="10" t="n">
        <f aca="false">H25+I25+J25+K25+L25</f>
        <v>24.1754118917344</v>
      </c>
      <c r="N25" s="10" t="n">
        <f aca="false">'Data Asli'!D48</f>
        <v>1773.78</v>
      </c>
      <c r="O25" s="9" t="n">
        <f aca="false">M25+N25</f>
        <v>1797.95541189173</v>
      </c>
      <c r="P25" s="10" t="n">
        <f aca="false">'Data Asli'!D49</f>
        <v>1828.39</v>
      </c>
      <c r="Q25" s="10" t="n">
        <f aca="false">(P25-N25)-M25</f>
        <v>30.4345881082657</v>
      </c>
    </row>
    <row r="26" customFormat="false" ht="15" hidden="false" customHeight="false" outlineLevel="0" collapsed="false">
      <c r="A26" s="7" t="n">
        <v>49</v>
      </c>
      <c r="B26" s="8" t="str">
        <f aca="false">'Data Asli'!A50</f>
        <v>2022-01-01</v>
      </c>
      <c r="C26" s="7" t="n">
        <f aca="false">'Data Asli'!B25-'Data Asli'!B24</f>
        <v>51.5</v>
      </c>
      <c r="D26" s="7" t="n">
        <f aca="false">'Data Asli'!B24-'Data Asli'!B23</f>
        <v>111.9</v>
      </c>
      <c r="E26" s="7" t="n">
        <f aca="false">'Data Asli'!B23-'Data Asli'!B22</f>
        <v>137.1</v>
      </c>
      <c r="F26" s="7" t="n">
        <f aca="false">'Data Asli'!C38-'Data Asli'!C37</f>
        <v>-41.8300000000004</v>
      </c>
      <c r="G26" s="7" t="n">
        <f aca="false">Q21</f>
        <v>-32.4578803361783</v>
      </c>
      <c r="H26" s="7" t="n">
        <f aca="false">$B$3*C26</f>
        <v>-8.4975</v>
      </c>
      <c r="I26" s="7" t="n">
        <f aca="false">$C$3*D26</f>
        <v>20.6254079999999</v>
      </c>
      <c r="J26" s="7" t="n">
        <f aca="false">$D$3*E26</f>
        <v>-30.2250660000001</v>
      </c>
      <c r="K26" s="7" t="n">
        <f aca="false">$E$3*F26</f>
        <v>-5.85159870000005</v>
      </c>
      <c r="L26" s="7" t="n">
        <f aca="false">$F$3*G26</f>
        <v>-11.5407239323315</v>
      </c>
      <c r="M26" s="7" t="n">
        <f aca="false">H26+I26+J26+K26+L26</f>
        <v>-35.4894806323318</v>
      </c>
      <c r="N26" s="7" t="n">
        <f aca="false">'Data Asli'!D49</f>
        <v>1828.39</v>
      </c>
      <c r="O26" s="9" t="n">
        <f aca="false">M26+N26</f>
        <v>1792.90051936767</v>
      </c>
      <c r="P26" s="7" t="n">
        <f aca="false">'Data Asli'!D50</f>
        <v>1796.47</v>
      </c>
      <c r="Q26" s="7" t="n">
        <f aca="false">(P26-N26)-M26</f>
        <v>3.56948063233168</v>
      </c>
    </row>
    <row r="27" customFormat="false" ht="15" hidden="false" customHeight="false" outlineLevel="0" collapsed="false">
      <c r="A27" s="10" t="n">
        <v>50</v>
      </c>
      <c r="B27" s="11" t="str">
        <f aca="false">'Data Asli'!A51</f>
        <v>2022-02-01</v>
      </c>
      <c r="C27" s="10" t="n">
        <f aca="false">'Data Asli'!B26-'Data Asli'!B25</f>
        <v>79.6000000000004</v>
      </c>
      <c r="D27" s="10" t="n">
        <f aca="false">'Data Asli'!B25-'Data Asli'!B24</f>
        <v>51.5</v>
      </c>
      <c r="E27" s="10" t="n">
        <f aca="false">'Data Asli'!B24-'Data Asli'!B23</f>
        <v>111.9</v>
      </c>
      <c r="F27" s="10" t="n">
        <f aca="false">'Data Asli'!C39-'Data Asli'!C38</f>
        <v>96.9100000000003</v>
      </c>
      <c r="G27" s="10" t="n">
        <f aca="false">Q22</f>
        <v>-43.778996478214</v>
      </c>
      <c r="H27" s="10" t="n">
        <f aca="false">$B$3*C27</f>
        <v>-13.1340000000001</v>
      </c>
      <c r="I27" s="10" t="n">
        <f aca="false">$C$3*D27</f>
        <v>9.49248</v>
      </c>
      <c r="J27" s="10" t="n">
        <f aca="false">$D$3*E27</f>
        <v>-24.6694739999999</v>
      </c>
      <c r="K27" s="10" t="n">
        <f aca="false">$E$3*F27</f>
        <v>13.5567399</v>
      </c>
      <c r="L27" s="10" t="n">
        <f aca="false">$F$3*G27</f>
        <v>-15.5660599877938</v>
      </c>
      <c r="M27" s="10" t="n">
        <f aca="false">H27+I27+J27+K27+L27</f>
        <v>-30.3203140877937</v>
      </c>
      <c r="N27" s="10" t="n">
        <f aca="false">'Data Asli'!D50</f>
        <v>1796.47</v>
      </c>
      <c r="O27" s="9" t="n">
        <f aca="false">M27+N27</f>
        <v>1766.14968591221</v>
      </c>
      <c r="P27" s="10" t="n">
        <f aca="false">'Data Asli'!D51</f>
        <v>1907.9</v>
      </c>
      <c r="Q27" s="10" t="n">
        <f aca="false">(P27-N27)-M27</f>
        <v>141.750314087794</v>
      </c>
    </row>
    <row r="28" customFormat="false" ht="15" hidden="false" customHeight="false" outlineLevel="0" collapsed="false">
      <c r="A28" s="7" t="n">
        <v>51</v>
      </c>
      <c r="B28" s="8" t="str">
        <f aca="false">'Data Asli'!A52</f>
        <v>2022-03-01</v>
      </c>
      <c r="C28" s="7" t="n">
        <f aca="false">'Data Asli'!B27-'Data Asli'!B26</f>
        <v>66.2999999999993</v>
      </c>
      <c r="D28" s="7" t="n">
        <f aca="false">'Data Asli'!B26-'Data Asli'!B25</f>
        <v>79.6000000000004</v>
      </c>
      <c r="E28" s="7" t="n">
        <f aca="false">'Data Asli'!B25-'Data Asli'!B24</f>
        <v>51.5</v>
      </c>
      <c r="F28" s="7" t="n">
        <f aca="false">'Data Asli'!C40-'Data Asli'!C39</f>
        <v>161.74</v>
      </c>
      <c r="G28" s="7" t="n">
        <f aca="false">Q23</f>
        <v>14.4633349510838</v>
      </c>
      <c r="H28" s="7" t="n">
        <f aca="false">$B$3*C28</f>
        <v>-10.9394999999999</v>
      </c>
      <c r="I28" s="7" t="n">
        <f aca="false">$C$3*D28</f>
        <v>14.6718720000001</v>
      </c>
      <c r="J28" s="7" t="n">
        <f aca="false">$D$3*E28</f>
        <v>-11.35369</v>
      </c>
      <c r="K28" s="7" t="n">
        <f aca="false">$E$3*F28</f>
        <v>22.6258086</v>
      </c>
      <c r="L28" s="7" t="n">
        <f aca="false">$F$3*G28</f>
        <v>5.14258337520737</v>
      </c>
      <c r="M28" s="7" t="n">
        <f aca="false">H28+I28+J28+K28+L28</f>
        <v>20.1470739752075</v>
      </c>
      <c r="N28" s="7" t="n">
        <f aca="false">'Data Asli'!D51</f>
        <v>1907.9</v>
      </c>
      <c r="O28" s="9" t="n">
        <f aca="false">M28+N28</f>
        <v>1928.04707397521</v>
      </c>
      <c r="P28" s="7" t="n">
        <f aca="false">'Data Asli'!D52</f>
        <v>1937.23</v>
      </c>
      <c r="Q28" s="7" t="n">
        <f aca="false">(P28-N28)-M28</f>
        <v>9.18292602479241</v>
      </c>
    </row>
    <row r="29" customFormat="false" ht="15" hidden="false" customHeight="false" outlineLevel="0" collapsed="false">
      <c r="A29" s="10" t="n">
        <v>52</v>
      </c>
      <c r="B29" s="11" t="str">
        <f aca="false">'Data Asli'!A53</f>
        <v>2022-04-01</v>
      </c>
      <c r="C29" s="10" t="n">
        <f aca="false">'Data Asli'!B28-'Data Asli'!B27</f>
        <v>539.6</v>
      </c>
      <c r="D29" s="10" t="n">
        <f aca="false">'Data Asli'!B27-'Data Asli'!B26</f>
        <v>66.2999999999993</v>
      </c>
      <c r="E29" s="10" t="n">
        <f aca="false">'Data Asli'!B26-'Data Asli'!B25</f>
        <v>79.6000000000004</v>
      </c>
      <c r="F29" s="10" t="n">
        <f aca="false">'Data Asli'!C41-'Data Asli'!C40</f>
        <v>208.28</v>
      </c>
      <c r="G29" s="10" t="n">
        <f aca="false">Q24</f>
        <v>8.66194037661983</v>
      </c>
      <c r="H29" s="10" t="n">
        <f aca="false">$B$3*C29</f>
        <v>-89.0340000000001</v>
      </c>
      <c r="I29" s="10" t="n">
        <f aca="false">$C$3*D29</f>
        <v>12.2204159999999</v>
      </c>
      <c r="J29" s="10" t="n">
        <f aca="false">$D$3*E29</f>
        <v>-17.5486160000001</v>
      </c>
      <c r="K29" s="10" t="n">
        <f aca="false">$E$3*F29</f>
        <v>29.1362892</v>
      </c>
      <c r="L29" s="10" t="n">
        <f aca="false">$F$3*G29</f>
        <v>3.07983952031095</v>
      </c>
      <c r="M29" s="10" t="n">
        <f aca="false">H29+I29+J29+K29+L29</f>
        <v>-62.1460712796893</v>
      </c>
      <c r="N29" s="10" t="n">
        <f aca="false">'Data Asli'!D52</f>
        <v>1937.23</v>
      </c>
      <c r="O29" s="9" t="n">
        <f aca="false">M29+N29</f>
        <v>1875.08392872031</v>
      </c>
      <c r="P29" s="10" t="n">
        <f aca="false">'Data Asli'!D53</f>
        <v>1896.4</v>
      </c>
      <c r="Q29" s="10" t="n">
        <f aca="false">(P29-N29)-M29</f>
        <v>21.3160712796894</v>
      </c>
    </row>
    <row r="30" customFormat="false" ht="15" hidden="false" customHeight="false" outlineLevel="0" collapsed="false">
      <c r="A30" s="7" t="n">
        <v>53</v>
      </c>
      <c r="B30" s="8" t="str">
        <f aca="false">'Data Asli'!A54</f>
        <v>2022-05-01</v>
      </c>
      <c r="C30" s="7" t="n">
        <f aca="false">'Data Asli'!B29-'Data Asli'!B28</f>
        <v>1032.3</v>
      </c>
      <c r="D30" s="7" t="n">
        <f aca="false">'Data Asli'!B28-'Data Asli'!B27</f>
        <v>539.6</v>
      </c>
      <c r="E30" s="7" t="n">
        <f aca="false">'Data Asli'!B27-'Data Asli'!B26</f>
        <v>66.2999999999993</v>
      </c>
      <c r="F30" s="7" t="n">
        <f aca="false">'Data Asli'!C42-'Data Asli'!C41</f>
        <v>22.9399999999996</v>
      </c>
      <c r="G30" s="7" t="n">
        <f aca="false">Q25</f>
        <v>30.4345881082657</v>
      </c>
      <c r="H30" s="7" t="n">
        <f aca="false">$B$3*C30</f>
        <v>-170.3295</v>
      </c>
      <c r="I30" s="7" t="n">
        <f aca="false">$C$3*D30</f>
        <v>99.4590720000001</v>
      </c>
      <c r="J30" s="7" t="n">
        <f aca="false">$D$3*E30</f>
        <v>-14.6164979999998</v>
      </c>
      <c r="K30" s="7" t="n">
        <f aca="false">$E$3*F30</f>
        <v>3.20907659999994</v>
      </c>
      <c r="L30" s="7" t="n">
        <f aca="false">$F$3*G30</f>
        <v>10.821322147775</v>
      </c>
      <c r="M30" s="7" t="n">
        <f aca="false">H30+I30+J30+K30+L30</f>
        <v>-71.4565272522248</v>
      </c>
      <c r="N30" s="7" t="n">
        <f aca="false">'Data Asli'!D53</f>
        <v>1896.4</v>
      </c>
      <c r="O30" s="9" t="n">
        <f aca="false">M30+N30</f>
        <v>1824.94347274778</v>
      </c>
      <c r="P30" s="7" t="n">
        <f aca="false">'Data Asli'!D54</f>
        <v>1837.09</v>
      </c>
      <c r="Q30" s="7" t="n">
        <f aca="false">(P30-N30)-M30</f>
        <v>12.1465272522246</v>
      </c>
    </row>
    <row r="31" customFormat="false" ht="15" hidden="false" customHeight="false" outlineLevel="0" collapsed="false">
      <c r="A31" s="10" t="n">
        <v>54</v>
      </c>
      <c r="B31" s="11" t="str">
        <f aca="false">'Data Asli'!A55</f>
        <v>2022-06-01</v>
      </c>
      <c r="C31" s="10" t="n">
        <f aca="false">'Data Asli'!B30-'Data Asli'!B29</f>
        <v>867.600000000002</v>
      </c>
      <c r="D31" s="10" t="n">
        <f aca="false">'Data Asli'!B29-'Data Asli'!B28</f>
        <v>1032.3</v>
      </c>
      <c r="E31" s="10" t="n">
        <f aca="false">'Data Asli'!B28-'Data Asli'!B27</f>
        <v>539.6</v>
      </c>
      <c r="F31" s="10" t="n">
        <f aca="false">'Data Asli'!C43-'Data Asli'!C42</f>
        <v>93.3900000000003</v>
      </c>
      <c r="G31" s="10" t="n">
        <f aca="false">Q26</f>
        <v>3.56948063233168</v>
      </c>
      <c r="H31" s="10" t="n">
        <f aca="false">$B$3*C31</f>
        <v>-143.154</v>
      </c>
      <c r="I31" s="10" t="n">
        <f aca="false">$C$3*D31</f>
        <v>190.273536</v>
      </c>
      <c r="J31" s="10" t="n">
        <f aca="false">$D$3*E31</f>
        <v>-118.960216</v>
      </c>
      <c r="K31" s="10" t="n">
        <f aca="false">$E$3*F31</f>
        <v>13.0643271</v>
      </c>
      <c r="L31" s="10" t="n">
        <f aca="false">$F$3*G31</f>
        <v>1.26916453363185</v>
      </c>
      <c r="M31" s="10" t="n">
        <f aca="false">H31+I31+J31+K31+L31</f>
        <v>-57.5071883663687</v>
      </c>
      <c r="N31" s="10" t="n">
        <f aca="false">'Data Asli'!D54</f>
        <v>1837.09</v>
      </c>
      <c r="O31" s="9" t="n">
        <f aca="false">M31+N31</f>
        <v>1779.58281163363</v>
      </c>
      <c r="P31" s="10" t="n">
        <f aca="false">'Data Asli'!D55</f>
        <v>1806.89</v>
      </c>
      <c r="Q31" s="10" t="n">
        <f aca="false">(P31-N31)-M31</f>
        <v>27.3071883663689</v>
      </c>
    </row>
    <row r="32" customFormat="false" ht="15" hidden="false" customHeight="false" outlineLevel="0" collapsed="false">
      <c r="A32" s="7" t="n">
        <v>55</v>
      </c>
      <c r="B32" s="8" t="str">
        <f aca="false">'Data Asli'!A56</f>
        <v>2022-07-01</v>
      </c>
      <c r="C32" s="7" t="n">
        <f aca="false">'Data Asli'!B31-'Data Asli'!B30</f>
        <v>251.399999999998</v>
      </c>
      <c r="D32" s="7" t="n">
        <f aca="false">'Data Asli'!B30-'Data Asli'!B29</f>
        <v>867.600000000002</v>
      </c>
      <c r="E32" s="7" t="n">
        <f aca="false">'Data Asli'!B29-'Data Asli'!B28</f>
        <v>1032.3</v>
      </c>
      <c r="F32" s="7" t="n">
        <f aca="false">'Data Asli'!C44-'Data Asli'!C43</f>
        <v>97.7600000000002</v>
      </c>
      <c r="G32" s="7" t="n">
        <f aca="false">Q27</f>
        <v>141.750314087794</v>
      </c>
      <c r="H32" s="7" t="n">
        <f aca="false">$B$3*C32</f>
        <v>-41.4809999999996</v>
      </c>
      <c r="I32" s="7" t="n">
        <f aca="false">$C$3*D32</f>
        <v>159.916032</v>
      </c>
      <c r="J32" s="7" t="n">
        <f aca="false">$D$3*E32</f>
        <v>-227.580858</v>
      </c>
      <c r="K32" s="7" t="n">
        <f aca="false">$E$3*F32</f>
        <v>13.6756464</v>
      </c>
      <c r="L32" s="7" t="n">
        <f aca="false">$F$3*G32</f>
        <v>50.400741677056</v>
      </c>
      <c r="M32" s="7" t="n">
        <f aca="false">H32+I32+J32+K32+L32</f>
        <v>-45.0694379229431</v>
      </c>
      <c r="N32" s="7" t="n">
        <f aca="false">'Data Asli'!D55</f>
        <v>1806.89</v>
      </c>
      <c r="O32" s="9" t="n">
        <f aca="false">M32+N32</f>
        <v>1761.82056207706</v>
      </c>
      <c r="P32" s="7" t="n">
        <f aca="false">'Data Asli'!D56</f>
        <v>1765.22</v>
      </c>
      <c r="Q32" s="7" t="n">
        <f aca="false">(P32-N32)-M32</f>
        <v>3.39943792294302</v>
      </c>
    </row>
    <row r="33" customFormat="false" ht="15" hidden="false" customHeight="false" outlineLevel="0" collapsed="false">
      <c r="A33" s="10" t="n">
        <v>56</v>
      </c>
      <c r="B33" s="11" t="str">
        <f aca="false">'Data Asli'!A57</f>
        <v>2022-08-01</v>
      </c>
      <c r="C33" s="10" t="n">
        <f aca="false">'Data Asli'!B32-'Data Asli'!B31</f>
        <v>151.100000000002</v>
      </c>
      <c r="D33" s="10" t="n">
        <f aca="false">'Data Asli'!B31-'Data Asli'!B30</f>
        <v>251.399999999998</v>
      </c>
      <c r="E33" s="10" t="n">
        <f aca="false">'Data Asli'!B30-'Data Asli'!B29</f>
        <v>867.600000000002</v>
      </c>
      <c r="F33" s="10" t="n">
        <f aca="false">'Data Asli'!C45-'Data Asli'!C44</f>
        <v>127.42</v>
      </c>
      <c r="G33" s="10" t="n">
        <f aca="false">Q28</f>
        <v>9.18292602479241</v>
      </c>
      <c r="H33" s="10" t="n">
        <f aca="false">$B$3*C33</f>
        <v>-24.9315000000004</v>
      </c>
      <c r="I33" s="10" t="n">
        <f aca="false">$C$3*D33</f>
        <v>46.3380479999996</v>
      </c>
      <c r="J33" s="10" t="n">
        <f aca="false">$D$3*E33</f>
        <v>-191.271096</v>
      </c>
      <c r="K33" s="10" t="n">
        <f aca="false">$E$3*F33</f>
        <v>17.8247838</v>
      </c>
      <c r="L33" s="10" t="n">
        <f aca="false">$F$3*G33</f>
        <v>3.26508117737519</v>
      </c>
      <c r="M33" s="10" t="n">
        <f aca="false">H33+I33+J33+K33+L33</f>
        <v>-148.774683022626</v>
      </c>
      <c r="N33" s="10" t="n">
        <f aca="false">'Data Asli'!D56</f>
        <v>1765.22</v>
      </c>
      <c r="O33" s="9" t="n">
        <f aca="false">M33+N33</f>
        <v>1616.44531697737</v>
      </c>
      <c r="P33" s="10" t="n">
        <f aca="false">'Data Asli'!D57</f>
        <v>1710.7</v>
      </c>
      <c r="Q33" s="10" t="n">
        <f aca="false">(P33-N33)-M33</f>
        <v>94.2546830226261</v>
      </c>
    </row>
    <row r="34" customFormat="false" ht="15" hidden="false" customHeight="false" outlineLevel="0" collapsed="false">
      <c r="A34" s="7" t="n">
        <v>57</v>
      </c>
      <c r="B34" s="8" t="str">
        <f aca="false">'Data Asli'!A58</f>
        <v>2022-09-01</v>
      </c>
      <c r="C34" s="7" t="n">
        <f aca="false">'Data Asli'!B33-'Data Asli'!B32</f>
        <v>75.7999999999993</v>
      </c>
      <c r="D34" s="7" t="n">
        <f aca="false">'Data Asli'!B32-'Data Asli'!B31</f>
        <v>151.100000000002</v>
      </c>
      <c r="E34" s="7" t="n">
        <f aca="false">'Data Asli'!B31-'Data Asli'!B30</f>
        <v>251.399999999998</v>
      </c>
      <c r="F34" s="7" t="n">
        <f aca="false">'Data Asli'!C46-'Data Asli'!C45</f>
        <v>-215.14</v>
      </c>
      <c r="G34" s="7" t="n">
        <f aca="false">Q29</f>
        <v>21.3160712796894</v>
      </c>
      <c r="H34" s="7" t="n">
        <f aca="false">$B$3*C34</f>
        <v>-12.5069999999999</v>
      </c>
      <c r="I34" s="7" t="n">
        <f aca="false">$C$3*D34</f>
        <v>27.8507520000004</v>
      </c>
      <c r="J34" s="7" t="n">
        <f aca="false">$D$3*E34</f>
        <v>-55.4236439999995</v>
      </c>
      <c r="K34" s="7" t="n">
        <f aca="false">$E$3*F34</f>
        <v>-30.0959346</v>
      </c>
      <c r="L34" s="7" t="n">
        <f aca="false">$F$3*G34</f>
        <v>7.57914230420635</v>
      </c>
      <c r="M34" s="7" t="n">
        <f aca="false">H34+I34+J34+K34+L34</f>
        <v>-62.5966842957927</v>
      </c>
      <c r="N34" s="7" t="n">
        <f aca="false">'Data Asli'!D57</f>
        <v>1710.7</v>
      </c>
      <c r="O34" s="9" t="n">
        <f aca="false">M34+N34</f>
        <v>1648.10331570421</v>
      </c>
      <c r="P34" s="7" t="n">
        <f aca="false">'Data Asli'!D58</f>
        <v>1659.67</v>
      </c>
      <c r="Q34" s="7" t="n">
        <f aca="false">(P34-N34)-M34</f>
        <v>11.5666842957927</v>
      </c>
    </row>
    <row r="35" customFormat="false" ht="15" hidden="false" customHeight="false" outlineLevel="0" collapsed="false">
      <c r="A35" s="10" t="n">
        <v>58</v>
      </c>
      <c r="B35" s="11" t="str">
        <f aca="false">'Data Asli'!A59</f>
        <v>2022-10-01</v>
      </c>
      <c r="C35" s="10" t="n">
        <f aca="false">'Data Asli'!B34-'Data Asli'!B33</f>
        <v>191.299999999999</v>
      </c>
      <c r="D35" s="10" t="n">
        <f aca="false">'Data Asli'!B33-'Data Asli'!B32</f>
        <v>75.7999999999993</v>
      </c>
      <c r="E35" s="10" t="n">
        <f aca="false">'Data Asli'!B32-'Data Asli'!B31</f>
        <v>151.100000000002</v>
      </c>
      <c r="F35" s="10" t="n">
        <f aca="false">'Data Asli'!C47-'Data Asli'!C46</f>
        <v>297.84</v>
      </c>
      <c r="G35" s="10" t="n">
        <f aca="false">Q30</f>
        <v>12.1465272522246</v>
      </c>
      <c r="H35" s="10" t="n">
        <f aca="false">$B$3*C35</f>
        <v>-31.5644999999999</v>
      </c>
      <c r="I35" s="10" t="n">
        <f aca="false">$C$3*D35</f>
        <v>13.9714559999999</v>
      </c>
      <c r="J35" s="10" t="n">
        <f aca="false">$D$3*E35</f>
        <v>-33.3115060000005</v>
      </c>
      <c r="K35" s="10" t="n">
        <f aca="false">$E$3*F35</f>
        <v>41.6648376</v>
      </c>
      <c r="L35" s="10" t="n">
        <f aca="false">$F$3*G35</f>
        <v>4.31881922980097</v>
      </c>
      <c r="M35" s="10" t="n">
        <f aca="false">H35+I35+J35+K35+L35</f>
        <v>-4.9208931701995</v>
      </c>
      <c r="N35" s="10" t="n">
        <f aca="false">'Data Asli'!D58</f>
        <v>1659.67</v>
      </c>
      <c r="O35" s="9" t="n">
        <f aca="false">M35+N35</f>
        <v>1654.7491068298</v>
      </c>
      <c r="P35" s="10" t="n">
        <f aca="false">'Data Asli'!D59</f>
        <v>1633.12</v>
      </c>
      <c r="Q35" s="10" t="n">
        <f aca="false">(P35-N35)-M35</f>
        <v>-21.6291068298007</v>
      </c>
    </row>
    <row r="36" customFormat="false" ht="15" hidden="false" customHeight="false" outlineLevel="0" collapsed="false">
      <c r="A36" s="7" t="n">
        <v>59</v>
      </c>
      <c r="B36" s="8" t="str">
        <f aca="false">'Data Asli'!A60</f>
        <v>2022-11-01</v>
      </c>
      <c r="C36" s="7" t="n">
        <f aca="false">'Data Asli'!B35-'Data Asli'!B34</f>
        <v>155.099999999999</v>
      </c>
      <c r="D36" s="7" t="n">
        <f aca="false">'Data Asli'!B34-'Data Asli'!B33</f>
        <v>191.299999999999</v>
      </c>
      <c r="E36" s="7" t="n">
        <f aca="false">'Data Asli'!B33-'Data Asli'!B32</f>
        <v>75.7999999999993</v>
      </c>
      <c r="F36" s="7" t="n">
        <f aca="false">'Data Asli'!C48-'Data Asli'!C47</f>
        <v>-38.3800000000001</v>
      </c>
      <c r="G36" s="7" t="n">
        <f aca="false">Q31</f>
        <v>27.3071883663689</v>
      </c>
      <c r="H36" s="7" t="n">
        <f aca="false">$B$3*C36</f>
        <v>-25.5914999999998</v>
      </c>
      <c r="I36" s="7" t="n">
        <f aca="false">$C$3*D36</f>
        <v>35.2604159999999</v>
      </c>
      <c r="J36" s="7" t="n">
        <f aca="false">$D$3*E36</f>
        <v>-16.7108679999998</v>
      </c>
      <c r="K36" s="7" t="n">
        <f aca="false">$E$3*F36</f>
        <v>-5.36897820000002</v>
      </c>
      <c r="L36" s="7" t="n">
        <f aca="false">$F$3*G36</f>
        <v>9.70934389554611</v>
      </c>
      <c r="M36" s="7" t="n">
        <f aca="false">H36+I36+J36+K36+L36</f>
        <v>-2.70158630445363</v>
      </c>
      <c r="N36" s="7" t="n">
        <f aca="false">'Data Asli'!D59</f>
        <v>1633.12</v>
      </c>
      <c r="O36" s="9" t="n">
        <f aca="false">M36+N36</f>
        <v>1630.41841369555</v>
      </c>
      <c r="P36" s="7" t="n">
        <f aca="false">'Data Asli'!D60</f>
        <v>1768.45</v>
      </c>
      <c r="Q36" s="7" t="n">
        <f aca="false">(P36-N36)-M36</f>
        <v>138.031586304454</v>
      </c>
    </row>
    <row r="37" customFormat="false" ht="15" hidden="false" customHeight="false" outlineLevel="0" collapsed="false">
      <c r="A37" s="10" t="n">
        <v>60</v>
      </c>
      <c r="B37" s="11" t="str">
        <f aca="false">'Data Asli'!A61</f>
        <v>2022-12-01</v>
      </c>
      <c r="C37" s="10" t="n">
        <f aca="false">'Data Asli'!B36-'Data Asli'!B35</f>
        <v>239.400000000001</v>
      </c>
      <c r="D37" s="10" t="n">
        <f aca="false">'Data Asli'!B35-'Data Asli'!B34</f>
        <v>155.099999999999</v>
      </c>
      <c r="E37" s="10" t="n">
        <f aca="false">'Data Asli'!B34-'Data Asli'!B33</f>
        <v>191.299999999999</v>
      </c>
      <c r="F37" s="10" t="n">
        <f aca="false">'Data Asli'!C49-'Data Asli'!C48</f>
        <v>199.18</v>
      </c>
      <c r="G37" s="10" t="n">
        <f aca="false">Q32</f>
        <v>3.39943792294302</v>
      </c>
      <c r="H37" s="10" t="n">
        <f aca="false">$B$3*C37</f>
        <v>-39.5010000000002</v>
      </c>
      <c r="I37" s="10" t="n">
        <f aca="false">$C$3*D37</f>
        <v>28.5880319999997</v>
      </c>
      <c r="J37" s="10" t="n">
        <f aca="false">$D$3*E37</f>
        <v>-42.1739979999998</v>
      </c>
      <c r="K37" s="10" t="n">
        <f aca="false">$E$3*F37</f>
        <v>27.8632902</v>
      </c>
      <c r="L37" s="10" t="n">
        <f aca="false">$F$3*G37</f>
        <v>1.20870414788162</v>
      </c>
      <c r="M37" s="10" t="n">
        <f aca="false">H37+I37+J37+K37+L37</f>
        <v>-24.0149716521187</v>
      </c>
      <c r="N37" s="10" t="n">
        <f aca="false">'Data Asli'!D60</f>
        <v>1768.45</v>
      </c>
      <c r="O37" s="9" t="n">
        <f aca="false">M37+N37</f>
        <v>1744.43502834788</v>
      </c>
      <c r="P37" s="10" t="n">
        <f aca="false">'Data Asli'!D61</f>
        <v>1824.4</v>
      </c>
      <c r="Q37" s="10" t="n">
        <f aca="false">(P37-N37)-M37</f>
        <v>79.9649716521187</v>
      </c>
    </row>
    <row r="38" customFormat="false" ht="15" hidden="false" customHeight="false" outlineLevel="0" collapsed="false">
      <c r="A38" s="7" t="n">
        <v>61</v>
      </c>
      <c r="B38" s="8" t="str">
        <f aca="false">'Data Asli'!A62</f>
        <v>2023-01-01</v>
      </c>
      <c r="C38" s="7" t="n">
        <f aca="false">'Data Asli'!B37-'Data Asli'!B36</f>
        <v>118.700000000001</v>
      </c>
      <c r="D38" s="7" t="n">
        <f aca="false">'Data Asli'!B36-'Data Asli'!B35</f>
        <v>239.400000000001</v>
      </c>
      <c r="E38" s="7" t="n">
        <f aca="false">'Data Asli'!B35-'Data Asli'!B34</f>
        <v>155.099999999999</v>
      </c>
      <c r="F38" s="7" t="n">
        <f aca="false">'Data Asli'!C50-'Data Asli'!C49</f>
        <v>-250.63</v>
      </c>
      <c r="G38" s="7" t="n">
        <f aca="false">Q33</f>
        <v>94.2546830226261</v>
      </c>
      <c r="H38" s="7" t="n">
        <f aca="false">$B$3*C38</f>
        <v>-19.5855000000001</v>
      </c>
      <c r="I38" s="7" t="n">
        <f aca="false">$C$3*D38</f>
        <v>44.1262080000003</v>
      </c>
      <c r="J38" s="7" t="n">
        <f aca="false">$D$3*E38</f>
        <v>-34.1933459999997</v>
      </c>
      <c r="K38" s="7" t="n">
        <f aca="false">$E$3*F38</f>
        <v>-35.0606307</v>
      </c>
      <c r="L38" s="7" t="n">
        <f aca="false">$F$3*G38</f>
        <v>33.5131950955249</v>
      </c>
      <c r="M38" s="7" t="n">
        <f aca="false">H38+I38+J38+K38+L38</f>
        <v>-11.2000736044746</v>
      </c>
      <c r="N38" s="7" t="n">
        <f aca="false">'Data Asli'!D61</f>
        <v>1824.4</v>
      </c>
      <c r="O38" s="9" t="n">
        <f aca="false">M38+N38</f>
        <v>1813.19992639553</v>
      </c>
      <c r="P38" s="7" t="n">
        <f aca="false">'Data Asli'!D62</f>
        <v>1927.88</v>
      </c>
      <c r="Q38" s="7" t="n">
        <f aca="false">(P38-N38)-M38</f>
        <v>114.680073604475</v>
      </c>
    </row>
    <row r="39" customFormat="false" ht="15" hidden="false" customHeight="false" outlineLevel="0" collapsed="false">
      <c r="A39" s="10" t="n">
        <v>62</v>
      </c>
      <c r="B39" s="11" t="str">
        <f aca="false">'Data Asli'!A63</f>
        <v>2023-02-01</v>
      </c>
      <c r="C39" s="10" t="n">
        <f aca="false">'Data Asli'!B38-'Data Asli'!B37</f>
        <v>263.299999999999</v>
      </c>
      <c r="D39" s="10" t="n">
        <f aca="false">'Data Asli'!B37-'Data Asli'!B36</f>
        <v>118.700000000001</v>
      </c>
      <c r="E39" s="10" t="n">
        <f aca="false">'Data Asli'!B36-'Data Asli'!B35</f>
        <v>239.400000000001</v>
      </c>
      <c r="F39" s="10" t="n">
        <f aca="false">'Data Asli'!C51-'Data Asli'!C50</f>
        <v>-141.610000000001</v>
      </c>
      <c r="G39" s="10" t="n">
        <f aca="false">Q34</f>
        <v>11.5666842957927</v>
      </c>
      <c r="H39" s="10" t="n">
        <f aca="false">$B$3*C39</f>
        <v>-43.4444999999999</v>
      </c>
      <c r="I39" s="10" t="n">
        <f aca="false">$C$3*D39</f>
        <v>21.8787840000001</v>
      </c>
      <c r="J39" s="10" t="n">
        <f aca="false">$D$3*E39</f>
        <v>-52.7781240000003</v>
      </c>
      <c r="K39" s="10" t="n">
        <f aca="false">$E$3*F39</f>
        <v>-19.8098229000001</v>
      </c>
      <c r="L39" s="10" t="n">
        <f aca="false">$F$3*G39</f>
        <v>4.11265026821205</v>
      </c>
      <c r="M39" s="10" t="n">
        <f aca="false">H39+I39+J39+K39+L39</f>
        <v>-90.0410126317881</v>
      </c>
      <c r="N39" s="10" t="n">
        <f aca="false">'Data Asli'!D62</f>
        <v>1927.88</v>
      </c>
      <c r="O39" s="9" t="n">
        <f aca="false">M39+N39</f>
        <v>1837.83898736821</v>
      </c>
      <c r="P39" s="10" t="n">
        <f aca="false">'Data Asli'!D63</f>
        <v>1827.15</v>
      </c>
      <c r="Q39" s="10" t="n">
        <f aca="false">(P39-N39)-M39</f>
        <v>-10.6889873682119</v>
      </c>
    </row>
    <row r="40" customFormat="false" ht="15" hidden="false" customHeight="false" outlineLevel="0" collapsed="false">
      <c r="A40" s="7" t="n">
        <v>63</v>
      </c>
      <c r="B40" s="8" t="str">
        <f aca="false">'Data Asli'!A64</f>
        <v>2023-03-01</v>
      </c>
      <c r="C40" s="7" t="n">
        <f aca="false">'Data Asli'!B39-'Data Asli'!B38</f>
        <v>262.799999999999</v>
      </c>
      <c r="D40" s="7" t="n">
        <f aca="false">'Data Asli'!B38-'Data Asli'!B37</f>
        <v>263.299999999999</v>
      </c>
      <c r="E40" s="7" t="n">
        <f aca="false">'Data Asli'!B37-'Data Asli'!B36</f>
        <v>118.700000000001</v>
      </c>
      <c r="F40" s="7" t="n">
        <f aca="false">'Data Asli'!C52-'Data Asli'!C51</f>
        <v>156.47</v>
      </c>
      <c r="G40" s="7" t="n">
        <f aca="false">Q35</f>
        <v>-21.6291068298007</v>
      </c>
      <c r="H40" s="7" t="n">
        <f aca="false">$B$3*C40</f>
        <v>-43.3619999999999</v>
      </c>
      <c r="I40" s="7" t="n">
        <f aca="false">$C$3*D40</f>
        <v>48.5314559999999</v>
      </c>
      <c r="J40" s="7" t="n">
        <f aca="false">$D$3*E40</f>
        <v>-26.1686020000002</v>
      </c>
      <c r="K40" s="7" t="n">
        <f aca="false">$E$3*F40</f>
        <v>21.8885883</v>
      </c>
      <c r="L40" s="7" t="n">
        <f aca="false">$F$3*G40</f>
        <v>-7.69044522440393</v>
      </c>
      <c r="M40" s="7" t="n">
        <f aca="false">H40+I40+J40+K40+L40</f>
        <v>-6.80100292440407</v>
      </c>
      <c r="N40" s="7" t="n">
        <f aca="false">'Data Asli'!D63</f>
        <v>1827.15</v>
      </c>
      <c r="O40" s="9" t="n">
        <f aca="false">M40+N40</f>
        <v>1820.3489970756</v>
      </c>
      <c r="P40" s="7" t="n">
        <f aca="false">'Data Asli'!D64</f>
        <v>1967.9</v>
      </c>
      <c r="Q40" s="7" t="n">
        <f aca="false">(P40-N40)-M40</f>
        <v>147.551002924404</v>
      </c>
    </row>
    <row r="41" customFormat="false" ht="15" hidden="false" customHeight="false" outlineLevel="0" collapsed="false">
      <c r="A41" s="10" t="n">
        <v>64</v>
      </c>
      <c r="B41" s="11" t="str">
        <f aca="false">'Data Asli'!A65</f>
        <v>2023-04-01</v>
      </c>
      <c r="C41" s="10" t="n">
        <f aca="false">'Data Asli'!B40-'Data Asli'!B39</f>
        <v>231.400000000001</v>
      </c>
      <c r="D41" s="10" t="n">
        <f aca="false">'Data Asli'!B39-'Data Asli'!B38</f>
        <v>262.799999999999</v>
      </c>
      <c r="E41" s="10" t="n">
        <f aca="false">'Data Asli'!B38-'Data Asli'!B37</f>
        <v>263.299999999999</v>
      </c>
      <c r="F41" s="10" t="n">
        <f aca="false">'Data Asli'!C53-'Data Asli'!C52</f>
        <v>-398.48</v>
      </c>
      <c r="G41" s="10" t="n">
        <f aca="false">Q36</f>
        <v>138.031586304454</v>
      </c>
      <c r="H41" s="10" t="n">
        <f aca="false">$B$3*C41</f>
        <v>-38.1810000000002</v>
      </c>
      <c r="I41" s="10" t="n">
        <f aca="false">$C$3*D41</f>
        <v>48.4392959999999</v>
      </c>
      <c r="J41" s="10" t="n">
        <f aca="false">$D$3*E41</f>
        <v>-58.0471179999998</v>
      </c>
      <c r="K41" s="10" t="n">
        <f aca="false">$E$3*F41</f>
        <v>-55.7433671999999</v>
      </c>
      <c r="L41" s="10" t="n">
        <f aca="false">$F$3*G41</f>
        <v>49.0785108264116</v>
      </c>
      <c r="M41" s="10" t="n">
        <f aca="false">H41+I41+J41+K41+L41</f>
        <v>-54.4536783735885</v>
      </c>
      <c r="N41" s="10" t="n">
        <f aca="false">'Data Asli'!D64</f>
        <v>1967.9</v>
      </c>
      <c r="O41" s="9" t="n">
        <f aca="false">M41+N41</f>
        <v>1913.44632162641</v>
      </c>
      <c r="P41" s="10" t="n">
        <f aca="false">'Data Asli'!D65</f>
        <v>1989.65</v>
      </c>
      <c r="Q41" s="10" t="n">
        <f aca="false">(P41-N41)-M41</f>
        <v>76.2036783735886</v>
      </c>
    </row>
    <row r="42" customFormat="false" ht="15" hidden="false" customHeight="false" outlineLevel="0" collapsed="false">
      <c r="A42" s="7" t="n">
        <v>65</v>
      </c>
      <c r="B42" s="8" t="str">
        <f aca="false">'Data Asli'!A66</f>
        <v>2023-05-01</v>
      </c>
      <c r="C42" s="7" t="n">
        <f aca="false">'Data Asli'!B41-'Data Asli'!B40</f>
        <v>303.700000000001</v>
      </c>
      <c r="D42" s="7" t="n">
        <f aca="false">'Data Asli'!B40-'Data Asli'!B39</f>
        <v>231.400000000001</v>
      </c>
      <c r="E42" s="7" t="n">
        <f aca="false">'Data Asli'!B39-'Data Asli'!B38</f>
        <v>262.799999999999</v>
      </c>
      <c r="F42" s="7" t="n">
        <f aca="false">'Data Asli'!C54-'Data Asli'!C53</f>
        <v>0.219999999999345</v>
      </c>
      <c r="G42" s="7" t="n">
        <f aca="false">Q37</f>
        <v>79.9649716521187</v>
      </c>
      <c r="H42" s="7" t="n">
        <f aca="false">$B$3*C42</f>
        <v>-50.1105000000001</v>
      </c>
      <c r="I42" s="7" t="n">
        <f aca="false">$C$3*D42</f>
        <v>42.6516480000003</v>
      </c>
      <c r="J42" s="7" t="n">
        <f aca="false">$D$3*E42</f>
        <v>-57.9368879999998</v>
      </c>
      <c r="K42" s="7" t="n">
        <f aca="false">$E$3*F42</f>
        <v>0.0307757999999084</v>
      </c>
      <c r="L42" s="7" t="n">
        <f aca="false">$F$3*G42</f>
        <v>28.4323453206273</v>
      </c>
      <c r="M42" s="7" t="n">
        <f aca="false">H42+I42+J42+K42+L42</f>
        <v>-36.9326188793724</v>
      </c>
      <c r="N42" s="7" t="n">
        <f aca="false">'Data Asli'!D65</f>
        <v>1989.65</v>
      </c>
      <c r="O42" s="9" t="n">
        <f aca="false">M42+N42</f>
        <v>1952.71738112063</v>
      </c>
      <c r="P42" s="7" t="n">
        <f aca="false">'Data Asli'!D66</f>
        <v>1962.3</v>
      </c>
      <c r="Q42" s="7" t="n">
        <f aca="false">(P42-N42)-M42</f>
        <v>9.58261887937231</v>
      </c>
    </row>
    <row r="43" customFormat="false" ht="15" hidden="false" customHeight="false" outlineLevel="0" collapsed="false">
      <c r="A43" s="10" t="n">
        <v>66</v>
      </c>
      <c r="B43" s="11" t="str">
        <f aca="false">'Data Asli'!A67</f>
        <v>2023-06-01</v>
      </c>
      <c r="C43" s="10" t="n">
        <f aca="false">'Data Asli'!B42-'Data Asli'!B41</f>
        <v>283.5</v>
      </c>
      <c r="D43" s="10" t="n">
        <f aca="false">'Data Asli'!B41-'Data Asli'!B40</f>
        <v>303.700000000001</v>
      </c>
      <c r="E43" s="10" t="n">
        <f aca="false">'Data Asli'!B40-'Data Asli'!B39</f>
        <v>231.400000000001</v>
      </c>
      <c r="F43" s="10" t="n">
        <f aca="false">'Data Asli'!C55-'Data Asli'!C54</f>
        <v>-346.77</v>
      </c>
      <c r="G43" s="10" t="n">
        <f aca="false">Q38</f>
        <v>114.680073604475</v>
      </c>
      <c r="H43" s="10" t="n">
        <f aca="false">$B$3*C43</f>
        <v>-46.7775</v>
      </c>
      <c r="I43" s="10" t="n">
        <f aca="false">$C$3*D43</f>
        <v>55.9779840000001</v>
      </c>
      <c r="J43" s="10" t="n">
        <f aca="false">$D$3*E43</f>
        <v>-51.0144440000003</v>
      </c>
      <c r="K43" s="10" t="n">
        <f aca="false">$E$3*F43</f>
        <v>-48.5096552999999</v>
      </c>
      <c r="L43" s="10" t="n">
        <f aca="false">$F$3*G43</f>
        <v>40.775646970807</v>
      </c>
      <c r="M43" s="10" t="n">
        <f aca="false">H43+I43+J43+K43+L43</f>
        <v>-49.5479683291931</v>
      </c>
      <c r="N43" s="10" t="n">
        <f aca="false">'Data Asli'!D66</f>
        <v>1962.3</v>
      </c>
      <c r="O43" s="9" t="n">
        <f aca="false">M43+N43</f>
        <v>1912.75203167081</v>
      </c>
      <c r="P43" s="10" t="n">
        <f aca="false">'Data Asli'!D67</f>
        <v>1919.57</v>
      </c>
      <c r="Q43" s="10" t="n">
        <f aca="false">(P43-N43)-M43</f>
        <v>6.81796832919309</v>
      </c>
    </row>
    <row r="44" customFormat="false" ht="15" hidden="false" customHeight="false" outlineLevel="0" collapsed="false">
      <c r="A44" s="7" t="n">
        <v>67</v>
      </c>
      <c r="B44" s="8" t="str">
        <f aca="false">'Data Asli'!A68</f>
        <v>2023-07-01</v>
      </c>
      <c r="C44" s="7" t="n">
        <f aca="false">'Data Asli'!B43-'Data Asli'!B42</f>
        <v>17.3999999999978</v>
      </c>
      <c r="D44" s="7" t="n">
        <f aca="false">'Data Asli'!B42-'Data Asli'!B41</f>
        <v>283.5</v>
      </c>
      <c r="E44" s="7" t="n">
        <f aca="false">'Data Asli'!B41-'Data Asli'!B40</f>
        <v>303.700000000001</v>
      </c>
      <c r="F44" s="7" t="n">
        <f aca="false">'Data Asli'!C56-'Data Asli'!C55</f>
        <v>344.91</v>
      </c>
      <c r="G44" s="7" t="n">
        <f aca="false">Q39</f>
        <v>-10.6889873682119</v>
      </c>
      <c r="H44" s="7" t="n">
        <f aca="false">$B$3*C44</f>
        <v>-2.87099999999964</v>
      </c>
      <c r="I44" s="7" t="n">
        <f aca="false">$C$3*D44</f>
        <v>52.25472</v>
      </c>
      <c r="J44" s="7" t="n">
        <f aca="false">$D$3*E44</f>
        <v>-66.9537020000002</v>
      </c>
      <c r="K44" s="7" t="n">
        <f aca="false">$E$3*F44</f>
        <v>48.2494599</v>
      </c>
      <c r="L44" s="7" t="n">
        <f aca="false">$F$3*G44</f>
        <v>-3.80057634864143</v>
      </c>
      <c r="M44" s="7" t="n">
        <f aca="false">H44+I44+J44+K44+L44</f>
        <v>26.8789015513587</v>
      </c>
      <c r="N44" s="7" t="n">
        <f aca="false">'Data Asli'!D67</f>
        <v>1919.57</v>
      </c>
      <c r="O44" s="9" t="n">
        <f aca="false">M44+N44</f>
        <v>1946.44890155136</v>
      </c>
      <c r="P44" s="7" t="n">
        <f aca="false">'Data Asli'!D68</f>
        <v>1964.19</v>
      </c>
      <c r="Q44" s="7" t="n">
        <f aca="false">(P44-N44)-M44</f>
        <v>17.7410984486414</v>
      </c>
    </row>
    <row r="45" customFormat="false" ht="15" hidden="false" customHeight="false" outlineLevel="0" collapsed="false">
      <c r="A45" s="10" t="n">
        <v>68</v>
      </c>
      <c r="B45" s="11" t="str">
        <f aca="false">'Data Asli'!A69</f>
        <v>2023-08-01</v>
      </c>
      <c r="C45" s="10" t="n">
        <f aca="false">'Data Asli'!B44-'Data Asli'!B43</f>
        <v>155.5</v>
      </c>
      <c r="D45" s="10" t="n">
        <f aca="false">'Data Asli'!B43-'Data Asli'!B42</f>
        <v>17.3999999999978</v>
      </c>
      <c r="E45" s="10" t="n">
        <f aca="false">'Data Asli'!B42-'Data Asli'!B41</f>
        <v>283.5</v>
      </c>
      <c r="F45" s="10" t="n">
        <f aca="false">'Data Asli'!C57-'Data Asli'!C56</f>
        <v>-175.29</v>
      </c>
      <c r="G45" s="10" t="n">
        <f aca="false">Q40</f>
        <v>147.551002924404</v>
      </c>
      <c r="H45" s="10" t="n">
        <f aca="false">$B$3*C45</f>
        <v>-25.6575</v>
      </c>
      <c r="I45" s="10" t="n">
        <f aca="false">$C$3*D45</f>
        <v>3.2071679999996</v>
      </c>
      <c r="J45" s="10" t="n">
        <f aca="false">$D$3*E45</f>
        <v>-62.50041</v>
      </c>
      <c r="K45" s="10" t="n">
        <f aca="false">$E$3*F45</f>
        <v>-24.5213181</v>
      </c>
      <c r="L45" s="10" t="n">
        <f aca="false">$F$3*G45</f>
        <v>52.4632345998011</v>
      </c>
      <c r="M45" s="10" t="n">
        <f aca="false">H45+I45+J45+K45+L45</f>
        <v>-57.0088255001993</v>
      </c>
      <c r="N45" s="10" t="n">
        <f aca="false">'Data Asli'!D68</f>
        <v>1964.19</v>
      </c>
      <c r="O45" s="9" t="n">
        <f aca="false">M45+N45</f>
        <v>1907.1811744998</v>
      </c>
      <c r="P45" s="10" t="n">
        <f aca="false">'Data Asli'!D69</f>
        <v>1939.74</v>
      </c>
      <c r="Q45" s="10" t="n">
        <f aca="false">(P45-N45)-M45</f>
        <v>32.5588255001992</v>
      </c>
    </row>
    <row r="46" customFormat="false" ht="15" hidden="false" customHeight="false" outlineLevel="0" collapsed="false">
      <c r="A46" s="7" t="n">
        <v>69</v>
      </c>
      <c r="B46" s="8" t="str">
        <f aca="false">'Data Asli'!A70</f>
        <v>2023-09-01</v>
      </c>
      <c r="C46" s="7" t="n">
        <f aca="false">'Data Asli'!B45-'Data Asli'!B44</f>
        <v>207.600000000002</v>
      </c>
      <c r="D46" s="7" t="n">
        <f aca="false">'Data Asli'!B44-'Data Asli'!B43</f>
        <v>155.5</v>
      </c>
      <c r="E46" s="7" t="n">
        <f aca="false">'Data Asli'!B43-'Data Asli'!B42</f>
        <v>17.3999999999978</v>
      </c>
      <c r="F46" s="7" t="n">
        <f aca="false">'Data Asli'!C58-'Data Asli'!C57</f>
        <v>-369.38</v>
      </c>
      <c r="G46" s="7" t="n">
        <f aca="false">Q41</f>
        <v>76.2036783735886</v>
      </c>
      <c r="H46" s="7" t="n">
        <f aca="false">$B$3*C46</f>
        <v>-34.2540000000004</v>
      </c>
      <c r="I46" s="7" t="n">
        <f aca="false">$C$3*D46</f>
        <v>28.66176</v>
      </c>
      <c r="J46" s="7" t="n">
        <f aca="false">$D$3*E46</f>
        <v>-3.83600399999952</v>
      </c>
      <c r="K46" s="7" t="n">
        <f aca="false">$E$3*F46</f>
        <v>-51.6725682</v>
      </c>
      <c r="L46" s="7" t="n">
        <f aca="false">$F$3*G46</f>
        <v>27.0949798825131</v>
      </c>
      <c r="M46" s="7" t="n">
        <f aca="false">H46+I46+J46+K46+L46</f>
        <v>-34.0058323174867</v>
      </c>
      <c r="N46" s="7" t="n">
        <f aca="false">'Data Asli'!D69</f>
        <v>1939.74</v>
      </c>
      <c r="O46" s="9" t="n">
        <f aca="false">M46+N46</f>
        <v>1905.73416768251</v>
      </c>
      <c r="P46" s="7" t="n">
        <f aca="false">'Data Asli'!D70</f>
        <v>1848.31</v>
      </c>
      <c r="Q46" s="7" t="n">
        <f aca="false">(P46-N46)-M46</f>
        <v>-57.4241676825133</v>
      </c>
    </row>
    <row r="47" customFormat="false" ht="15" hidden="false" customHeight="false" outlineLevel="0" collapsed="false">
      <c r="A47" s="10" t="n">
        <v>70</v>
      </c>
      <c r="B47" s="11" t="str">
        <f aca="false">'Data Asli'!A71</f>
        <v>2023-10-01</v>
      </c>
      <c r="C47" s="10" t="n">
        <f aca="false">'Data Asli'!B46-'Data Asli'!B45</f>
        <v>140.099999999999</v>
      </c>
      <c r="D47" s="10" t="n">
        <f aca="false">'Data Asli'!B45-'Data Asli'!B44</f>
        <v>207.600000000002</v>
      </c>
      <c r="E47" s="10" t="n">
        <f aca="false">'Data Asli'!B44-'Data Asli'!B43</f>
        <v>155.5</v>
      </c>
      <c r="F47" s="10" t="n">
        <f aca="false">'Data Asli'!C59-'Data Asli'!C58</f>
        <v>286.36</v>
      </c>
      <c r="G47" s="10" t="n">
        <f aca="false">Q42</f>
        <v>9.58261887937231</v>
      </c>
      <c r="H47" s="10" t="n">
        <f aca="false">$B$3*C47</f>
        <v>-23.1164999999998</v>
      </c>
      <c r="I47" s="10" t="n">
        <f aca="false">$C$3*D47</f>
        <v>38.2648320000004</v>
      </c>
      <c r="J47" s="10" t="n">
        <f aca="false">$D$3*E47</f>
        <v>-34.28153</v>
      </c>
      <c r="K47" s="10" t="n">
        <f aca="false">$E$3*F47</f>
        <v>40.0589004</v>
      </c>
      <c r="L47" s="10" t="n">
        <f aca="false">$F$3*G47</f>
        <v>3.40719596874962</v>
      </c>
      <c r="M47" s="10" t="n">
        <f aca="false">H47+I47+J47+K47+L47</f>
        <v>24.3328983687503</v>
      </c>
      <c r="N47" s="10" t="n">
        <f aca="false">'Data Asli'!D70</f>
        <v>1848.31</v>
      </c>
      <c r="O47" s="9" t="n">
        <f aca="false">M47+N47</f>
        <v>1872.64289836875</v>
      </c>
      <c r="P47" s="10" t="n">
        <f aca="false">'Data Asli'!D71</f>
        <v>1982.7</v>
      </c>
      <c r="Q47" s="10" t="n">
        <f aca="false">(P47-N47)-M47</f>
        <v>110.05710163125</v>
      </c>
    </row>
    <row r="48" customFormat="false" ht="15" hidden="false" customHeight="false" outlineLevel="0" collapsed="false">
      <c r="A48" s="7" t="n">
        <v>71</v>
      </c>
      <c r="B48" s="8" t="str">
        <f aca="false">'Data Asli'!A72</f>
        <v>2023-11-01</v>
      </c>
      <c r="C48" s="7" t="n">
        <f aca="false">'Data Asli'!B47-'Data Asli'!B46</f>
        <v>179.599999999999</v>
      </c>
      <c r="D48" s="7" t="n">
        <f aca="false">'Data Asli'!B46-'Data Asli'!B45</f>
        <v>140.099999999999</v>
      </c>
      <c r="E48" s="7" t="n">
        <f aca="false">'Data Asli'!B45-'Data Asli'!B44</f>
        <v>207.600000000002</v>
      </c>
      <c r="F48" s="7" t="n">
        <f aca="false">'Data Asli'!C60-'Data Asli'!C59</f>
        <v>208.13</v>
      </c>
      <c r="G48" s="7" t="n">
        <f aca="false">Q43</f>
        <v>6.81796832919309</v>
      </c>
      <c r="H48" s="7" t="n">
        <f aca="false">$B$3*C48</f>
        <v>-29.6339999999998</v>
      </c>
      <c r="I48" s="7" t="n">
        <f aca="false">$C$3*D48</f>
        <v>25.8232319999997</v>
      </c>
      <c r="J48" s="7" t="n">
        <f aca="false">$D$3*E48</f>
        <v>-45.7674960000005</v>
      </c>
      <c r="K48" s="7" t="n">
        <f aca="false">$E$3*F48</f>
        <v>29.1153057</v>
      </c>
      <c r="L48" s="7" t="n">
        <f aca="false">$F$3*G48</f>
        <v>2.4241968191279</v>
      </c>
      <c r="M48" s="7" t="n">
        <f aca="false">H48+I48+J48+K48+L48</f>
        <v>-18.0387614808726</v>
      </c>
      <c r="N48" s="7" t="n">
        <f aca="false">'Data Asli'!D71</f>
        <v>1982.7</v>
      </c>
      <c r="O48" s="9" t="n">
        <f aca="false">M48+N48</f>
        <v>1964.66123851913</v>
      </c>
      <c r="P48" s="7" t="n">
        <f aca="false">'Data Asli'!D72</f>
        <v>2035.75</v>
      </c>
      <c r="Q48" s="7" t="n">
        <f aca="false">(P48-N48)-M48</f>
        <v>71.0887614808726</v>
      </c>
    </row>
    <row r="49" customFormat="false" ht="15" hidden="false" customHeight="false" outlineLevel="0" collapsed="false">
      <c r="A49" s="10" t="n">
        <v>72</v>
      </c>
      <c r="B49" s="11" t="str">
        <f aca="false">'Data Asli'!A73</f>
        <v>2023-12-01</v>
      </c>
      <c r="C49" s="10" t="n">
        <f aca="false">'Data Asli'!B48-'Data Asli'!B47</f>
        <v>174.900000000001</v>
      </c>
      <c r="D49" s="10" t="n">
        <f aca="false">'Data Asli'!B47-'Data Asli'!B46</f>
        <v>179.599999999999</v>
      </c>
      <c r="E49" s="10" t="n">
        <f aca="false">'Data Asli'!B46-'Data Asli'!B45</f>
        <v>140.099999999999</v>
      </c>
      <c r="F49" s="10" t="n">
        <f aca="false">'Data Asli'!C61-'Data Asli'!C60</f>
        <v>-240.61</v>
      </c>
      <c r="G49" s="10" t="n">
        <f aca="false">Q44</f>
        <v>17.7410984486414</v>
      </c>
      <c r="H49" s="10" t="n">
        <f aca="false">$B$3*C49</f>
        <v>-28.8585000000002</v>
      </c>
      <c r="I49" s="10" t="n">
        <f aca="false">$C$3*D49</f>
        <v>33.1038719999997</v>
      </c>
      <c r="J49" s="10" t="n">
        <f aca="false">$D$3*E49</f>
        <v>-30.8864459999997</v>
      </c>
      <c r="K49" s="10" t="n">
        <f aca="false">$E$3*F49</f>
        <v>-33.6589329</v>
      </c>
      <c r="L49" s="10" t="n">
        <f aca="false">$F$3*G49</f>
        <v>6.30802496439893</v>
      </c>
      <c r="M49" s="10" t="n">
        <f aca="false">H49+I49+J49+K49+L49</f>
        <v>-53.9919819356013</v>
      </c>
      <c r="N49" s="10" t="n">
        <f aca="false">'Data Asli'!D72</f>
        <v>2035.75</v>
      </c>
      <c r="O49" s="9" t="n">
        <f aca="false">M49+N49</f>
        <v>1981.7580180644</v>
      </c>
      <c r="P49" s="10" t="n">
        <f aca="false">'Data Asli'!D73</f>
        <v>2062.59</v>
      </c>
      <c r="Q49" s="10" t="n">
        <f aca="false">(P49-N49)-M49</f>
        <v>80.8319819356014</v>
      </c>
    </row>
    <row r="50" customFormat="false" ht="15" hidden="false" customHeight="false" outlineLevel="0" collapsed="false">
      <c r="A50" s="7" t="n">
        <v>73</v>
      </c>
      <c r="B50" s="8" t="str">
        <f aca="false">'Data Asli'!A74</f>
        <v>2024-01-01</v>
      </c>
      <c r="C50" s="7" t="n">
        <f aca="false">'Data Asli'!B49-'Data Asli'!B48</f>
        <v>163</v>
      </c>
      <c r="D50" s="7" t="n">
        <f aca="false">'Data Asli'!B48-'Data Asli'!B47</f>
        <v>174.900000000001</v>
      </c>
      <c r="E50" s="7" t="n">
        <f aca="false">'Data Asli'!B47-'Data Asli'!B46</f>
        <v>179.599999999999</v>
      </c>
      <c r="F50" s="7" t="n">
        <f aca="false">'Data Asli'!C62-'Data Asli'!C61</f>
        <v>237.1</v>
      </c>
      <c r="G50" s="7" t="n">
        <f aca="false">Q45</f>
        <v>32.5588255001992</v>
      </c>
      <c r="H50" s="7" t="n">
        <f aca="false">$B$3*C50</f>
        <v>-26.895</v>
      </c>
      <c r="I50" s="7" t="n">
        <f aca="false">$C$3*D50</f>
        <v>32.2375680000003</v>
      </c>
      <c r="J50" s="7" t="n">
        <f aca="false">$D$3*E50</f>
        <v>-39.5946159999997</v>
      </c>
      <c r="K50" s="7" t="n">
        <f aca="false">$E$3*F50</f>
        <v>33.167919</v>
      </c>
      <c r="L50" s="7" t="n">
        <f aca="false">$F$3*G50</f>
        <v>11.5766159948508</v>
      </c>
      <c r="M50" s="7" t="n">
        <f aca="false">H50+I50+J50+K50+L50</f>
        <v>10.4924869948514</v>
      </c>
      <c r="N50" s="7" t="n">
        <f aca="false">'Data Asli'!D73</f>
        <v>2062.59</v>
      </c>
      <c r="O50" s="9" t="n">
        <f aca="false">M50+N50</f>
        <v>2073.08248699485</v>
      </c>
      <c r="P50" s="7" t="n">
        <f aca="false">'Data Asli'!D74</f>
        <v>2037.19</v>
      </c>
      <c r="Q50" s="7" t="n">
        <f aca="false">(P50-N50)-M50</f>
        <v>-35.8924869948515</v>
      </c>
    </row>
    <row r="51" customFormat="false" ht="15" hidden="false" customHeight="false" outlineLevel="0" collapsed="false">
      <c r="A51" s="10" t="n">
        <v>74</v>
      </c>
      <c r="B51" s="11" t="str">
        <f aca="false">'Data Asli'!A75</f>
        <v>2024-02-01</v>
      </c>
      <c r="C51" s="10" t="n">
        <f aca="false">'Data Asli'!B50-'Data Asli'!B49</f>
        <v>151.599999999999</v>
      </c>
      <c r="D51" s="10" t="n">
        <f aca="false">'Data Asli'!B49-'Data Asli'!B48</f>
        <v>163</v>
      </c>
      <c r="E51" s="10" t="n">
        <f aca="false">'Data Asli'!B48-'Data Asli'!B47</f>
        <v>174.900000000001</v>
      </c>
      <c r="F51" s="10" t="n">
        <f aca="false">'Data Asli'!C63-'Data Asli'!C62</f>
        <v>-106.45</v>
      </c>
      <c r="G51" s="10" t="n">
        <f aca="false">Q46</f>
        <v>-57.4241676825133</v>
      </c>
      <c r="H51" s="10" t="n">
        <f aca="false">$B$3*C51</f>
        <v>-25.0139999999998</v>
      </c>
      <c r="I51" s="10" t="n">
        <f aca="false">$C$3*D51</f>
        <v>30.04416</v>
      </c>
      <c r="J51" s="10" t="n">
        <f aca="false">$D$3*E51</f>
        <v>-38.5584540000003</v>
      </c>
      <c r="K51" s="10" t="n">
        <f aca="false">$E$3*F51</f>
        <v>-14.8912905</v>
      </c>
      <c r="L51" s="10" t="n">
        <f aca="false">$F$3*G51</f>
        <v>-20.4177370611944</v>
      </c>
      <c r="M51" s="10" t="n">
        <f aca="false">H51+I51+J51+K51+L51</f>
        <v>-68.8373215611945</v>
      </c>
      <c r="N51" s="10" t="n">
        <f aca="false">'Data Asli'!D74</f>
        <v>2037.19</v>
      </c>
      <c r="O51" s="9" t="n">
        <f aca="false">M51+N51</f>
        <v>1968.35267843881</v>
      </c>
      <c r="P51" s="10" t="n">
        <f aca="false">'Data Asli'!D75</f>
        <v>2043.24</v>
      </c>
      <c r="Q51" s="10" t="n">
        <f aca="false">(P51-N51)-M51</f>
        <v>74.8873215611944</v>
      </c>
    </row>
    <row r="52" customFormat="false" ht="15" hidden="false" customHeight="false" outlineLevel="0" collapsed="false">
      <c r="A52" s="7" t="n">
        <v>75</v>
      </c>
      <c r="B52" s="8" t="str">
        <f aca="false">'Data Asli'!A76</f>
        <v>2024-03-01</v>
      </c>
      <c r="C52" s="7" t="n">
        <f aca="false">'Data Asli'!B51-'Data Asli'!B50</f>
        <v>75.1000000000022</v>
      </c>
      <c r="D52" s="7" t="n">
        <f aca="false">'Data Asli'!B50-'Data Asli'!B49</f>
        <v>151.599999999999</v>
      </c>
      <c r="E52" s="7" t="n">
        <f aca="false">'Data Asli'!B49-'Data Asli'!B48</f>
        <v>163</v>
      </c>
      <c r="F52" s="7" t="n">
        <f aca="false">'Data Asli'!C64-'Data Asli'!C63</f>
        <v>139.16</v>
      </c>
      <c r="G52" s="7" t="n">
        <f aca="false">Q47</f>
        <v>110.05710163125</v>
      </c>
      <c r="H52" s="7" t="n">
        <f aca="false">$B$3*C52</f>
        <v>-12.3915000000004</v>
      </c>
      <c r="I52" s="7" t="n">
        <f aca="false">$C$3*D52</f>
        <v>27.9429119999997</v>
      </c>
      <c r="J52" s="7" t="n">
        <f aca="false">$D$3*E52</f>
        <v>-35.93498</v>
      </c>
      <c r="K52" s="7" t="n">
        <f aca="false">$E$3*F52</f>
        <v>19.4670924</v>
      </c>
      <c r="L52" s="7" t="n">
        <f aca="false">$F$3*G52</f>
        <v>39.1319030560072</v>
      </c>
      <c r="M52" s="7" t="n">
        <f aca="false">H52+I52+J52+K52+L52</f>
        <v>38.2154274560066</v>
      </c>
      <c r="N52" s="7" t="n">
        <f aca="false">'Data Asli'!D75</f>
        <v>2043.24</v>
      </c>
      <c r="O52" s="9" t="n">
        <f aca="false">M52+N52</f>
        <v>2081.45542745601</v>
      </c>
      <c r="P52" s="7" t="n">
        <f aca="false">'Data Asli'!D76</f>
        <v>2232.38</v>
      </c>
      <c r="Q52" s="7" t="n">
        <f aca="false">(P52-N52)-M52</f>
        <v>150.924572543994</v>
      </c>
    </row>
    <row r="53" customFormat="false" ht="15" hidden="false" customHeight="false" outlineLevel="0" collapsed="false">
      <c r="A53" s="10" t="n">
        <v>76</v>
      </c>
      <c r="B53" s="11" t="str">
        <f aca="false">'Data Asli'!A77</f>
        <v>2024-04-01</v>
      </c>
      <c r="C53" s="10" t="n">
        <f aca="false">'Data Asli'!B52-'Data Asli'!B51</f>
        <v>62</v>
      </c>
      <c r="D53" s="10" t="n">
        <f aca="false">'Data Asli'!B51-'Data Asli'!B50</f>
        <v>75.1000000000022</v>
      </c>
      <c r="E53" s="10" t="n">
        <f aca="false">'Data Asli'!B50-'Data Asli'!B49</f>
        <v>151.599999999999</v>
      </c>
      <c r="F53" s="10" t="n">
        <f aca="false">'Data Asli'!C65-'Data Asli'!C64</f>
        <v>60.1699999999992</v>
      </c>
      <c r="G53" s="10" t="n">
        <f aca="false">Q48</f>
        <v>71.0887614808726</v>
      </c>
      <c r="H53" s="10" t="n">
        <f aca="false">$B$3*C53</f>
        <v>-10.23</v>
      </c>
      <c r="I53" s="10" t="n">
        <f aca="false">$C$3*D53</f>
        <v>13.8424320000004</v>
      </c>
      <c r="J53" s="10" t="n">
        <f aca="false">$D$3*E53</f>
        <v>-33.4217359999997</v>
      </c>
      <c r="K53" s="10" t="n">
        <f aca="false">$E$3*F53</f>
        <v>8.41718129999988</v>
      </c>
      <c r="L53" s="10" t="n">
        <f aca="false">$F$3*G53</f>
        <v>25.276320032139</v>
      </c>
      <c r="M53" s="10" t="n">
        <f aca="false">H53+I53+J53+K53+L53</f>
        <v>3.88419733213965</v>
      </c>
      <c r="N53" s="10" t="n">
        <f aca="false">'Data Asli'!D76</f>
        <v>2232.38</v>
      </c>
      <c r="O53" s="9" t="n">
        <f aca="false">M53+N53</f>
        <v>2236.26419733214</v>
      </c>
      <c r="P53" s="10" t="n">
        <f aca="false">'Data Asli'!D77</f>
        <v>2285.57</v>
      </c>
      <c r="Q53" s="10" t="n">
        <f aca="false">(P53-N53)-M53</f>
        <v>49.3058026678604</v>
      </c>
    </row>
    <row r="54" customFormat="false" ht="15" hidden="false" customHeight="false" outlineLevel="0" collapsed="false">
      <c r="A54" s="7" t="n">
        <v>77</v>
      </c>
      <c r="B54" s="8" t="str">
        <f aca="false">'Data Asli'!A78</f>
        <v>2024-05-01</v>
      </c>
      <c r="C54" s="7" t="n">
        <f aca="false">'Data Asli'!B53-'Data Asli'!B52</f>
        <v>-17.7999999999993</v>
      </c>
      <c r="D54" s="7" t="n">
        <f aca="false">'Data Asli'!B52-'Data Asli'!B51</f>
        <v>62</v>
      </c>
      <c r="E54" s="7" t="n">
        <f aca="false">'Data Asli'!B51-'Data Asli'!B50</f>
        <v>75.1000000000022</v>
      </c>
      <c r="F54" s="7" t="n">
        <f aca="false">'Data Asli'!C66-'Data Asli'!C65</f>
        <v>10.3500000000004</v>
      </c>
      <c r="G54" s="7" t="n">
        <f aca="false">Q49</f>
        <v>80.8319819356014</v>
      </c>
      <c r="H54" s="7" t="n">
        <f aca="false">$B$3*C54</f>
        <v>2.93699999999988</v>
      </c>
      <c r="I54" s="7" t="n">
        <f aca="false">$C$3*D54</f>
        <v>11.42784</v>
      </c>
      <c r="J54" s="7" t="n">
        <f aca="false">$D$3*E54</f>
        <v>-16.5565460000005</v>
      </c>
      <c r="K54" s="7" t="n">
        <f aca="false">$E$3*F54</f>
        <v>1.44786150000005</v>
      </c>
      <c r="L54" s="7" t="n">
        <f aca="false">$F$3*G54</f>
        <v>28.7406194970224</v>
      </c>
      <c r="M54" s="7" t="n">
        <f aca="false">H54+I54+J54+K54+L54</f>
        <v>27.9967749970219</v>
      </c>
      <c r="N54" s="7" t="n">
        <f aca="false">'Data Asli'!D77</f>
        <v>2285.57</v>
      </c>
      <c r="O54" s="9" t="n">
        <f aca="false">M54+N54</f>
        <v>2313.56677499702</v>
      </c>
      <c r="P54" s="7" t="n">
        <f aca="false">'Data Asli'!D78</f>
        <v>2326.97</v>
      </c>
      <c r="Q54" s="7" t="n">
        <f aca="false">(P54-N54)-M54</f>
        <v>13.4032250029777</v>
      </c>
    </row>
    <row r="55" customFormat="false" ht="15" hidden="false" customHeight="false" outlineLevel="0" collapsed="false">
      <c r="A55" s="10" t="n">
        <v>78</v>
      </c>
      <c r="B55" s="11" t="str">
        <f aca="false">'Data Asli'!A79</f>
        <v>2024-06-01</v>
      </c>
      <c r="C55" s="10" t="n">
        <f aca="false">'Data Asli'!B54-'Data Asli'!B53</f>
        <v>-49.5</v>
      </c>
      <c r="D55" s="10" t="n">
        <f aca="false">'Data Asli'!B53-'Data Asli'!B52</f>
        <v>-17.7999999999993</v>
      </c>
      <c r="E55" s="10" t="n">
        <f aca="false">'Data Asli'!B52-'Data Asli'!B51</f>
        <v>62</v>
      </c>
      <c r="F55" s="10" t="n">
        <f aca="false">'Data Asli'!C67-'Data Asli'!C66</f>
        <v>270.55</v>
      </c>
      <c r="G55" s="10" t="n">
        <f aca="false">Q50</f>
        <v>-35.8924869948515</v>
      </c>
      <c r="H55" s="10" t="n">
        <f aca="false">$B$3*C55</f>
        <v>8.1675</v>
      </c>
      <c r="I55" s="10" t="n">
        <f aca="false">$C$3*D55</f>
        <v>-3.28089599999987</v>
      </c>
      <c r="J55" s="10" t="n">
        <f aca="false">$D$3*E55</f>
        <v>-13.66852</v>
      </c>
      <c r="K55" s="10" t="n">
        <f aca="false">$E$3*F55</f>
        <v>37.8472395</v>
      </c>
      <c r="L55" s="10" t="n">
        <f aca="false">$F$3*G55</f>
        <v>-12.7619326758894</v>
      </c>
      <c r="M55" s="10" t="n">
        <f aca="false">H55+I55+J55+K55+L55</f>
        <v>16.3033908241108</v>
      </c>
      <c r="N55" s="10" t="n">
        <f aca="false">'Data Asli'!D78</f>
        <v>2326.97</v>
      </c>
      <c r="O55" s="9" t="n">
        <f aca="false">M55+N55</f>
        <v>2343.27339082411</v>
      </c>
      <c r="P55" s="10" t="n">
        <f aca="false">'Data Asli'!D79</f>
        <v>2325.71</v>
      </c>
      <c r="Q55" s="10" t="n">
        <f aca="false">(P55-N55)-M55</f>
        <v>-17.5633908241105</v>
      </c>
    </row>
    <row r="56" customFormat="false" ht="15" hidden="false" customHeight="false" outlineLevel="0" collapsed="false">
      <c r="A56" s="7" t="n">
        <v>79</v>
      </c>
      <c r="B56" s="8" t="str">
        <f aca="false">'Data Asli'!A80</f>
        <v>2024-07-01</v>
      </c>
      <c r="C56" s="7" t="n">
        <f aca="false">'Data Asli'!B55-'Data Asli'!B54</f>
        <v>-68.4000000000015</v>
      </c>
      <c r="D56" s="7" t="n">
        <f aca="false">'Data Asli'!B54-'Data Asli'!B53</f>
        <v>-49.5</v>
      </c>
      <c r="E56" s="7" t="n">
        <f aca="false">'Data Asli'!B53-'Data Asli'!B52</f>
        <v>-17.7999999999993</v>
      </c>
      <c r="F56" s="7" t="n">
        <f aca="false">'Data Asli'!C68-'Data Asli'!C67</f>
        <v>138.58</v>
      </c>
      <c r="G56" s="7" t="n">
        <f aca="false">Q51</f>
        <v>74.8873215611944</v>
      </c>
      <c r="H56" s="7" t="n">
        <f aca="false">$B$3*C56</f>
        <v>11.2860000000002</v>
      </c>
      <c r="I56" s="7" t="n">
        <f aca="false">$C$3*D56</f>
        <v>-9.12384</v>
      </c>
      <c r="J56" s="7" t="n">
        <f aca="false">$D$3*E56</f>
        <v>3.92418799999984</v>
      </c>
      <c r="K56" s="7" t="n">
        <f aca="false">$E$3*F56</f>
        <v>19.3859562</v>
      </c>
      <c r="L56" s="7" t="n">
        <f aca="false">$F$3*G56</f>
        <v>26.6269360542983</v>
      </c>
      <c r="M56" s="7" t="n">
        <f aca="false">H56+I56+J56+K56+L56</f>
        <v>52.0992402542984</v>
      </c>
      <c r="N56" s="7" t="n">
        <f aca="false">'Data Asli'!D79</f>
        <v>2325.71</v>
      </c>
      <c r="O56" s="9" t="n">
        <f aca="false">M56+N56</f>
        <v>2377.8092402543</v>
      </c>
      <c r="P56" s="7" t="n">
        <f aca="false">'Data Asli'!D80</f>
        <v>2448.1</v>
      </c>
      <c r="Q56" s="7" t="n">
        <f aca="false">(P56-N56)-M56</f>
        <v>70.2907597457015</v>
      </c>
    </row>
    <row r="57" customFormat="false" ht="15" hidden="false" customHeight="false" outlineLevel="0" collapsed="false">
      <c r="A57" s="10" t="n">
        <v>80</v>
      </c>
      <c r="B57" s="11" t="str">
        <f aca="false">'Data Asli'!A81</f>
        <v>2024-08-01</v>
      </c>
      <c r="C57" s="10" t="n">
        <f aca="false">'Data Asli'!B56-'Data Asli'!B55</f>
        <v>1.40000000000146</v>
      </c>
      <c r="D57" s="10" t="n">
        <f aca="false">'Data Asli'!B55-'Data Asli'!B54</f>
        <v>-68.4000000000015</v>
      </c>
      <c r="E57" s="10" t="n">
        <f aca="false">'Data Asli'!B54-'Data Asli'!B53</f>
        <v>-49.5</v>
      </c>
      <c r="F57" s="10" t="n">
        <f aca="false">'Data Asli'!C69-'Data Asli'!C68</f>
        <v>-81.3000000000002</v>
      </c>
      <c r="G57" s="10" t="n">
        <f aca="false">Q52</f>
        <v>150.924572543994</v>
      </c>
      <c r="H57" s="10" t="n">
        <f aca="false">$B$3*C57</f>
        <v>-0.23100000000024</v>
      </c>
      <c r="I57" s="10" t="n">
        <f aca="false">$C$3*D57</f>
        <v>-12.6074880000003</v>
      </c>
      <c r="J57" s="10" t="n">
        <f aca="false">$D$3*E57</f>
        <v>10.91277</v>
      </c>
      <c r="K57" s="10" t="n">
        <f aca="false">$E$3*F57</f>
        <v>-11.373057</v>
      </c>
      <c r="L57" s="10" t="n">
        <f aca="false">$F$3*G57</f>
        <v>53.6627410137423</v>
      </c>
      <c r="M57" s="10" t="n">
        <f aca="false">H57+I57+J57+K57+L57</f>
        <v>40.3639660137418</v>
      </c>
      <c r="N57" s="10" t="n">
        <f aca="false">'Data Asli'!D80</f>
        <v>2448.1</v>
      </c>
      <c r="O57" s="9" t="n">
        <f aca="false">M57+N57</f>
        <v>2488.46396601374</v>
      </c>
      <c r="P57" s="10" t="n">
        <f aca="false">'Data Asli'!D81</f>
        <v>2503.03</v>
      </c>
      <c r="Q57" s="10" t="n">
        <f aca="false">(P57-N57)-M57</f>
        <v>14.5660339862585</v>
      </c>
    </row>
    <row r="58" customFormat="false" ht="15" hidden="false" customHeight="false" outlineLevel="0" collapsed="false">
      <c r="A58" s="7" t="n">
        <v>81</v>
      </c>
      <c r="B58" s="8" t="str">
        <f aca="false">'Data Asli'!A82</f>
        <v>2024-09-01</v>
      </c>
      <c r="C58" s="7" t="n">
        <f aca="false">'Data Asli'!B57-'Data Asli'!B56</f>
        <v>-14.5</v>
      </c>
      <c r="D58" s="7" t="n">
        <f aca="false">'Data Asli'!B56-'Data Asli'!B55</f>
        <v>1.40000000000146</v>
      </c>
      <c r="E58" s="7" t="n">
        <f aca="false">'Data Asli'!B55-'Data Asli'!B54</f>
        <v>-68.4000000000015</v>
      </c>
      <c r="F58" s="7" t="n">
        <f aca="false">'Data Asli'!C70-'Data Asli'!C69</f>
        <v>-219.61</v>
      </c>
      <c r="G58" s="7" t="n">
        <f aca="false">Q53</f>
        <v>49.3058026678604</v>
      </c>
      <c r="H58" s="7" t="n">
        <f aca="false">$B$3*C58</f>
        <v>2.3925</v>
      </c>
      <c r="I58" s="7" t="n">
        <f aca="false">$C$3*D58</f>
        <v>0.258048000000268</v>
      </c>
      <c r="J58" s="7" t="n">
        <f aca="false">$D$3*E58</f>
        <v>15.0794640000003</v>
      </c>
      <c r="K58" s="7" t="n">
        <f aca="false">$E$3*F58</f>
        <v>-30.7212429</v>
      </c>
      <c r="L58" s="7" t="n">
        <f aca="false">$F$3*G58</f>
        <v>17.5311711965844</v>
      </c>
      <c r="M58" s="7" t="n">
        <f aca="false">H58+I58+J58+K58+L58</f>
        <v>4.53994029658508</v>
      </c>
      <c r="N58" s="7" t="n">
        <f aca="false">'Data Asli'!D81</f>
        <v>2503.03</v>
      </c>
      <c r="O58" s="9" t="n">
        <f aca="false">M58+N58</f>
        <v>2507.56994029659</v>
      </c>
      <c r="P58" s="7" t="n">
        <f aca="false">'Data Asli'!D82</f>
        <v>2634.49</v>
      </c>
      <c r="Q58" s="7" t="n">
        <f aca="false">(P58-N58)-M58</f>
        <v>126.920059703415</v>
      </c>
    </row>
    <row r="59" customFormat="false" ht="15" hidden="false" customHeight="false" outlineLevel="0" collapsed="false">
      <c r="A59" s="10" t="n">
        <v>82</v>
      </c>
      <c r="B59" s="11" t="str">
        <f aca="false">'Data Asli'!A83</f>
        <v>2024-10-01</v>
      </c>
      <c r="C59" s="10" t="n">
        <f aca="false">'Data Asli'!B58-'Data Asli'!B57</f>
        <v>-101.700000000001</v>
      </c>
      <c r="D59" s="10" t="n">
        <f aca="false">'Data Asli'!B57-'Data Asli'!B56</f>
        <v>-14.5</v>
      </c>
      <c r="E59" s="10" t="n">
        <f aca="false">'Data Asli'!B56-'Data Asli'!B55</f>
        <v>1.40000000000146</v>
      </c>
      <c r="F59" s="10" t="n">
        <f aca="false">'Data Asli'!C71-'Data Asli'!C70</f>
        <v>-94.25</v>
      </c>
      <c r="G59" s="10" t="n">
        <f aca="false">Q54</f>
        <v>13.4032250029777</v>
      </c>
      <c r="H59" s="10" t="n">
        <f aca="false">$B$3*C59</f>
        <v>16.7805000000001</v>
      </c>
      <c r="I59" s="10" t="n">
        <f aca="false">$C$3*D59</f>
        <v>-2.67264</v>
      </c>
      <c r="J59" s="10" t="n">
        <f aca="false">$D$3*E59</f>
        <v>-0.308644000000321</v>
      </c>
      <c r="K59" s="10" t="n">
        <f aca="false">$E$3*F59</f>
        <v>-13.1846325</v>
      </c>
      <c r="L59" s="10" t="n">
        <f aca="false">$F$3*G59</f>
        <v>4.76565068205877</v>
      </c>
      <c r="M59" s="10" t="n">
        <f aca="false">H59+I59+J59+K59+L59</f>
        <v>5.38023418205857</v>
      </c>
      <c r="N59" s="10" t="n">
        <f aca="false">'Data Asli'!D82</f>
        <v>2634.49</v>
      </c>
      <c r="O59" s="9" t="n">
        <f aca="false">M59+N59</f>
        <v>2639.87023418206</v>
      </c>
      <c r="P59" s="10" t="n">
        <f aca="false">'Data Asli'!D83</f>
        <v>2743.8</v>
      </c>
      <c r="Q59" s="10" t="n">
        <f aca="false">(P59-N59)-M59</f>
        <v>103.929765817942</v>
      </c>
    </row>
    <row r="60" customFormat="false" ht="15" hidden="false" customHeight="false" outlineLevel="0" collapsed="false">
      <c r="A60" s="7" t="n">
        <v>83</v>
      </c>
      <c r="B60" s="8" t="str">
        <f aca="false">'Data Asli'!A84</f>
        <v>2024-11-01</v>
      </c>
      <c r="C60" s="7" t="n">
        <f aca="false">'Data Asli'!B59-'Data Asli'!B58</f>
        <v>-75</v>
      </c>
      <c r="D60" s="7" t="n">
        <f aca="false">'Data Asli'!B58-'Data Asli'!B57</f>
        <v>-101.700000000001</v>
      </c>
      <c r="E60" s="7" t="n">
        <f aca="false">'Data Asli'!B57-'Data Asli'!B56</f>
        <v>-14.5</v>
      </c>
      <c r="F60" s="7" t="n">
        <f aca="false">'Data Asli'!C72-'Data Asli'!C71</f>
        <v>374</v>
      </c>
      <c r="G60" s="7" t="n">
        <f aca="false">Q55</f>
        <v>-17.5633908241105</v>
      </c>
      <c r="H60" s="7" t="n">
        <f aca="false">$B$3*C60</f>
        <v>12.375</v>
      </c>
      <c r="I60" s="7" t="n">
        <f aca="false">$C$3*D60</f>
        <v>-18.7453440000001</v>
      </c>
      <c r="J60" s="7" t="n">
        <f aca="false">$D$3*E60</f>
        <v>3.19667</v>
      </c>
      <c r="K60" s="7" t="n">
        <f aca="false">$E$3*F60</f>
        <v>52.31886</v>
      </c>
      <c r="L60" s="7" t="n">
        <f aca="false">$F$3*G60</f>
        <v>-6.24483924142074</v>
      </c>
      <c r="M60" s="7" t="n">
        <f aca="false">H60+I60+J60+K60+L60</f>
        <v>42.9003467585791</v>
      </c>
      <c r="N60" s="7" t="n">
        <f aca="false">'Data Asli'!D83</f>
        <v>2743.8</v>
      </c>
      <c r="O60" s="9" t="n">
        <f aca="false">M60+N60</f>
        <v>2786.70034675858</v>
      </c>
      <c r="P60" s="7" t="n">
        <f aca="false">'Data Asli'!D84</f>
        <v>2653.55</v>
      </c>
      <c r="Q60" s="7" t="n">
        <f aca="false">(P60-N60)-M60</f>
        <v>-133.150346758579</v>
      </c>
    </row>
    <row r="61" customFormat="false" ht="15" hidden="false" customHeight="false" outlineLevel="0" collapsed="false">
      <c r="A61" s="10" t="n">
        <v>84</v>
      </c>
      <c r="B61" s="11" t="str">
        <f aca="false">'Data Asli'!A85</f>
        <v>2024-12-01</v>
      </c>
      <c r="C61" s="10" t="n">
        <f aca="false">'Data Asli'!B60-'Data Asli'!B59</f>
        <v>-55</v>
      </c>
      <c r="D61" s="10" t="n">
        <f aca="false">'Data Asli'!B59-'Data Asli'!B58</f>
        <v>-75</v>
      </c>
      <c r="E61" s="10" t="n">
        <f aca="false">'Data Asli'!B58-'Data Asli'!B57</f>
        <v>-101.700000000001</v>
      </c>
      <c r="F61" s="10" t="n">
        <f aca="false">'Data Asli'!C73-'Data Asli'!C72</f>
        <v>202.03</v>
      </c>
      <c r="G61" s="10" t="n">
        <f aca="false">Q56</f>
        <v>70.2907597457015</v>
      </c>
      <c r="H61" s="10" t="n">
        <f aca="false">$B$3*C61</f>
        <v>9.075</v>
      </c>
      <c r="I61" s="10" t="n">
        <f aca="false">$C$3*D61</f>
        <v>-13.824</v>
      </c>
      <c r="J61" s="10" t="n">
        <f aca="false">$D$3*E61</f>
        <v>22.4207820000002</v>
      </c>
      <c r="K61" s="10" t="n">
        <f aca="false">$E$3*F61</f>
        <v>28.2619767</v>
      </c>
      <c r="L61" s="10" t="n">
        <f aca="false">$F$3*G61</f>
        <v>24.9925825351816</v>
      </c>
      <c r="M61" s="10" t="n">
        <f aca="false">H61+I61+J61+K61+L61</f>
        <v>70.9263412351818</v>
      </c>
      <c r="N61" s="10" t="n">
        <f aca="false">'Data Asli'!D84</f>
        <v>2653.55</v>
      </c>
      <c r="O61" s="9" t="n">
        <f aca="false">M61+N61</f>
        <v>2724.47634123518</v>
      </c>
      <c r="P61" s="10" t="n">
        <f aca="false">'Data Asli'!D85</f>
        <v>2623.81</v>
      </c>
      <c r="Q61" s="10" t="n">
        <f aca="false">(P61-N61)-M61</f>
        <v>-100.666341235182</v>
      </c>
    </row>
    <row r="62" customFormat="false" ht="15" hidden="false" customHeight="false" outlineLevel="0" collapsed="false">
      <c r="A62" s="7" t="n">
        <v>85</v>
      </c>
      <c r="B62" s="8" t="str">
        <f aca="false">'Data Asli'!A86</f>
        <v>2025-01-01</v>
      </c>
      <c r="C62" s="7" t="n">
        <f aca="false">'Data Asli'!B61-'Data Asli'!B60</f>
        <v>-115.799999999999</v>
      </c>
      <c r="D62" s="7" t="n">
        <f aca="false">'Data Asli'!B60-'Data Asli'!B59</f>
        <v>-55</v>
      </c>
      <c r="E62" s="7" t="n">
        <f aca="false">'Data Asli'!B59-'Data Asli'!B58</f>
        <v>-75</v>
      </c>
      <c r="F62" s="7" t="n">
        <f aca="false">'Data Asli'!C74-'Data Asli'!C73</f>
        <v>75.8199999999997</v>
      </c>
      <c r="G62" s="7" t="n">
        <f aca="false">Q57</f>
        <v>14.5660339862585</v>
      </c>
      <c r="H62" s="7" t="n">
        <f aca="false">$B$3*C62</f>
        <v>19.1069999999999</v>
      </c>
      <c r="I62" s="7" t="n">
        <f aca="false">$C$3*D62</f>
        <v>-10.1376</v>
      </c>
      <c r="J62" s="7" t="n">
        <f aca="false">$D$3*E62</f>
        <v>16.5345</v>
      </c>
      <c r="K62" s="7" t="n">
        <f aca="false">$E$3*F62</f>
        <v>10.6064598</v>
      </c>
      <c r="L62" s="7" t="n">
        <f aca="false">$F$3*G62</f>
        <v>5.17909904415407</v>
      </c>
      <c r="M62" s="7" t="n">
        <f aca="false">H62+I62+J62+K62+L62</f>
        <v>41.2894588441539</v>
      </c>
      <c r="N62" s="7" t="n">
        <f aca="false">'Data Asli'!D85</f>
        <v>2623.81</v>
      </c>
      <c r="O62" s="9" t="n">
        <f aca="false">M62+N62</f>
        <v>2665.09945884415</v>
      </c>
      <c r="P62" s="7" t="n">
        <f aca="false">'Data Asli'!D86</f>
        <v>2801.18</v>
      </c>
      <c r="Q62" s="7" t="n">
        <f aca="false">(P62-N62)-M62</f>
        <v>136.080541155846</v>
      </c>
    </row>
    <row r="63" customFormat="false" ht="15" hidden="false" customHeight="false" outlineLevel="0" collapsed="false">
      <c r="A63" s="10" t="n">
        <v>86</v>
      </c>
      <c r="B63" s="11" t="str">
        <f aca="false">'Data Asli'!A87</f>
        <v>2025-02-01</v>
      </c>
      <c r="C63" s="10" t="n">
        <f aca="false">'Data Asli'!B62-'Data Asli'!B61</f>
        <v>-11</v>
      </c>
      <c r="D63" s="10" t="n">
        <f aca="false">'Data Asli'!B61-'Data Asli'!B60</f>
        <v>-115.799999999999</v>
      </c>
      <c r="E63" s="10" t="n">
        <f aca="false">'Data Asli'!B60-'Data Asli'!B59</f>
        <v>-55</v>
      </c>
      <c r="F63" s="10" t="n">
        <f aca="false">'Data Asli'!C75-'Data Asli'!C74</f>
        <v>250.620000000001</v>
      </c>
      <c r="G63" s="10" t="n">
        <f aca="false">Q58</f>
        <v>126.920059703415</v>
      </c>
      <c r="H63" s="10" t="n">
        <f aca="false">$B$3*C63</f>
        <v>1.815</v>
      </c>
      <c r="I63" s="10" t="n">
        <f aca="false">$C$3*D63</f>
        <v>-21.3442559999999</v>
      </c>
      <c r="J63" s="10" t="n">
        <f aca="false">$D$3*E63</f>
        <v>12.1253</v>
      </c>
      <c r="K63" s="10" t="n">
        <f aca="false">$E$3*F63</f>
        <v>35.0592318000001</v>
      </c>
      <c r="L63" s="10" t="n">
        <f aca="false">$F$3*G63</f>
        <v>45.1276964281461</v>
      </c>
      <c r="M63" s="10" t="n">
        <f aca="false">H63+I63+J63+K63+L63</f>
        <v>72.7829722281463</v>
      </c>
      <c r="N63" s="10" t="n">
        <f aca="false">'Data Asli'!D86</f>
        <v>2801.18</v>
      </c>
      <c r="O63" s="9" t="n">
        <f aca="false">M63+N63</f>
        <v>2873.96297222815</v>
      </c>
      <c r="P63" s="10" t="n">
        <f aca="false">'Data Asli'!D87</f>
        <v>2858.77</v>
      </c>
      <c r="Q63" s="10" t="n">
        <f aca="false">(P63-N63)-M63</f>
        <v>-15.1929722281461</v>
      </c>
    </row>
    <row r="64" customFormat="false" ht="15" hidden="false" customHeight="false" outlineLevel="0" collapsed="false">
      <c r="A64" s="7" t="n">
        <v>87</v>
      </c>
      <c r="B64" s="8" t="str">
        <f aca="false">'Data Asli'!A88</f>
        <v>2025-03-01</v>
      </c>
      <c r="C64" s="7" t="n">
        <f aca="false">'Data Asli'!B63-'Data Asli'!B62</f>
        <v>-36.2000000000007</v>
      </c>
      <c r="D64" s="7" t="n">
        <f aca="false">'Data Asli'!B62-'Data Asli'!B61</f>
        <v>-11</v>
      </c>
      <c r="E64" s="7" t="n">
        <f aca="false">'Data Asli'!B61-'Data Asli'!B60</f>
        <v>-115.799999999999</v>
      </c>
      <c r="F64" s="7" t="n">
        <f aca="false">'Data Asli'!C76-'Data Asli'!C75</f>
        <v>158.08</v>
      </c>
      <c r="G64" s="7" t="n">
        <f aca="false">Q59</f>
        <v>103.929765817942</v>
      </c>
      <c r="H64" s="7" t="n">
        <f aca="false">$B$3*C64</f>
        <v>5.97300000000012</v>
      </c>
      <c r="I64" s="7" t="n">
        <f aca="false">$C$3*D64</f>
        <v>-2.02752</v>
      </c>
      <c r="J64" s="7" t="n">
        <f aca="false">$D$3*E64</f>
        <v>25.5292679999998</v>
      </c>
      <c r="K64" s="7" t="n">
        <f aca="false">$E$3*F64</f>
        <v>22.1138112</v>
      </c>
      <c r="L64" s="7" t="n">
        <f aca="false">$F$3*G64</f>
        <v>36.9532675342274</v>
      </c>
      <c r="M64" s="7" t="n">
        <f aca="false">H64+I64+J64+K64+L64</f>
        <v>88.5418267342273</v>
      </c>
      <c r="N64" s="7" t="n">
        <f aca="false">'Data Asli'!D87</f>
        <v>2858.77</v>
      </c>
      <c r="O64" s="9" t="n">
        <f aca="false">M64+N64</f>
        <v>2947.31182673423</v>
      </c>
      <c r="P64" s="7" t="n">
        <f aca="false">'Data Asli'!D88</f>
        <v>3123.35</v>
      </c>
      <c r="Q64" s="7" t="n">
        <f aca="false">(P64-N64)-M64</f>
        <v>176.038173265773</v>
      </c>
    </row>
    <row r="65" customFormat="false" ht="15" hidden="false" customHeight="false" outlineLevel="0" collapsed="false">
      <c r="A65" s="10" t="n">
        <v>88</v>
      </c>
      <c r="B65" s="11" t="str">
        <f aca="false">'Data Asli'!A89</f>
        <v>2025-04-01</v>
      </c>
      <c r="C65" s="10" t="n">
        <f aca="false">'Data Asli'!B64-'Data Asli'!B63</f>
        <v>-296.299999999999</v>
      </c>
      <c r="D65" s="10" t="n">
        <f aca="false">'Data Asli'!B63-'Data Asli'!B62</f>
        <v>-36.2000000000007</v>
      </c>
      <c r="E65" s="10" t="n">
        <f aca="false">'Data Asli'!B62-'Data Asli'!B61</f>
        <v>-11</v>
      </c>
      <c r="F65" s="10" t="n">
        <f aca="false">'Data Asli'!C77-'Data Asli'!C76</f>
        <v>-218.660000000001</v>
      </c>
      <c r="G65" s="10" t="n">
        <f aca="false">Q60</f>
        <v>-133.150346758579</v>
      </c>
      <c r="H65" s="10" t="n">
        <f aca="false">$B$3*C65</f>
        <v>48.8894999999999</v>
      </c>
      <c r="I65" s="10" t="n">
        <f aca="false">$C$3*D65</f>
        <v>-6.67238400000013</v>
      </c>
      <c r="J65" s="10" t="n">
        <f aca="false">$D$3*E65</f>
        <v>2.42506</v>
      </c>
      <c r="K65" s="10" t="n">
        <f aca="false">$E$3*F65</f>
        <v>-30.5883474000001</v>
      </c>
      <c r="L65" s="10" t="n">
        <f aca="false">$F$3*G65</f>
        <v>-47.3429372934804</v>
      </c>
      <c r="M65" s="10" t="n">
        <f aca="false">H65+I65+J65+K65+L65</f>
        <v>-33.2891086934808</v>
      </c>
      <c r="N65" s="10" t="n">
        <f aca="false">'Data Asli'!D88</f>
        <v>3123.35</v>
      </c>
      <c r="O65" s="9" t="n">
        <f aca="false">M65+N65</f>
        <v>3090.06089130652</v>
      </c>
      <c r="P65" s="10" t="n">
        <f aca="false">'Data Asli'!D89</f>
        <v>3288.59</v>
      </c>
      <c r="Q65" s="10" t="n">
        <f aca="false">(P65-N65)-M65</f>
        <v>198.529108693481</v>
      </c>
    </row>
    <row r="66" customFormat="false" ht="15" hidden="false" customHeight="false" outlineLevel="0" collapsed="false">
      <c r="A66" s="7" t="n">
        <v>89</v>
      </c>
      <c r="B66" s="8" t="str">
        <f aca="false">'Data Asli'!A90</f>
        <v>2025-05-01</v>
      </c>
      <c r="C66" s="7" t="n">
        <f aca="false">'Data Asli'!B65-'Data Asli'!B64</f>
        <v>-186</v>
      </c>
      <c r="D66" s="7" t="n">
        <f aca="false">'Data Asli'!B64-'Data Asli'!B63</f>
        <v>-296.299999999999</v>
      </c>
      <c r="E66" s="7" t="n">
        <f aca="false">'Data Asli'!B63-'Data Asli'!B62</f>
        <v>-36.2000000000007</v>
      </c>
      <c r="F66" s="7" t="n">
        <f aca="false">'Data Asli'!C78-'Data Asli'!C77</f>
        <v>241.820000000001</v>
      </c>
      <c r="G66" s="7" t="n">
        <f aca="false">Q61</f>
        <v>-100.666341235182</v>
      </c>
      <c r="H66" s="7" t="n">
        <f aca="false">$B$3*C66</f>
        <v>30.69</v>
      </c>
      <c r="I66" s="7" t="n">
        <f aca="false">$C$3*D66</f>
        <v>-54.6140159999999</v>
      </c>
      <c r="J66" s="7" t="n">
        <f aca="false">$D$3*E66</f>
        <v>7.98065200000016</v>
      </c>
      <c r="K66" s="7" t="n">
        <f aca="false">$E$3*F66</f>
        <v>33.8281998000001</v>
      </c>
      <c r="L66" s="7" t="n">
        <f aca="false">$F$3*G66</f>
        <v>-35.7929242895813</v>
      </c>
      <c r="M66" s="7" t="n">
        <f aca="false">H66+I66+J66+K66+L66</f>
        <v>-17.9080884895809</v>
      </c>
      <c r="N66" s="7" t="n">
        <f aca="false">'Data Asli'!D89</f>
        <v>3288.59</v>
      </c>
      <c r="O66" s="9" t="n">
        <f aca="false">M66+N66</f>
        <v>3270.68191151042</v>
      </c>
      <c r="P66" s="7" t="n">
        <f aca="false">'Data Asli'!D90</f>
        <v>3289.4</v>
      </c>
      <c r="Q66" s="7" t="n">
        <f aca="false">(P66-N66)-M66</f>
        <v>18.7180884895809</v>
      </c>
    </row>
    <row r="67" customFormat="false" ht="15" hidden="false" customHeight="false" outlineLevel="0" collapsed="false">
      <c r="A67" s="10" t="n">
        <v>90</v>
      </c>
      <c r="B67" s="11" t="str">
        <f aca="false">'Data Asli'!A91</f>
        <v>2025-06-01</v>
      </c>
      <c r="C67" s="10" t="n">
        <f aca="false">'Data Asli'!B66-'Data Asli'!B65</f>
        <v>68.1999999999971</v>
      </c>
      <c r="D67" s="10" t="n">
        <f aca="false">'Data Asli'!B65-'Data Asli'!B64</f>
        <v>-186</v>
      </c>
      <c r="E67" s="10" t="n">
        <f aca="false">'Data Asli'!B64-'Data Asli'!B63</f>
        <v>-296.299999999999</v>
      </c>
      <c r="F67" s="10" t="n">
        <f aca="false">'Data Asli'!C79-'Data Asli'!C78</f>
        <v>182.969999999999</v>
      </c>
      <c r="G67" s="10" t="n">
        <f aca="false">Q62</f>
        <v>136.080541155846</v>
      </c>
      <c r="H67" s="10" t="n">
        <f aca="false">$B$3*C67</f>
        <v>-11.2529999999995</v>
      </c>
      <c r="I67" s="10" t="n">
        <f aca="false">$C$3*D67</f>
        <v>-34.28352</v>
      </c>
      <c r="J67" s="10" t="n">
        <f aca="false">$D$3*E67</f>
        <v>65.3222979999998</v>
      </c>
      <c r="K67" s="10" t="n">
        <f aca="false">$E$3*F67</f>
        <v>25.5956732999999</v>
      </c>
      <c r="L67" s="10" t="n">
        <f aca="false">$F$3*G67</f>
        <v>48.3847972133726</v>
      </c>
      <c r="M67" s="10" t="n">
        <f aca="false">H67+I67+J67+K67+L67</f>
        <v>93.7662485133728</v>
      </c>
      <c r="N67" s="10" t="n">
        <f aca="false">'Data Asli'!D90</f>
        <v>3289.4</v>
      </c>
      <c r="O67" s="9" t="n">
        <f aca="false">M67+N67</f>
        <v>3383.16624851337</v>
      </c>
      <c r="P67" s="10" t="n">
        <f aca="false">'Data Asli'!D91</f>
        <v>3303.69</v>
      </c>
      <c r="Q67" s="10" t="n">
        <f aca="false">(P67-N67)-M67</f>
        <v>-79.4762485133728</v>
      </c>
    </row>
    <row r="68" customFormat="false" ht="15" hidden="false" customHeight="false" outlineLevel="0" collapsed="false">
      <c r="A68" s="7" t="n">
        <v>91</v>
      </c>
      <c r="B68" s="8" t="str">
        <f aca="false">'Data Asli'!A92</f>
        <v>2025-07-01</v>
      </c>
      <c r="C68" s="7" t="n">
        <f aca="false">'Data Asli'!B67-'Data Asli'!B66</f>
        <v>-30.1999999999971</v>
      </c>
      <c r="D68" s="7" t="n">
        <f aca="false">'Data Asli'!B66-'Data Asli'!B65</f>
        <v>68.1999999999971</v>
      </c>
      <c r="E68" s="7" t="n">
        <f aca="false">'Data Asli'!B65-'Data Asli'!B64</f>
        <v>-186</v>
      </c>
      <c r="F68" s="7" t="n">
        <f aca="false">'Data Asli'!C80-'Data Asli'!C79</f>
        <v>61.8200000000006</v>
      </c>
      <c r="G68" s="7" t="n">
        <f aca="false">Q63</f>
        <v>-15.1929722281461</v>
      </c>
      <c r="H68" s="7" t="n">
        <f aca="false">$B$3*C68</f>
        <v>4.98299999999952</v>
      </c>
      <c r="I68" s="7" t="n">
        <f aca="false">$C$3*D68</f>
        <v>12.5706239999995</v>
      </c>
      <c r="J68" s="7" t="n">
        <f aca="false">$D$3*E68</f>
        <v>41.00556</v>
      </c>
      <c r="K68" s="7" t="n">
        <f aca="false">$E$3*F68</f>
        <v>8.64799980000009</v>
      </c>
      <c r="L68" s="7" t="n">
        <f aca="false">$F$3*G68</f>
        <v>-5.40201320543964</v>
      </c>
      <c r="M68" s="7" t="n">
        <f aca="false">H68+I68+J68+K68+L68</f>
        <v>61.8051705945594</v>
      </c>
      <c r="N68" s="7" t="n">
        <f aca="false">'Data Asli'!D91</f>
        <v>3303.69</v>
      </c>
      <c r="O68" s="9" t="n">
        <f aca="false">M68+N68</f>
        <v>3365.49517059456</v>
      </c>
      <c r="P68" s="7" t="n">
        <f aca="false">'Data Asli'!D92</f>
        <v>3290.32</v>
      </c>
      <c r="Q68" s="7" t="n">
        <f aca="false">(P68-N68)-M68</f>
        <v>-75.1751705945593</v>
      </c>
    </row>
    <row r="69" customFormat="false" ht="15" hidden="false" customHeight="false" outlineLevel="0" collapsed="false">
      <c r="A69" s="10" t="n">
        <v>92</v>
      </c>
      <c r="B69" s="11" t="str">
        <f aca="false">'Data Asli'!A93</f>
        <v>2025-08-01</v>
      </c>
      <c r="C69" s="10" t="n">
        <f aca="false">'Data Asli'!B68-'Data Asli'!B67</f>
        <v>-8</v>
      </c>
      <c r="D69" s="10" t="n">
        <f aca="false">'Data Asli'!B67-'Data Asli'!B66</f>
        <v>-30.1999999999971</v>
      </c>
      <c r="E69" s="10" t="n">
        <f aca="false">'Data Asli'!B66-'Data Asli'!B65</f>
        <v>68.1999999999971</v>
      </c>
      <c r="F69" s="10" t="n">
        <f aca="false">'Data Asli'!C81-'Data Asli'!C80</f>
        <v>126.099999999999</v>
      </c>
      <c r="G69" s="10" t="n">
        <f aca="false">Q64</f>
        <v>176.038173265773</v>
      </c>
      <c r="H69" s="10" t="n">
        <f aca="false">$B$3*C69</f>
        <v>1.32</v>
      </c>
      <c r="I69" s="10" t="n">
        <f aca="false">$C$3*D69</f>
        <v>-5.56646399999946</v>
      </c>
      <c r="J69" s="10" t="n">
        <f aca="false">$D$3*E69</f>
        <v>-15.0353719999994</v>
      </c>
      <c r="K69" s="10" t="n">
        <f aca="false">$E$3*F69</f>
        <v>17.6401289999999</v>
      </c>
      <c r="L69" s="10" t="n">
        <f aca="false">$F$3*G69</f>
        <v>62.5921328863781</v>
      </c>
      <c r="M69" s="10" t="n">
        <f aca="false">H69+I69+J69+K69+L69</f>
        <v>60.9504258863792</v>
      </c>
      <c r="N69" s="10" t="n">
        <f aca="false">'Data Asli'!D92</f>
        <v>3290.32</v>
      </c>
      <c r="O69" s="9" t="n">
        <f aca="false">M69+N69</f>
        <v>3351.27042588638</v>
      </c>
      <c r="P69" s="10" t="n">
        <f aca="false">'Data Asli'!D93</f>
        <v>3448</v>
      </c>
      <c r="Q69" s="10" t="n">
        <f aca="false">(P69-N69)-M69</f>
        <v>96.7295741136206</v>
      </c>
    </row>
    <row r="70" customFormat="false" ht="15" hidden="false" customHeight="false" outlineLevel="0" collapsed="false">
      <c r="A70" s="7" t="n">
        <v>93</v>
      </c>
      <c r="B70" s="8" t="str">
        <f aca="false">'Data Asli'!A94</f>
        <v>2025-09-01</v>
      </c>
      <c r="C70" s="7" t="n">
        <f aca="false">'Data Asli'!B69-'Data Asli'!B68</f>
        <v>-13.9000000000015</v>
      </c>
      <c r="D70" s="7" t="n">
        <f aca="false">'Data Asli'!B68-'Data Asli'!B67</f>
        <v>-8</v>
      </c>
      <c r="E70" s="7" t="n">
        <f aca="false">'Data Asli'!B67-'Data Asli'!B66</f>
        <v>-30.1999999999971</v>
      </c>
      <c r="F70" s="7" t="n">
        <f aca="false">'Data Asli'!C82-'Data Asli'!C81</f>
        <v>114.08</v>
      </c>
      <c r="G70" s="7" t="n">
        <f aca="false">Q65</f>
        <v>198.529108693481</v>
      </c>
      <c r="H70" s="7" t="n">
        <f aca="false">$B$3*C70</f>
        <v>2.29350000000024</v>
      </c>
      <c r="I70" s="7" t="n">
        <f aca="false">$C$3*D70</f>
        <v>-1.47456</v>
      </c>
      <c r="J70" s="7" t="n">
        <f aca="false">$D$3*E70</f>
        <v>6.65789199999936</v>
      </c>
      <c r="K70" s="7" t="n">
        <f aca="false">$E$3*F70</f>
        <v>15.9586512</v>
      </c>
      <c r="L70" s="7" t="n">
        <f aca="false">$F$3*G70</f>
        <v>70.5890098870541</v>
      </c>
      <c r="M70" s="7" t="n">
        <f aca="false">H70+I70+J70+K70+L70</f>
        <v>94.0244930870537</v>
      </c>
      <c r="N70" s="7" t="n">
        <f aca="false">'Data Asli'!D93</f>
        <v>3448</v>
      </c>
      <c r="O70" s="9" t="n">
        <f aca="false">M70+N70</f>
        <v>3542.02449308705</v>
      </c>
      <c r="P70" s="7" t="n">
        <f aca="false">'Data Asli'!D94</f>
        <v>3858.51</v>
      </c>
      <c r="Q70" s="7" t="n">
        <f aca="false">(P70-N70)-M70</f>
        <v>316.485506912947</v>
      </c>
    </row>
    <row r="71" customFormat="false" ht="15" hidden="false" customHeight="false" outlineLevel="0" collapsed="false">
      <c r="A71" s="10" t="n">
        <v>94</v>
      </c>
      <c r="B71" s="11" t="str">
        <f aca="false">'Data Asli'!A95</f>
        <v>2025-10-01</v>
      </c>
      <c r="C71" s="10" t="n">
        <f aca="false">'Data Asli'!B70-'Data Asli'!B69</f>
        <v>-29.7000000000007</v>
      </c>
      <c r="D71" s="10" t="n">
        <f aca="false">'Data Asli'!B69-'Data Asli'!B68</f>
        <v>-13.9000000000015</v>
      </c>
      <c r="E71" s="10" t="n">
        <f aca="false">'Data Asli'!B68-'Data Asli'!B67</f>
        <v>-8</v>
      </c>
      <c r="F71" s="10" t="n">
        <f aca="false">'Data Asli'!C83-'Data Asli'!C82</f>
        <v>-57.0299999999997</v>
      </c>
      <c r="G71" s="10" t="n">
        <f aca="false">Q66</f>
        <v>18.7180884895809</v>
      </c>
      <c r="H71" s="10" t="n">
        <f aca="false">$B$3*C71</f>
        <v>4.90050000000012</v>
      </c>
      <c r="I71" s="10" t="n">
        <f aca="false">$C$3*D71</f>
        <v>-2.56204800000027</v>
      </c>
      <c r="J71" s="10" t="n">
        <f aca="false">$D$3*E71</f>
        <v>1.76368</v>
      </c>
      <c r="K71" s="10" t="n">
        <f aca="false">$E$3*F71</f>
        <v>-7.97792669999996</v>
      </c>
      <c r="L71" s="10" t="n">
        <f aca="false">$F$3*G71</f>
        <v>6.65540354335538</v>
      </c>
      <c r="M71" s="10" t="n">
        <f aca="false">H71+I71+J71+K71+L71</f>
        <v>2.77960884335527</v>
      </c>
      <c r="N71" s="10" t="n">
        <f aca="false">'Data Asli'!D94</f>
        <v>3858.51</v>
      </c>
      <c r="O71" s="9" t="n">
        <f aca="false">M71+N71</f>
        <v>3861.28960884336</v>
      </c>
      <c r="P71" s="10" t="n">
        <f aca="false">'Data Asli'!D95</f>
        <v>4002.28</v>
      </c>
      <c r="Q71" s="10" t="n">
        <f aca="false">(P71-N71)-M71</f>
        <v>140.990391156645</v>
      </c>
    </row>
    <row r="72" customFormat="false" ht="15" hidden="false" customHeight="false" outlineLevel="0" collapsed="false">
      <c r="A72" s="7" t="n">
        <v>95</v>
      </c>
      <c r="B72" s="8" t="str">
        <f aca="false">'Data Asli'!A96</f>
        <v>2025-11-01</v>
      </c>
      <c r="C72" s="7" t="n">
        <f aca="false">'Data Asli'!B71-'Data Asli'!B70</f>
        <v>-14.8999999999978</v>
      </c>
      <c r="D72" s="7" t="n">
        <f aca="false">'Data Asli'!B70-'Data Asli'!B69</f>
        <v>-29.7000000000007</v>
      </c>
      <c r="E72" s="7" t="n">
        <f aca="false">'Data Asli'!B69-'Data Asli'!B68</f>
        <v>-13.9000000000015</v>
      </c>
      <c r="F72" s="7" t="n">
        <f aca="false">'Data Asli'!C84-'Data Asli'!C83</f>
        <v>326.93</v>
      </c>
      <c r="G72" s="7" t="n">
        <f aca="false">Q67</f>
        <v>-79.4762485133728</v>
      </c>
      <c r="H72" s="7" t="n">
        <f aca="false">$B$3*C72</f>
        <v>2.45849999999964</v>
      </c>
      <c r="I72" s="7" t="n">
        <f aca="false">$C$3*D72</f>
        <v>-5.47430400000013</v>
      </c>
      <c r="J72" s="7" t="n">
        <f aca="false">$D$3*E72</f>
        <v>3.06439400000032</v>
      </c>
      <c r="K72" s="7" t="n">
        <f aca="false">$E$3*F72</f>
        <v>45.7342377</v>
      </c>
      <c r="L72" s="7" t="n">
        <f aca="false">$F$3*G72</f>
        <v>-28.2585749214148</v>
      </c>
      <c r="M72" s="7" t="n">
        <f aca="false">H72+I72+J72+K72+L72</f>
        <v>17.524252778585</v>
      </c>
      <c r="N72" s="7" t="n">
        <f aca="false">'Data Asli'!D95</f>
        <v>4002.28</v>
      </c>
      <c r="O72" s="9" t="n">
        <f aca="false">M72+N72</f>
        <v>4019.80425277859</v>
      </c>
      <c r="P72" s="7" t="n">
        <f aca="false">'Data Asli'!D96</f>
        <v>4230.63</v>
      </c>
      <c r="Q72" s="7" t="n">
        <f aca="false">(P72-N72)-M72</f>
        <v>210.825747221415</v>
      </c>
    </row>
    <row r="73" customFormat="false" ht="15" hidden="false" customHeight="false" outlineLevel="0" collapsed="false">
      <c r="A73" s="10" t="n">
        <v>96</v>
      </c>
      <c r="B73" s="11" t="str">
        <f aca="false">'Data Asli'!A97</f>
        <v>2025-12-01</v>
      </c>
      <c r="C73" s="10" t="n">
        <f aca="false">'Data Asli'!B72-'Data Asli'!B71</f>
        <v>13.5</v>
      </c>
      <c r="D73" s="10" t="n">
        <f aca="false">'Data Asli'!B71-'Data Asli'!B70</f>
        <v>-14.8999999999978</v>
      </c>
      <c r="E73" s="10" t="n">
        <f aca="false">'Data Asli'!B70-'Data Asli'!B69</f>
        <v>-29.7000000000007</v>
      </c>
      <c r="F73" s="10" t="n">
        <f aca="false">'Data Asli'!C85-'Data Asli'!C84</f>
        <v>-150.75</v>
      </c>
      <c r="G73" s="10" t="n">
        <f aca="false">Q68</f>
        <v>-75.1751705945593</v>
      </c>
      <c r="H73" s="10" t="n">
        <f aca="false">$B$3*C73</f>
        <v>-2.2275</v>
      </c>
      <c r="I73" s="10" t="n">
        <f aca="false">$C$3*D73</f>
        <v>-2.7463679999996</v>
      </c>
      <c r="J73" s="10" t="n">
        <f aca="false">$D$3*E73</f>
        <v>6.54766200000016</v>
      </c>
      <c r="K73" s="10" t="n">
        <f aca="false">$E$3*F73</f>
        <v>-21.0884175</v>
      </c>
      <c r="L73" s="10" t="n">
        <f aca="false">$F$3*G73</f>
        <v>-26.7292836566015</v>
      </c>
      <c r="M73" s="10" t="n">
        <f aca="false">H73+I73+J73+K73+L73</f>
        <v>-46.2439071566009</v>
      </c>
      <c r="N73" s="10" t="n">
        <f aca="false">'Data Asli'!D96</f>
        <v>4230.63</v>
      </c>
      <c r="O73" s="9" t="n">
        <f aca="false">M73+N73</f>
        <v>4184.3860928434</v>
      </c>
      <c r="P73" s="10" t="n">
        <f aca="false">'Data Asli'!D97</f>
        <v>4315.09</v>
      </c>
      <c r="Q73" s="10" t="n">
        <f aca="false">(P73-N73)-M73</f>
        <v>130.703907156601</v>
      </c>
    </row>
    <row r="74" customFormat="false" ht="15" hidden="false" customHeight="false" outlineLevel="0" collapsed="false">
      <c r="A74" s="7" t="n">
        <v>97</v>
      </c>
      <c r="B74" s="8" t="str">
        <f aca="false">'Data Asli'!A98</f>
        <v>2026-01-01</v>
      </c>
      <c r="C74" s="7" t="n">
        <f aca="false">'Data Asli'!B73-'Data Asli'!B72</f>
        <v>31.3999999999978</v>
      </c>
      <c r="D74" s="7" t="n">
        <f aca="false">'Data Asli'!B72-'Data Asli'!B71</f>
        <v>13.5</v>
      </c>
      <c r="E74" s="7" t="n">
        <f aca="false">'Data Asli'!B71-'Data Asli'!B70</f>
        <v>-14.8999999999978</v>
      </c>
      <c r="F74" s="7" t="n">
        <f aca="false">'Data Asli'!C86-'Data Asli'!C85</f>
        <v>158.9</v>
      </c>
      <c r="G74" s="7" t="n">
        <f aca="false">Q69</f>
        <v>96.7295741136206</v>
      </c>
      <c r="H74" s="7" t="n">
        <f aca="false">$B$3*C74</f>
        <v>-5.18099999999964</v>
      </c>
      <c r="I74" s="7" t="n">
        <f aca="false">$C$3*D74</f>
        <v>2.48832</v>
      </c>
      <c r="J74" s="7" t="n">
        <f aca="false">$D$3*E74</f>
        <v>3.28485399999952</v>
      </c>
      <c r="K74" s="7" t="n">
        <f aca="false">$E$3*F74</f>
        <v>22.2285209999999</v>
      </c>
      <c r="L74" s="7" t="n">
        <f aca="false">$F$3*G74</f>
        <v>34.393167371839</v>
      </c>
      <c r="M74" s="7" t="n">
        <f aca="false">H74+I74+J74+K74+L74</f>
        <v>57.2138623718388</v>
      </c>
      <c r="N74" s="7" t="n">
        <f aca="false">'Data Asli'!D97</f>
        <v>4315.09</v>
      </c>
      <c r="O74" s="9" t="n">
        <f aca="false">M74+N74</f>
        <v>4372.30386237184</v>
      </c>
      <c r="P74" s="7" t="n">
        <f aca="false">'Data Asli'!D98</f>
        <v>4865.35</v>
      </c>
      <c r="Q74" s="7" t="n">
        <f aca="false">(P74-N74)-M74</f>
        <v>493.046137628161</v>
      </c>
    </row>
    <row r="75" customFormat="false" ht="15" hidden="false" customHeight="false" outlineLevel="0" collapsed="false">
      <c r="A75" s="10" t="n">
        <v>98</v>
      </c>
      <c r="B75" s="11" t="str">
        <f aca="false">'Data Asli'!A99</f>
        <v>2026-02-01</v>
      </c>
      <c r="C75" s="10" t="n">
        <f aca="false">'Data Asli'!B74-'Data Asli'!B73</f>
        <v>65.9000000000015</v>
      </c>
      <c r="D75" s="10" t="n">
        <f aca="false">'Data Asli'!B73-'Data Asli'!B72</f>
        <v>31.3999999999978</v>
      </c>
      <c r="E75" s="10" t="n">
        <f aca="false">'Data Asli'!B72-'Data Asli'!B71</f>
        <v>13.5</v>
      </c>
      <c r="F75" s="10" t="n">
        <f aca="false">'Data Asli'!C87-'Data Asli'!C86</f>
        <v>-86.0299999999998</v>
      </c>
      <c r="G75" s="10" t="n">
        <f aca="false">Q70</f>
        <v>316.485506912947</v>
      </c>
      <c r="H75" s="10" t="n">
        <f aca="false">$B$3*C75</f>
        <v>-10.8735000000002</v>
      </c>
      <c r="I75" s="10" t="n">
        <f aca="false">$C$3*D75</f>
        <v>5.7876479999996</v>
      </c>
      <c r="J75" s="10" t="n">
        <f aca="false">$D$3*E75</f>
        <v>-2.97621</v>
      </c>
      <c r="K75" s="10" t="n">
        <f aca="false">$E$3*F75</f>
        <v>-12.0347367</v>
      </c>
      <c r="L75" s="10" t="n">
        <f aca="false">$F$3*G75</f>
        <v>112.529586837967</v>
      </c>
      <c r="M75" s="10" t="n">
        <f aca="false">H75+I75+J75+K75+L75</f>
        <v>92.4327881379667</v>
      </c>
      <c r="N75" s="10" t="n">
        <f aca="false">'Data Asli'!D98</f>
        <v>4865.35</v>
      </c>
      <c r="O75" s="9" t="n">
        <f aca="false">M75+N75</f>
        <v>4957.78278813797</v>
      </c>
      <c r="P75" s="10" t="n">
        <f aca="false">'Data Asli'!D99</f>
        <v>5277.9</v>
      </c>
      <c r="Q75" s="10" t="n">
        <f aca="false">(P75-N75)-M75</f>
        <v>320.117211862033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2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10" min="9" style="0" width="12"/>
    <col collapsed="false" customWidth="true" hidden="false" outlineLevel="0" max="11" min="11" style="0" width="16"/>
    <col collapsed="false" customWidth="true" hidden="false" outlineLevel="0" max="13" min="12" style="0" width="12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9" min="16" style="0" width="15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2" min="22" style="0" width="12"/>
    <col collapsed="false" customWidth="true" hidden="false" outlineLevel="0" max="23" min="23" style="0" width="15"/>
  </cols>
  <sheetData>
    <row r="1" customFormat="false" ht="15" hidden="false" customHeight="false" outlineLevel="0" collapsed="false">
      <c r="A1" s="3" t="s">
        <v>102</v>
      </c>
    </row>
    <row r="2" customFormat="false" ht="15" hidden="false" customHeight="false" outlineLevel="0" collapsed="false">
      <c r="B2" s="4" t="s">
        <v>103</v>
      </c>
      <c r="C2" s="4" t="s">
        <v>104</v>
      </c>
      <c r="D2" s="4" t="s">
        <v>105</v>
      </c>
      <c r="E2" s="4" t="s">
        <v>106</v>
      </c>
      <c r="F2" s="4" t="s">
        <v>107</v>
      </c>
    </row>
    <row r="3" customFormat="false" ht="15" hidden="false" customHeight="false" outlineLevel="0" collapsed="false">
      <c r="B3" s="5" t="n">
        <v>-0.165</v>
      </c>
      <c r="C3" s="5" t="n">
        <v>0.18432</v>
      </c>
      <c r="D3" s="5" t="n">
        <v>-0.22046</v>
      </c>
      <c r="E3" s="5" t="n">
        <v>0.13989</v>
      </c>
      <c r="F3" s="5" t="n">
        <v>0.35556</v>
      </c>
    </row>
    <row r="4" customFormat="false" ht="15" hidden="false" customHeight="false" outlineLevel="0" collapsed="false">
      <c r="A4" s="12" t="s">
        <v>124</v>
      </c>
    </row>
    <row r="6" customFormat="false" ht="54.75" hidden="false" customHeight="true" outlineLevel="0" collapsed="false">
      <c r="A6" s="13" t="s">
        <v>108</v>
      </c>
      <c r="B6" s="13" t="s">
        <v>0</v>
      </c>
      <c r="C6" s="13" t="s">
        <v>125</v>
      </c>
      <c r="D6" s="13" t="s">
        <v>126</v>
      </c>
      <c r="E6" s="13" t="s">
        <v>109</v>
      </c>
      <c r="F6" s="13" t="s">
        <v>126</v>
      </c>
      <c r="G6" s="13" t="s">
        <v>127</v>
      </c>
      <c r="H6" s="13" t="s">
        <v>110</v>
      </c>
      <c r="I6" s="13" t="s">
        <v>127</v>
      </c>
      <c r="J6" s="13" t="s">
        <v>128</v>
      </c>
      <c r="K6" s="13" t="s">
        <v>111</v>
      </c>
      <c r="L6" s="13" t="s">
        <v>129</v>
      </c>
      <c r="M6" s="13" t="s">
        <v>130</v>
      </c>
      <c r="N6" s="13" t="s">
        <v>112</v>
      </c>
      <c r="O6" s="13" t="s">
        <v>131</v>
      </c>
      <c r="P6" s="13" t="s">
        <v>114</v>
      </c>
      <c r="Q6" s="13" t="s">
        <v>115</v>
      </c>
      <c r="R6" s="13" t="s">
        <v>116</v>
      </c>
      <c r="S6" s="13" t="s">
        <v>117</v>
      </c>
      <c r="T6" s="13" t="s">
        <v>118</v>
      </c>
      <c r="U6" s="13" t="s">
        <v>132</v>
      </c>
      <c r="V6" s="13" t="s">
        <v>120</v>
      </c>
      <c r="W6" s="13" t="s">
        <v>133</v>
      </c>
    </row>
    <row r="7" customFormat="false" ht="15" hidden="false" customHeight="false" outlineLevel="0" collapsed="false">
      <c r="A7" s="14" t="n">
        <v>99</v>
      </c>
      <c r="B7" s="15" t="s">
        <v>134</v>
      </c>
      <c r="C7" s="14" t="n">
        <f aca="false">'Data Asli'!B75</f>
        <v>20926.9</v>
      </c>
      <c r="D7" s="14" t="n">
        <f aca="false">'Data Asli'!B74</f>
        <v>20843.7</v>
      </c>
      <c r="E7" s="14" t="n">
        <f aca="false">C7-D7</f>
        <v>83.2000000000007</v>
      </c>
      <c r="F7" s="14" t="n">
        <f aca="false">'Data Asli'!B74</f>
        <v>20843.7</v>
      </c>
      <c r="G7" s="14" t="n">
        <f aca="false">'Data Asli'!B73</f>
        <v>20777.8</v>
      </c>
      <c r="H7" s="14" t="n">
        <f aca="false">F7-G7</f>
        <v>65.9000000000015</v>
      </c>
      <c r="I7" s="14" t="n">
        <f aca="false">'Data Asli'!B73</f>
        <v>20777.8</v>
      </c>
      <c r="J7" s="14" t="n">
        <f aca="false">'Data Asli'!B72</f>
        <v>20746.4</v>
      </c>
      <c r="K7" s="14" t="n">
        <f aca="false">I7-J7</f>
        <v>31.3999999999978</v>
      </c>
      <c r="L7" s="14" t="n">
        <f aca="false">'Data Asli'!C88</f>
        <v>5611.85</v>
      </c>
      <c r="M7" s="14" t="n">
        <f aca="false">'Data Asli'!C87</f>
        <v>5954.5</v>
      </c>
      <c r="N7" s="14" t="n">
        <f aca="false">L7-M7</f>
        <v>-342.65</v>
      </c>
      <c r="O7" s="14" t="n">
        <f aca="false">'Fitted Value In-Sample'!Q71</f>
        <v>140.990391156645</v>
      </c>
      <c r="P7" s="14" t="n">
        <f aca="false">$B$3*E7</f>
        <v>-13.7280000000001</v>
      </c>
      <c r="Q7" s="14" t="n">
        <f aca="false">$C$3*H7</f>
        <v>12.1466880000003</v>
      </c>
      <c r="R7" s="14" t="n">
        <f aca="false">$D$3*K7</f>
        <v>-6.92244399999952</v>
      </c>
      <c r="S7" s="14" t="n">
        <f aca="false">$E$3*N7</f>
        <v>-47.9333084999999</v>
      </c>
      <c r="T7" s="14" t="n">
        <f aca="false">$F$3*O7</f>
        <v>50.1305434796566</v>
      </c>
      <c r="U7" s="14" t="n">
        <f aca="false">P7+Q7+R7+S7+T7</f>
        <v>-6.30652102034273</v>
      </c>
      <c r="V7" s="14" t="n">
        <f aca="false">'Data Asli'!D99</f>
        <v>5277.9</v>
      </c>
      <c r="W7" s="16" t="n">
        <f aca="false">U7+V7</f>
        <v>5271.59347897966</v>
      </c>
    </row>
    <row r="8" customFormat="false" ht="15" hidden="false" customHeight="false" outlineLevel="0" collapsed="false">
      <c r="A8" s="14" t="n">
        <v>100</v>
      </c>
      <c r="B8" s="15" t="s">
        <v>135</v>
      </c>
      <c r="C8" s="14" t="n">
        <f aca="false">'Data Asli'!B76</f>
        <v>20973.2</v>
      </c>
      <c r="D8" s="14" t="n">
        <f aca="false">'Data Asli'!B75</f>
        <v>20926.9</v>
      </c>
      <c r="E8" s="14" t="n">
        <f aca="false">C8-D8</f>
        <v>46.2999999999993</v>
      </c>
      <c r="F8" s="14" t="n">
        <f aca="false">'Data Asli'!B75</f>
        <v>20926.9</v>
      </c>
      <c r="G8" s="14" t="n">
        <f aca="false">'Data Asli'!B74</f>
        <v>20843.7</v>
      </c>
      <c r="H8" s="14" t="n">
        <f aca="false">F8-G8</f>
        <v>83.2000000000007</v>
      </c>
      <c r="I8" s="14" t="n">
        <f aca="false">'Data Asli'!B74</f>
        <v>20843.7</v>
      </c>
      <c r="J8" s="14" t="n">
        <f aca="false">'Data Asli'!B73</f>
        <v>20777.8</v>
      </c>
      <c r="K8" s="14" t="n">
        <f aca="false">I8-J8</f>
        <v>65.9000000000015</v>
      </c>
      <c r="L8" s="14" t="n">
        <f aca="false">'Data Asli'!C89</f>
        <v>5569.06</v>
      </c>
      <c r="M8" s="14" t="n">
        <f aca="false">'Data Asli'!C88</f>
        <v>5611.85</v>
      </c>
      <c r="N8" s="14" t="n">
        <f aca="false">L8-M8</f>
        <v>-42.79</v>
      </c>
      <c r="O8" s="14" t="n">
        <f aca="false">'Fitted Value In-Sample'!Q72</f>
        <v>210.825747221415</v>
      </c>
      <c r="P8" s="14" t="n">
        <f aca="false">$B$3*E8</f>
        <v>-7.63949999999988</v>
      </c>
      <c r="Q8" s="14" t="n">
        <f aca="false">$C$3*H8</f>
        <v>15.3354240000001</v>
      </c>
      <c r="R8" s="14" t="n">
        <f aca="false">$D$3*K8</f>
        <v>-14.5283140000003</v>
      </c>
      <c r="S8" s="14" t="n">
        <f aca="false">$E$3*N8</f>
        <v>-5.98589309999999</v>
      </c>
      <c r="T8" s="14" t="n">
        <f aca="false">$F$3*O8</f>
        <v>74.9612026820463</v>
      </c>
      <c r="U8" s="14" t="n">
        <f aca="false">P8+Q8+R8+S8+T8</f>
        <v>62.1429195820462</v>
      </c>
      <c r="V8" s="14" t="n">
        <f aca="false">W7</f>
        <v>5271.59347897966</v>
      </c>
      <c r="W8" s="16" t="n">
        <f aca="false">U8+V8</f>
        <v>5333.7363985617</v>
      </c>
    </row>
    <row r="9" customFormat="false" ht="15" hidden="false" customHeight="false" outlineLevel="0" collapsed="false">
      <c r="A9" s="14" t="n">
        <v>101</v>
      </c>
      <c r="B9" s="15" t="s">
        <v>136</v>
      </c>
      <c r="C9" s="14" t="n">
        <f aca="false">'Data Asli'!B77</f>
        <v>20958.8</v>
      </c>
      <c r="D9" s="14" t="n">
        <f aca="false">'Data Asli'!B76</f>
        <v>20973.2</v>
      </c>
      <c r="E9" s="14" t="n">
        <f aca="false">C9-D9</f>
        <v>-14.4000000000015</v>
      </c>
      <c r="F9" s="14" t="n">
        <f aca="false">'Data Asli'!B76</f>
        <v>20973.2</v>
      </c>
      <c r="G9" s="14" t="n">
        <f aca="false">'Data Asli'!B75</f>
        <v>20926.9</v>
      </c>
      <c r="H9" s="14" t="n">
        <f aca="false">F9-G9</f>
        <v>46.2999999999993</v>
      </c>
      <c r="I9" s="14" t="n">
        <f aca="false">'Data Asli'!B75</f>
        <v>20926.9</v>
      </c>
      <c r="J9" s="14" t="n">
        <f aca="false">'Data Asli'!B74</f>
        <v>20843.7</v>
      </c>
      <c r="K9" s="14" t="n">
        <f aca="false">I9-J9</f>
        <v>83.2000000000007</v>
      </c>
      <c r="L9" s="14" t="n">
        <f aca="false">'Data Asli'!C90</f>
        <v>5911.69</v>
      </c>
      <c r="M9" s="14" t="n">
        <f aca="false">'Data Asli'!C89</f>
        <v>5569.06</v>
      </c>
      <c r="N9" s="14" t="n">
        <f aca="false">L9-M9</f>
        <v>342.629999999999</v>
      </c>
      <c r="O9" s="14" t="n">
        <f aca="false">'Fitted Value In-Sample'!Q73</f>
        <v>130.703907156601</v>
      </c>
      <c r="P9" s="14" t="n">
        <f aca="false">$B$3*E9</f>
        <v>2.37600000000024</v>
      </c>
      <c r="Q9" s="14" t="n">
        <f aca="false">$C$3*H9</f>
        <v>8.53401599999987</v>
      </c>
      <c r="R9" s="14" t="n">
        <f aca="false">$D$3*K9</f>
        <v>-18.3422720000002</v>
      </c>
      <c r="S9" s="14" t="n">
        <f aca="false">$E$3*N9</f>
        <v>47.9305106999999</v>
      </c>
      <c r="T9" s="14" t="n">
        <f aca="false">$F$3*O9</f>
        <v>46.473081228601</v>
      </c>
      <c r="U9" s="14" t="n">
        <f aca="false">P9+Q9+R9+S9+T9</f>
        <v>86.9713359286009</v>
      </c>
      <c r="V9" s="14" t="n">
        <f aca="false">W8</f>
        <v>5333.7363985617</v>
      </c>
      <c r="W9" s="16" t="n">
        <f aca="false">U9+V9</f>
        <v>5420.7077344903</v>
      </c>
    </row>
    <row r="10" customFormat="false" ht="15" hidden="false" customHeight="false" outlineLevel="0" collapsed="false">
      <c r="A10" s="14" t="n">
        <v>102</v>
      </c>
      <c r="B10" s="15" t="s">
        <v>137</v>
      </c>
      <c r="C10" s="14" t="n">
        <f aca="false">'Data Asli'!B78</f>
        <v>21019.9</v>
      </c>
      <c r="D10" s="14" t="n">
        <f aca="false">'Data Asli'!B77</f>
        <v>20958.8</v>
      </c>
      <c r="E10" s="14" t="n">
        <f aca="false">C10-D10</f>
        <v>61.1000000000022</v>
      </c>
      <c r="F10" s="14" t="n">
        <f aca="false">'Data Asli'!B77</f>
        <v>20958.8</v>
      </c>
      <c r="G10" s="14" t="n">
        <f aca="false">'Data Asli'!B76</f>
        <v>20973.2</v>
      </c>
      <c r="H10" s="14" t="n">
        <f aca="false">F10-G10</f>
        <v>-14.4000000000015</v>
      </c>
      <c r="I10" s="14" t="n">
        <f aca="false">'Data Asli'!B76</f>
        <v>20973.2</v>
      </c>
      <c r="J10" s="14" t="n">
        <f aca="false">'Data Asli'!B75</f>
        <v>20926.9</v>
      </c>
      <c r="K10" s="14" t="n">
        <f aca="false">I10-J10</f>
        <v>46.2999999999993</v>
      </c>
      <c r="L10" s="14" t="n">
        <f aca="false">'Data Asli'!C91</f>
        <v>6204.95</v>
      </c>
      <c r="M10" s="14" t="n">
        <f aca="false">'Data Asli'!C90</f>
        <v>5911.69</v>
      </c>
      <c r="N10" s="14" t="n">
        <f aca="false">L10-M10</f>
        <v>293.26</v>
      </c>
      <c r="O10" s="14" t="n">
        <f aca="false">'Fitted Value In-Sample'!Q74</f>
        <v>493.046137628161</v>
      </c>
      <c r="P10" s="14" t="n">
        <f aca="false">$B$3*E10</f>
        <v>-10.0815000000004</v>
      </c>
      <c r="Q10" s="14" t="n">
        <f aca="false">$C$3*H10</f>
        <v>-2.65420800000027</v>
      </c>
      <c r="R10" s="14" t="n">
        <f aca="false">$D$3*K10</f>
        <v>-10.2072979999998</v>
      </c>
      <c r="S10" s="14" t="n">
        <f aca="false">$E$3*N10</f>
        <v>41.0241414</v>
      </c>
      <c r="T10" s="14" t="n">
        <f aca="false">$F$3*O10</f>
        <v>175.307484695069</v>
      </c>
      <c r="U10" s="14" t="n">
        <f aca="false">P10+Q10+R10+S10+T10</f>
        <v>193.388620095069</v>
      </c>
      <c r="V10" s="14" t="n">
        <f aca="false">W9</f>
        <v>5420.7077344903</v>
      </c>
      <c r="W10" s="16" t="n">
        <f aca="false">U10+V10</f>
        <v>5614.09635458537</v>
      </c>
    </row>
    <row r="11" customFormat="false" ht="15" hidden="false" customHeight="false" outlineLevel="0" collapsed="false">
      <c r="A11" s="14" t="n">
        <v>103</v>
      </c>
      <c r="B11" s="15" t="s">
        <v>138</v>
      </c>
      <c r="C11" s="14" t="n">
        <f aca="false">'Data Asli'!B79</f>
        <v>21067.7</v>
      </c>
      <c r="D11" s="14" t="n">
        <f aca="false">'Data Asli'!B78</f>
        <v>21019.9</v>
      </c>
      <c r="E11" s="14" t="n">
        <f aca="false">C11-D11</f>
        <v>47.7999999999993</v>
      </c>
      <c r="F11" s="14" t="n">
        <f aca="false">'Data Asli'!B78</f>
        <v>21019.9</v>
      </c>
      <c r="G11" s="14" t="n">
        <f aca="false">'Data Asli'!B77</f>
        <v>20958.8</v>
      </c>
      <c r="H11" s="14" t="n">
        <f aca="false">F11-G11</f>
        <v>61.1000000000022</v>
      </c>
      <c r="I11" s="14" t="n">
        <f aca="false">'Data Asli'!B77</f>
        <v>20958.8</v>
      </c>
      <c r="J11" s="14" t="n">
        <f aca="false">'Data Asli'!B76</f>
        <v>20973.2</v>
      </c>
      <c r="K11" s="14" t="n">
        <f aca="false">I11-J11</f>
        <v>-14.4000000000015</v>
      </c>
      <c r="L11" s="14" t="n">
        <f aca="false">'Data Asli'!C92</f>
        <v>6339.39</v>
      </c>
      <c r="M11" s="14" t="n">
        <f aca="false">'Data Asli'!C91</f>
        <v>6204.95</v>
      </c>
      <c r="N11" s="14" t="n">
        <f aca="false">L11-M11</f>
        <v>134.440000000001</v>
      </c>
      <c r="O11" s="14" t="n">
        <f aca="false">'Fitted Value In-Sample'!Q75</f>
        <v>320.117211862033</v>
      </c>
      <c r="P11" s="14" t="n">
        <f aca="false">$B$3*E11</f>
        <v>-7.88699999999988</v>
      </c>
      <c r="Q11" s="14" t="n">
        <f aca="false">$C$3*H11</f>
        <v>11.2619520000004</v>
      </c>
      <c r="R11" s="14" t="n">
        <f aca="false">$D$3*K11</f>
        <v>3.17462400000032</v>
      </c>
      <c r="S11" s="14" t="n">
        <f aca="false">$E$3*N11</f>
        <v>18.8068116000001</v>
      </c>
      <c r="T11" s="14" t="n">
        <f aca="false">$F$3*O11</f>
        <v>113.820875849664</v>
      </c>
      <c r="U11" s="14" t="n">
        <f aca="false">P11+Q11+R11+S11+T11</f>
        <v>139.177263449665</v>
      </c>
      <c r="V11" s="14" t="n">
        <f aca="false">W10</f>
        <v>5614.09635458537</v>
      </c>
      <c r="W11" s="16" t="n">
        <f aca="false">U11+V11</f>
        <v>5753.27361803504</v>
      </c>
    </row>
    <row r="12" customFormat="false" ht="15" hidden="false" customHeight="false" outlineLevel="0" collapsed="false">
      <c r="A12" s="14" t="n">
        <v>104</v>
      </c>
      <c r="B12" s="15" t="s">
        <v>139</v>
      </c>
      <c r="C12" s="14" t="n">
        <f aca="false">'Data Asli'!B80</f>
        <v>21094.4</v>
      </c>
      <c r="D12" s="14" t="n">
        <f aca="false">'Data Asli'!B79</f>
        <v>21067.7</v>
      </c>
      <c r="E12" s="14" t="n">
        <f aca="false">C12-D12</f>
        <v>26.7000000000007</v>
      </c>
      <c r="F12" s="14" t="n">
        <f aca="false">'Data Asli'!B79</f>
        <v>21067.7</v>
      </c>
      <c r="G12" s="14" t="n">
        <f aca="false">'Data Asli'!B78</f>
        <v>21019.9</v>
      </c>
      <c r="H12" s="14" t="n">
        <f aca="false">F12-G12</f>
        <v>47.7999999999993</v>
      </c>
      <c r="I12" s="14" t="n">
        <f aca="false">'Data Asli'!B78</f>
        <v>21019.9</v>
      </c>
      <c r="J12" s="14" t="n">
        <f aca="false">'Data Asli'!B77</f>
        <v>20958.8</v>
      </c>
      <c r="K12" s="14" t="n">
        <f aca="false">I12-J12</f>
        <v>61.1000000000022</v>
      </c>
      <c r="L12" s="14" t="n">
        <f aca="false">'Data Asli'!C93</f>
        <v>6460.26</v>
      </c>
      <c r="M12" s="14" t="n">
        <f aca="false">'Data Asli'!C92</f>
        <v>6339.39</v>
      </c>
      <c r="N12" s="14" t="n">
        <f aca="false">L12-M12</f>
        <v>120.87</v>
      </c>
      <c r="O12" s="14" t="n">
        <v>0</v>
      </c>
      <c r="P12" s="14" t="n">
        <f aca="false">$B$3*E12</f>
        <v>-4.40550000000012</v>
      </c>
      <c r="Q12" s="14" t="n">
        <f aca="false">$C$3*H12</f>
        <v>8.81049599999987</v>
      </c>
      <c r="R12" s="14" t="n">
        <f aca="false">$D$3*K12</f>
        <v>-13.4701060000005</v>
      </c>
      <c r="S12" s="14" t="n">
        <f aca="false">$E$3*N12</f>
        <v>16.9085043</v>
      </c>
      <c r="T12" s="14" t="n">
        <f aca="false">$F$3*O12</f>
        <v>0</v>
      </c>
      <c r="U12" s="14" t="n">
        <f aca="false">P12+Q12+R12+S12+T12</f>
        <v>7.84339429999925</v>
      </c>
      <c r="V12" s="14" t="n">
        <f aca="false">W11</f>
        <v>5753.27361803504</v>
      </c>
      <c r="W12" s="16" t="n">
        <f aca="false">U12+V12</f>
        <v>5761.11701233504</v>
      </c>
    </row>
    <row r="13" customFormat="false" ht="15" hidden="false" customHeight="false" outlineLevel="0" collapsed="false">
      <c r="A13" s="14" t="n">
        <v>105</v>
      </c>
      <c r="B13" s="15" t="s">
        <v>140</v>
      </c>
      <c r="C13" s="14" t="n">
        <f aca="false">'Data Asli'!B81</f>
        <v>21185.8</v>
      </c>
      <c r="D13" s="14" t="n">
        <f aca="false">'Data Asli'!B80</f>
        <v>21094.4</v>
      </c>
      <c r="E13" s="14" t="n">
        <f aca="false">C13-D13</f>
        <v>91.3999999999978</v>
      </c>
      <c r="F13" s="14" t="n">
        <f aca="false">'Data Asli'!B80</f>
        <v>21094.4</v>
      </c>
      <c r="G13" s="14" t="n">
        <f aca="false">'Data Asli'!B79</f>
        <v>21067.7</v>
      </c>
      <c r="H13" s="14" t="n">
        <f aca="false">F13-G13</f>
        <v>26.7000000000007</v>
      </c>
      <c r="I13" s="14" t="n">
        <f aca="false">'Data Asli'!B79</f>
        <v>21067.7</v>
      </c>
      <c r="J13" s="14" t="n">
        <f aca="false">'Data Asli'!B78</f>
        <v>21019.9</v>
      </c>
      <c r="K13" s="14" t="n">
        <f aca="false">I13-J13</f>
        <v>47.7999999999993</v>
      </c>
      <c r="L13" s="14" t="n">
        <f aca="false">'Data Asli'!C94</f>
        <v>6688.46</v>
      </c>
      <c r="M13" s="14" t="n">
        <f aca="false">'Data Asli'!C93</f>
        <v>6460.26</v>
      </c>
      <c r="N13" s="14" t="n">
        <f aca="false">L13-M13</f>
        <v>228.2</v>
      </c>
      <c r="O13" s="14" t="n">
        <v>0</v>
      </c>
      <c r="P13" s="14" t="n">
        <f aca="false">$B$3*E13</f>
        <v>-15.0809999999996</v>
      </c>
      <c r="Q13" s="14" t="n">
        <f aca="false">$C$3*H13</f>
        <v>4.92134400000013</v>
      </c>
      <c r="R13" s="14" t="n">
        <f aca="false">$D$3*K13</f>
        <v>-10.5379879999998</v>
      </c>
      <c r="S13" s="14" t="n">
        <f aca="false">$E$3*N13</f>
        <v>31.922898</v>
      </c>
      <c r="T13" s="14" t="n">
        <f aca="false">$F$3*O13</f>
        <v>0</v>
      </c>
      <c r="U13" s="14" t="n">
        <f aca="false">P13+Q13+R13+S13+T13</f>
        <v>11.2252540000006</v>
      </c>
      <c r="V13" s="14" t="n">
        <f aca="false">W12</f>
        <v>5761.11701233504</v>
      </c>
      <c r="W13" s="16" t="n">
        <f aca="false">U13+V13</f>
        <v>5772.34226633504</v>
      </c>
    </row>
    <row r="14" customFormat="false" ht="15" hidden="false" customHeight="false" outlineLevel="0" collapsed="false">
      <c r="A14" s="14" t="n">
        <v>106</v>
      </c>
      <c r="B14" s="15" t="s">
        <v>141</v>
      </c>
      <c r="C14" s="14" t="n">
        <f aca="false">'Data Asli'!B82</f>
        <v>21268.6</v>
      </c>
      <c r="D14" s="14" t="n">
        <f aca="false">'Data Asli'!B81</f>
        <v>21185.8</v>
      </c>
      <c r="E14" s="14" t="n">
        <f aca="false">C14-D14</f>
        <v>82.7999999999993</v>
      </c>
      <c r="F14" s="14" t="n">
        <f aca="false">'Data Asli'!B81</f>
        <v>21185.8</v>
      </c>
      <c r="G14" s="14" t="n">
        <f aca="false">'Data Asli'!B80</f>
        <v>21094.4</v>
      </c>
      <c r="H14" s="14" t="n">
        <f aca="false">F14-G14</f>
        <v>91.3999999999978</v>
      </c>
      <c r="I14" s="14" t="n">
        <f aca="false">'Data Asli'!B80</f>
        <v>21094.4</v>
      </c>
      <c r="J14" s="14" t="n">
        <f aca="false">'Data Asli'!B79</f>
        <v>21067.7</v>
      </c>
      <c r="K14" s="14" t="n">
        <f aca="false">I14-J14</f>
        <v>26.7000000000007</v>
      </c>
      <c r="L14" s="14" t="n">
        <f aca="false">'Data Asli'!C95</f>
        <v>6840.2</v>
      </c>
      <c r="M14" s="14" t="n">
        <f aca="false">'Data Asli'!C94</f>
        <v>6688.46</v>
      </c>
      <c r="N14" s="14" t="n">
        <f aca="false">L14-M14</f>
        <v>151.74</v>
      </c>
      <c r="O14" s="14" t="n">
        <v>0</v>
      </c>
      <c r="P14" s="14" t="n">
        <f aca="false">$B$3*E14</f>
        <v>-13.6619999999999</v>
      </c>
      <c r="Q14" s="14" t="n">
        <f aca="false">$C$3*H14</f>
        <v>16.8468479999996</v>
      </c>
      <c r="R14" s="14" t="n">
        <f aca="false">$D$3*K14</f>
        <v>-5.88628200000016</v>
      </c>
      <c r="S14" s="14" t="n">
        <f aca="false">$E$3*N14</f>
        <v>21.2269086</v>
      </c>
      <c r="T14" s="14" t="n">
        <f aca="false">$F$3*O14</f>
        <v>0</v>
      </c>
      <c r="U14" s="14" t="n">
        <f aca="false">P14+Q14+R14+S14+T14</f>
        <v>18.5254745999995</v>
      </c>
      <c r="V14" s="14" t="n">
        <f aca="false">W13</f>
        <v>5772.34226633504</v>
      </c>
      <c r="W14" s="16" t="n">
        <f aca="false">U14+V14</f>
        <v>5790.86774093504</v>
      </c>
    </row>
    <row r="15" customFormat="false" ht="15" hidden="false" customHeight="false" outlineLevel="0" collapsed="false">
      <c r="A15" s="14" t="n">
        <v>107</v>
      </c>
      <c r="B15" s="15" t="s">
        <v>142</v>
      </c>
      <c r="C15" s="14" t="n">
        <f aca="false">'Data Asli'!B83</f>
        <v>21331</v>
      </c>
      <c r="D15" s="14" t="n">
        <f aca="false">'Data Asli'!B82</f>
        <v>21268.6</v>
      </c>
      <c r="E15" s="14" t="n">
        <f aca="false">C15-D15</f>
        <v>62.4000000000015</v>
      </c>
      <c r="F15" s="14" t="n">
        <f aca="false">'Data Asli'!B82</f>
        <v>21268.6</v>
      </c>
      <c r="G15" s="14" t="n">
        <f aca="false">'Data Asli'!B81</f>
        <v>21185.8</v>
      </c>
      <c r="H15" s="14" t="n">
        <f aca="false">F15-G15</f>
        <v>82.7999999999993</v>
      </c>
      <c r="I15" s="14" t="n">
        <f aca="false">'Data Asli'!B81</f>
        <v>21185.8</v>
      </c>
      <c r="J15" s="14" t="n">
        <f aca="false">'Data Asli'!B80</f>
        <v>21094.4</v>
      </c>
      <c r="K15" s="14" t="n">
        <f aca="false">I15-J15</f>
        <v>91.3999999999978</v>
      </c>
      <c r="L15" s="14" t="n">
        <f aca="false">'Data Asli'!C96</f>
        <v>6849.09</v>
      </c>
      <c r="M15" s="14" t="n">
        <f aca="false">'Data Asli'!C95</f>
        <v>6840.2</v>
      </c>
      <c r="N15" s="14" t="n">
        <f aca="false">L15-M15</f>
        <v>8.89000000000033</v>
      </c>
      <c r="O15" s="14" t="n">
        <v>0</v>
      </c>
      <c r="P15" s="14" t="n">
        <f aca="false">$B$3*E15</f>
        <v>-10.2960000000002</v>
      </c>
      <c r="Q15" s="14" t="n">
        <f aca="false">$C$3*H15</f>
        <v>15.2616959999999</v>
      </c>
      <c r="R15" s="14" t="n">
        <f aca="false">$D$3*K15</f>
        <v>-20.1500439999995</v>
      </c>
      <c r="S15" s="14" t="n">
        <f aca="false">$E$3*N15</f>
        <v>1.24362210000005</v>
      </c>
      <c r="T15" s="14" t="n">
        <f aca="false">$F$3*O15</f>
        <v>0</v>
      </c>
      <c r="U15" s="14" t="n">
        <f aca="false">P15+Q15+R15+S15+T15</f>
        <v>-13.9407258999998</v>
      </c>
      <c r="V15" s="14" t="n">
        <f aca="false">W14</f>
        <v>5790.86774093504</v>
      </c>
      <c r="W15" s="16" t="n">
        <f aca="false">U15+V15</f>
        <v>5776.92701503504</v>
      </c>
    </row>
    <row r="16" customFormat="false" ht="15" hidden="false" customHeight="false" outlineLevel="0" collapsed="false">
      <c r="A16" s="14" t="n">
        <v>108</v>
      </c>
      <c r="B16" s="15" t="s">
        <v>143</v>
      </c>
      <c r="C16" s="14" t="n">
        <f aca="false">'Data Asli'!B84</f>
        <v>21451.6</v>
      </c>
      <c r="D16" s="14" t="n">
        <f aca="false">'Data Asli'!B83</f>
        <v>21331</v>
      </c>
      <c r="E16" s="14" t="n">
        <f aca="false">C16-D16</f>
        <v>120.599999999999</v>
      </c>
      <c r="F16" s="14" t="n">
        <f aca="false">'Data Asli'!B83</f>
        <v>21331</v>
      </c>
      <c r="G16" s="14" t="n">
        <f aca="false">'Data Asli'!B82</f>
        <v>21268.6</v>
      </c>
      <c r="H16" s="14" t="n">
        <f aca="false">F16-G16</f>
        <v>62.4000000000015</v>
      </c>
      <c r="I16" s="14" t="n">
        <f aca="false">'Data Asli'!B82</f>
        <v>21268.6</v>
      </c>
      <c r="J16" s="14" t="n">
        <f aca="false">'Data Asli'!B81</f>
        <v>21185.8</v>
      </c>
      <c r="K16" s="14" t="n">
        <f aca="false">I16-J16</f>
        <v>82.7999999999993</v>
      </c>
      <c r="L16" s="14" t="n">
        <f aca="false">'Data Asli'!C97</f>
        <v>6845.5</v>
      </c>
      <c r="M16" s="14" t="n">
        <f aca="false">'Data Asli'!C96</f>
        <v>6849.09</v>
      </c>
      <c r="N16" s="14" t="n">
        <f aca="false">L16-M16</f>
        <v>-3.59000000000015</v>
      </c>
      <c r="O16" s="14" t="n">
        <v>0</v>
      </c>
      <c r="P16" s="14" t="n">
        <f aca="false">$B$3*E16</f>
        <v>-19.8989999999998</v>
      </c>
      <c r="Q16" s="14" t="n">
        <f aca="false">$C$3*H16</f>
        <v>11.5015680000003</v>
      </c>
      <c r="R16" s="14" t="n">
        <f aca="false">$D$3*K16</f>
        <v>-18.2540879999998</v>
      </c>
      <c r="S16" s="14" t="n">
        <f aca="false">$E$3*N16</f>
        <v>-0.50220510000002</v>
      </c>
      <c r="T16" s="14" t="n">
        <f aca="false">$F$3*O16</f>
        <v>0</v>
      </c>
      <c r="U16" s="14" t="n">
        <f aca="false">P16+Q16+R16+S16+T16</f>
        <v>-27.1537250999994</v>
      </c>
      <c r="V16" s="14" t="n">
        <f aca="false">W15</f>
        <v>5776.92701503504</v>
      </c>
      <c r="W16" s="16" t="n">
        <f aca="false">U16+V16</f>
        <v>5749.77328993504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2026-06-06T03:34:42Z</dcterms:created>
  <dc:creator>openpyxl</dc:creator>
  <dc:description/>
  <dc:language>en-US</dc:language>
  <cp:lastModifiedBy/>
  <dcterms:modified xsi:type="dcterms:W3CDTF">2026-06-06T03:34:42Z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